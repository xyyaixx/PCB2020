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CB\"/>
    </mc:Choice>
  </mc:AlternateContent>
  <bookViews>
    <workbookView xWindow="0" yWindow="0" windowWidth="20490" windowHeight="7230" tabRatio="723" firstSheet="1" activeTab="1"/>
  </bookViews>
  <sheets>
    <sheet name="charts" sheetId="116" r:id="rId1"/>
    <sheet name="历史PCB开发" sheetId="7" r:id="rId2"/>
    <sheet name="历史PCB测试" sheetId="22" r:id="rId3"/>
    <sheet name="历史PCB自动化" sheetId="21" r:id="rId4"/>
    <sheet name="历史PCB维护" sheetId="23" r:id="rId5"/>
    <sheet name="2019开发" sheetId="88" r:id="rId6"/>
    <sheet name="2019测试" sheetId="151" r:id="rId7"/>
    <sheet name="2019自动化" sheetId="152" r:id="rId8"/>
    <sheet name="2019维护" sheetId="154" r:id="rId9"/>
    <sheet name="2012" sheetId="100" r:id="rId10"/>
    <sheet name="云核" sheetId="127" r:id="rId11"/>
    <sheet name="公共开发部(开发测试)" sheetId="128" r:id="rId12"/>
    <sheet name="BSS" sheetId="129" r:id="rId13"/>
    <sheet name="GSD" sheetId="130" r:id="rId14"/>
    <sheet name="企业IT(开发测试)" sheetId="142" r:id="rId15"/>
    <sheet name="网络(C开发)" sheetId="143" r:id="rId16"/>
    <sheet name="网络(J开发)" sheetId="144" r:id="rId17"/>
    <sheet name="网络(测试)" sheetId="137" r:id="rId18"/>
    <sheet name="网络(AD)" sheetId="145" r:id="rId19"/>
    <sheet name="网络(AT)" sheetId="146" r:id="rId20"/>
    <sheet name="网络(维护)" sheetId="147" r:id="rId21"/>
    <sheet name="无线(开发效率)" sheetId="138" r:id="rId22"/>
    <sheet name="消费者云服务(开发测试)" sheetId="139" r:id="rId23"/>
    <sheet name="云BU(开发测试)" sheetId="140" r:id="rId24"/>
  </sheets>
  <externalReferences>
    <externalReference r:id="rId25"/>
  </externalReferences>
  <definedNames>
    <definedName name="_xlnm._FilterDatabase" localSheetId="2" hidden="1">历史PCB测试!$AW$1:$AW$18</definedName>
    <definedName name="_xlnm._FilterDatabase" localSheetId="1" hidden="1">历史PCB开发!$A$1:$BZ$1</definedName>
    <definedName name="_xlnm._FilterDatabase" localSheetId="4" hidden="1">历史PCB维护!$AI$1:$AI$15</definedName>
    <definedName name="_xlnm._FilterDatabase" localSheetId="3" hidden="1">历史PCB自动化!$BK$1:$BK$17</definedName>
    <definedName name="f.遗留DI值">'[1]201506（预配置优化）'!$D$9</definedName>
  </definedNames>
  <calcPr calcId="152511"/>
  <fileRecoveryPr repairLoad="1"/>
</workbook>
</file>

<file path=xl/calcChain.xml><?xml version="1.0" encoding="utf-8"?>
<calcChain xmlns="http://schemas.openxmlformats.org/spreadsheetml/2006/main">
  <c r="AT5" i="22" l="1"/>
  <c r="AU5" i="22"/>
  <c r="AV5" i="22"/>
  <c r="AT6" i="22"/>
  <c r="AU6" i="22"/>
  <c r="AV6" i="22"/>
  <c r="AT7" i="22"/>
  <c r="AU7" i="22"/>
  <c r="AV7" i="22"/>
  <c r="AT8" i="22"/>
  <c r="AU8" i="22"/>
  <c r="AV8" i="22"/>
  <c r="AT9" i="22"/>
  <c r="AU9" i="22"/>
  <c r="AV9" i="22"/>
  <c r="AT10" i="22"/>
  <c r="AU10" i="22"/>
  <c r="AV10" i="22"/>
  <c r="AT11" i="22"/>
  <c r="AU11" i="22"/>
  <c r="AV11" i="22"/>
  <c r="AT12" i="22"/>
  <c r="AV12" i="22"/>
  <c r="AT13" i="22"/>
  <c r="AT14" i="22"/>
  <c r="AT15" i="22"/>
  <c r="AU15" i="22"/>
  <c r="AV15" i="22"/>
  <c r="AT16" i="22"/>
  <c r="AU16" i="22"/>
  <c r="AV16" i="22"/>
  <c r="AT17" i="22"/>
  <c r="AU17" i="22"/>
  <c r="AV17" i="22"/>
  <c r="AT18" i="22"/>
  <c r="AU18" i="22"/>
  <c r="AV18" i="22"/>
  <c r="AV6" i="7"/>
  <c r="AV7" i="7"/>
  <c r="AV8" i="7"/>
  <c r="AV9" i="7"/>
  <c r="AU6" i="7"/>
  <c r="AU7" i="7"/>
  <c r="AU8" i="7"/>
  <c r="AU9" i="7"/>
  <c r="AT6" i="7"/>
  <c r="AT7" i="7"/>
  <c r="AT8" i="7"/>
  <c r="AT9" i="7"/>
  <c r="BC6" i="21" l="1"/>
  <c r="BC7" i="21"/>
  <c r="BC8" i="21"/>
  <c r="BC9" i="21"/>
  <c r="BC10" i="21"/>
  <c r="BC11" i="21"/>
  <c r="BC12" i="21"/>
  <c r="BC13" i="21"/>
  <c r="BC14" i="21"/>
  <c r="BC15" i="21"/>
  <c r="BC16" i="21"/>
  <c r="BC17" i="21"/>
  <c r="BC4" i="21"/>
  <c r="BC5" i="21"/>
  <c r="BD5" i="21"/>
  <c r="BE5" i="21"/>
  <c r="BF5" i="21"/>
  <c r="BG5" i="21"/>
  <c r="BD6" i="21"/>
  <c r="BE6" i="21"/>
  <c r="BF6" i="21"/>
  <c r="BG6" i="21"/>
  <c r="BD7" i="21"/>
  <c r="BE7" i="21"/>
  <c r="BD8" i="21"/>
  <c r="BE8" i="21"/>
  <c r="BF8" i="21"/>
  <c r="BG8" i="21"/>
  <c r="BD9" i="21"/>
  <c r="BE9" i="21"/>
  <c r="BF9" i="21"/>
  <c r="BG9" i="21"/>
  <c r="BD10" i="21"/>
  <c r="BE10" i="21"/>
  <c r="BF10" i="21"/>
  <c r="BG10" i="21"/>
  <c r="BD11" i="21"/>
  <c r="BE11" i="21"/>
  <c r="BF11" i="21"/>
  <c r="BG11" i="21"/>
  <c r="BD12" i="21"/>
  <c r="BE12" i="21"/>
  <c r="BF12" i="21"/>
  <c r="BG12" i="21"/>
  <c r="BD13" i="21"/>
  <c r="BE13" i="21"/>
  <c r="BD14" i="21"/>
  <c r="BE14" i="21"/>
  <c r="BF14" i="21"/>
  <c r="BG14" i="21"/>
  <c r="BD15" i="21"/>
  <c r="BE15" i="21"/>
  <c r="BD16" i="21"/>
  <c r="BE16" i="21"/>
  <c r="BD17" i="21"/>
  <c r="BE17" i="21"/>
  <c r="BG4" i="21"/>
  <c r="BF4" i="21"/>
  <c r="BE4" i="21"/>
  <c r="BD4" i="21"/>
  <c r="AA5" i="23"/>
  <c r="AB5" i="23"/>
  <c r="AC5" i="23"/>
  <c r="AD5" i="23"/>
  <c r="AE5" i="23"/>
  <c r="AA6" i="23"/>
  <c r="AB6" i="23"/>
  <c r="AC6" i="23"/>
  <c r="AD6" i="23"/>
  <c r="AE6" i="23"/>
  <c r="AA7" i="23"/>
  <c r="AB7" i="23"/>
  <c r="AC7" i="23"/>
  <c r="AD7" i="23"/>
  <c r="AE7" i="23"/>
  <c r="AA8" i="23"/>
  <c r="AB8" i="23"/>
  <c r="AC8" i="23"/>
  <c r="AD8" i="23"/>
  <c r="AE8" i="23"/>
  <c r="AA9" i="23"/>
  <c r="AB9" i="23"/>
  <c r="AC9" i="23"/>
  <c r="AD9" i="23"/>
  <c r="AE9" i="23"/>
  <c r="AA10" i="23"/>
  <c r="AB10" i="23"/>
  <c r="AC10" i="23"/>
  <c r="AD10" i="23"/>
  <c r="AE10" i="23"/>
  <c r="AA11" i="23"/>
  <c r="AB11" i="23"/>
  <c r="AC11" i="23"/>
  <c r="AD11" i="23"/>
  <c r="AE11" i="23"/>
  <c r="AA12" i="23"/>
  <c r="AB12" i="23"/>
  <c r="AC12" i="23"/>
  <c r="AD12" i="23"/>
  <c r="AE12" i="23"/>
  <c r="AA13" i="23"/>
  <c r="AB13" i="23"/>
  <c r="AC13" i="23"/>
  <c r="AD13" i="23"/>
  <c r="AE13" i="23"/>
  <c r="AA14" i="23"/>
  <c r="AB14" i="23"/>
  <c r="AC14" i="23"/>
  <c r="AD14" i="23"/>
  <c r="AE14" i="23"/>
  <c r="AA15" i="23"/>
  <c r="AB15" i="23"/>
  <c r="AC15" i="23"/>
  <c r="AD15" i="23"/>
  <c r="AE15" i="23"/>
  <c r="AE4" i="23"/>
  <c r="AD4" i="23"/>
  <c r="AC4" i="23"/>
  <c r="AB4" i="23"/>
  <c r="AA4" i="23"/>
  <c r="AO5" i="22"/>
  <c r="AP5" i="22"/>
  <c r="AQ5" i="22"/>
  <c r="AR5" i="22"/>
  <c r="AS5" i="22"/>
  <c r="AO6" i="22"/>
  <c r="AP6" i="22"/>
  <c r="AQ6" i="22"/>
  <c r="AR6" i="22"/>
  <c r="AS6" i="22"/>
  <c r="AO7" i="22"/>
  <c r="AP7" i="22"/>
  <c r="AQ7" i="22"/>
  <c r="AR7" i="22"/>
  <c r="AS7" i="22"/>
  <c r="AO8" i="22"/>
  <c r="AP8" i="22"/>
  <c r="AQ8" i="22"/>
  <c r="AO9" i="22"/>
  <c r="AP9" i="22"/>
  <c r="AQ9" i="22"/>
  <c r="AR9" i="22"/>
  <c r="AS9" i="22"/>
  <c r="AO10" i="22"/>
  <c r="AP10" i="22"/>
  <c r="AQ10" i="22"/>
  <c r="AR10" i="22"/>
  <c r="AS10" i="22"/>
  <c r="AO11" i="22"/>
  <c r="AP11" i="22"/>
  <c r="AQ11" i="22"/>
  <c r="AR11" i="22"/>
  <c r="AS11" i="22"/>
  <c r="AO12" i="22"/>
  <c r="AP12" i="22"/>
  <c r="AQ12" i="22"/>
  <c r="AR12" i="22"/>
  <c r="AS12" i="22"/>
  <c r="AO13" i="22"/>
  <c r="AP13" i="22"/>
  <c r="AQ13" i="22"/>
  <c r="AR13" i="22"/>
  <c r="AS13" i="22"/>
  <c r="AO14" i="22"/>
  <c r="AP14" i="22"/>
  <c r="AQ14" i="22"/>
  <c r="AO15" i="22"/>
  <c r="AP15" i="22"/>
  <c r="AQ15" i="22"/>
  <c r="AO16" i="22"/>
  <c r="AP16" i="22"/>
  <c r="AQ16" i="22"/>
  <c r="AR16" i="22"/>
  <c r="AS16" i="22"/>
  <c r="AO17" i="22"/>
  <c r="AP17" i="22"/>
  <c r="AQ17" i="22"/>
  <c r="AR17" i="22"/>
  <c r="AS17" i="22"/>
  <c r="AO18" i="22"/>
  <c r="AP18" i="22"/>
  <c r="AQ18" i="22"/>
  <c r="AR18" i="22"/>
  <c r="AS18" i="22"/>
  <c r="AS4" i="22"/>
  <c r="AR4" i="22"/>
  <c r="AQ4" i="22"/>
  <c r="AP4" i="22"/>
  <c r="AO4" i="22"/>
  <c r="AO11" i="7"/>
  <c r="AP11" i="7"/>
  <c r="AT11" i="7" s="1"/>
  <c r="AQ11" i="7"/>
  <c r="AR11" i="7"/>
  <c r="AU11" i="7" s="1"/>
  <c r="AS11" i="7"/>
  <c r="AV11" i="7" s="1"/>
  <c r="AO12" i="7"/>
  <c r="AP12" i="7"/>
  <c r="AT12" i="7" s="1"/>
  <c r="AQ12" i="7"/>
  <c r="AR12" i="7"/>
  <c r="AU12" i="7" s="1"/>
  <c r="AS12" i="7"/>
  <c r="AV12" i="7" s="1"/>
  <c r="AO13" i="7"/>
  <c r="AP13" i="7"/>
  <c r="AT13" i="7" s="1"/>
  <c r="AQ13" i="7"/>
  <c r="AR13" i="7"/>
  <c r="AU13" i="7" s="1"/>
  <c r="AS13" i="7"/>
  <c r="AV13" i="7" s="1"/>
  <c r="AO14" i="7"/>
  <c r="AP14" i="7"/>
  <c r="AT14" i="7" s="1"/>
  <c r="AQ14" i="7"/>
  <c r="AR14" i="7"/>
  <c r="AU14" i="7" s="1"/>
  <c r="AS14" i="7"/>
  <c r="AV14" i="7" s="1"/>
  <c r="AO15" i="7"/>
  <c r="AP15" i="7"/>
  <c r="AT15" i="7" s="1"/>
  <c r="AQ15" i="7"/>
  <c r="AR15" i="7"/>
  <c r="AU15" i="7" s="1"/>
  <c r="AS15" i="7"/>
  <c r="AV15" i="7" s="1"/>
  <c r="AO16" i="7"/>
  <c r="AP16" i="7"/>
  <c r="AT16" i="7" s="1"/>
  <c r="AQ16" i="7"/>
  <c r="AR16" i="7"/>
  <c r="AU16" i="7" s="1"/>
  <c r="AS16" i="7"/>
  <c r="AV16" i="7" s="1"/>
  <c r="AO17" i="7"/>
  <c r="AP17" i="7"/>
  <c r="AQ17" i="7"/>
  <c r="AR17" i="7"/>
  <c r="AS17" i="7"/>
  <c r="AV17" i="7" s="1"/>
  <c r="AO18" i="7"/>
  <c r="AP18" i="7"/>
  <c r="AT18" i="7" s="1"/>
  <c r="AQ18" i="7"/>
  <c r="AR18" i="7"/>
  <c r="AU18" i="7" s="1"/>
  <c r="AS18" i="7"/>
  <c r="AV18" i="7" s="1"/>
  <c r="AO19" i="7"/>
  <c r="AP19" i="7"/>
  <c r="AT19" i="7" s="1"/>
  <c r="AQ19" i="7"/>
  <c r="AR19" i="7"/>
  <c r="AU19" i="7" s="1"/>
  <c r="AS19" i="7"/>
  <c r="AV19" i="7" s="1"/>
  <c r="AO20" i="7"/>
  <c r="AP20" i="7"/>
  <c r="AT20" i="7" s="1"/>
  <c r="AQ20" i="7"/>
  <c r="AR20" i="7"/>
  <c r="AU20" i="7" s="1"/>
  <c r="AS20" i="7"/>
  <c r="AV20" i="7" s="1"/>
  <c r="AO21" i="7"/>
  <c r="AP21" i="7"/>
  <c r="AT21" i="7" s="1"/>
  <c r="AQ21" i="7"/>
  <c r="AR21" i="7"/>
  <c r="AU21" i="7" s="1"/>
  <c r="AS21" i="7"/>
  <c r="AV21" i="7" s="1"/>
  <c r="AO22" i="7"/>
  <c r="AP22" i="7"/>
  <c r="AT22" i="7" s="1"/>
  <c r="AQ22" i="7"/>
  <c r="AR22" i="7"/>
  <c r="AU22" i="7" s="1"/>
  <c r="AS22" i="7"/>
  <c r="AV22" i="7" s="1"/>
  <c r="AO23" i="7"/>
  <c r="AP23" i="7"/>
  <c r="AT23" i="7" s="1"/>
  <c r="AQ23" i="7"/>
  <c r="AR23" i="7"/>
  <c r="AU23" i="7" s="1"/>
  <c r="AS23" i="7"/>
  <c r="AV23" i="7" s="1"/>
  <c r="AO24" i="7"/>
  <c r="AP24" i="7"/>
  <c r="AT24" i="7" s="1"/>
  <c r="AQ24" i="7"/>
  <c r="AR24" i="7"/>
  <c r="AU24" i="7" s="1"/>
  <c r="AS24" i="7"/>
  <c r="AV24" i="7" s="1"/>
  <c r="AO25" i="7"/>
  <c r="AP25" i="7"/>
  <c r="AT25" i="7" s="1"/>
  <c r="AQ25" i="7"/>
  <c r="AR25" i="7"/>
  <c r="AU25" i="7" s="1"/>
  <c r="AS25" i="7"/>
  <c r="AV25" i="7" s="1"/>
  <c r="AO26" i="7"/>
  <c r="AP26" i="7"/>
  <c r="AT26" i="7" s="1"/>
  <c r="AQ26" i="7"/>
  <c r="AR26" i="7"/>
  <c r="AU26" i="7" s="1"/>
  <c r="AS26" i="7"/>
  <c r="AV26" i="7" s="1"/>
  <c r="AO27" i="7"/>
  <c r="AP27" i="7"/>
  <c r="AT27" i="7" s="1"/>
  <c r="AQ27" i="7"/>
  <c r="AR27" i="7"/>
  <c r="AS27" i="7"/>
  <c r="AV27" i="7" s="1"/>
  <c r="AO28" i="7"/>
  <c r="AP28" i="7"/>
  <c r="AT28" i="7" s="1"/>
  <c r="AQ28" i="7"/>
  <c r="AR28" i="7"/>
  <c r="AU28" i="7" s="1"/>
  <c r="AS28" i="7"/>
  <c r="AV28" i="7" s="1"/>
  <c r="AO29" i="7"/>
  <c r="AP29" i="7"/>
  <c r="AT29" i="7" s="1"/>
  <c r="AQ29" i="7"/>
  <c r="AR29" i="7"/>
  <c r="AU29" i="7" s="1"/>
  <c r="AS29" i="7"/>
  <c r="AV29" i="7" s="1"/>
  <c r="AO30" i="7"/>
  <c r="AP30" i="7"/>
  <c r="AT30" i="7" s="1"/>
  <c r="AQ30" i="7"/>
  <c r="AR30" i="7"/>
  <c r="AU30" i="7" s="1"/>
  <c r="AS30" i="7"/>
  <c r="AV30" i="7" s="1"/>
  <c r="AO31" i="7"/>
  <c r="AP31" i="7"/>
  <c r="AT31" i="7" s="1"/>
  <c r="AQ31" i="7"/>
  <c r="AR31" i="7"/>
  <c r="AU31" i="7" s="1"/>
  <c r="AS31" i="7"/>
  <c r="AV31" i="7" s="1"/>
  <c r="AO32" i="7"/>
  <c r="AP32" i="7"/>
  <c r="AT32" i="7" s="1"/>
  <c r="AQ32" i="7"/>
  <c r="AR32" i="7"/>
  <c r="AU32" i="7" s="1"/>
  <c r="AS32" i="7"/>
  <c r="AV32" i="7" s="1"/>
  <c r="AO33" i="7"/>
  <c r="AP33" i="7"/>
  <c r="AT33" i="7" s="1"/>
  <c r="AQ33" i="7"/>
  <c r="AR33" i="7"/>
  <c r="AU33" i="7" s="1"/>
  <c r="AS33" i="7"/>
  <c r="AV33" i="7" s="1"/>
  <c r="AO41" i="7"/>
  <c r="AP41" i="7"/>
  <c r="AT41" i="7" s="1"/>
  <c r="AQ41" i="7"/>
  <c r="AR41" i="7"/>
  <c r="AU41" i="7" s="1"/>
  <c r="AS41" i="7"/>
  <c r="AV41" i="7" s="1"/>
  <c r="AO42" i="7"/>
  <c r="AP42" i="7"/>
  <c r="AT42" i="7" s="1"/>
  <c r="AQ42" i="7"/>
  <c r="AR42" i="7"/>
  <c r="AU42" i="7" s="1"/>
  <c r="AS42" i="7"/>
  <c r="AV42" i="7" s="1"/>
  <c r="AO43" i="7"/>
  <c r="AP43" i="7"/>
  <c r="AT43" i="7" s="1"/>
  <c r="AQ43" i="7"/>
  <c r="AR43" i="7"/>
  <c r="AU43" i="7" s="1"/>
  <c r="AS43" i="7"/>
  <c r="AV43" i="7" s="1"/>
  <c r="AO44" i="7"/>
  <c r="AP44" i="7"/>
  <c r="AT44" i="7" s="1"/>
  <c r="AQ44" i="7"/>
  <c r="AR44" i="7"/>
  <c r="AU44" i="7" s="1"/>
  <c r="AS44" i="7"/>
  <c r="AV44" i="7" s="1"/>
  <c r="AO45" i="7"/>
  <c r="AP45" i="7"/>
  <c r="AT45" i="7" s="1"/>
  <c r="AQ45" i="7"/>
  <c r="AR45" i="7"/>
  <c r="AU45" i="7" s="1"/>
  <c r="AS45" i="7"/>
  <c r="AV45" i="7" s="1"/>
  <c r="AO46" i="7"/>
  <c r="AP46" i="7"/>
  <c r="AT46" i="7" s="1"/>
  <c r="AQ46" i="7"/>
  <c r="AR46" i="7"/>
  <c r="AU46" i="7" s="1"/>
  <c r="AS46" i="7"/>
  <c r="AV46" i="7" s="1"/>
  <c r="AO34" i="7"/>
  <c r="AP34" i="7"/>
  <c r="AQ34" i="7"/>
  <c r="AR34" i="7"/>
  <c r="AS34" i="7"/>
  <c r="AO35" i="7"/>
  <c r="AP35" i="7"/>
  <c r="AT35" i="7" s="1"/>
  <c r="AQ35" i="7"/>
  <c r="AR35" i="7"/>
  <c r="AU35" i="7" s="1"/>
  <c r="AS35" i="7"/>
  <c r="AV35" i="7" s="1"/>
  <c r="AO36" i="7"/>
  <c r="AP36" i="7"/>
  <c r="AT36" i="7" s="1"/>
  <c r="AQ36" i="7"/>
  <c r="AR36" i="7"/>
  <c r="AU36" i="7" s="1"/>
  <c r="AS36" i="7"/>
  <c r="AV36" i="7" s="1"/>
  <c r="AO37" i="7"/>
  <c r="AP37" i="7"/>
  <c r="AT37" i="7" s="1"/>
  <c r="AQ37" i="7"/>
  <c r="AR37" i="7"/>
  <c r="AU37" i="7" s="1"/>
  <c r="AS37" i="7"/>
  <c r="AV37" i="7" s="1"/>
  <c r="AO38" i="7"/>
  <c r="AP38" i="7"/>
  <c r="AT38" i="7" s="1"/>
  <c r="AQ38" i="7"/>
  <c r="AR38" i="7"/>
  <c r="AU38" i="7" s="1"/>
  <c r="AS38" i="7"/>
  <c r="AV38" i="7" s="1"/>
  <c r="AO39" i="7"/>
  <c r="AP39" i="7"/>
  <c r="AT39" i="7" s="1"/>
  <c r="AQ39" i="7"/>
  <c r="AR39" i="7"/>
  <c r="AU39" i="7" s="1"/>
  <c r="AS39" i="7"/>
  <c r="AV39" i="7" s="1"/>
  <c r="AO40" i="7"/>
  <c r="AP40" i="7"/>
  <c r="AT40" i="7" s="1"/>
  <c r="AQ40" i="7"/>
  <c r="AR40" i="7"/>
  <c r="AU40" i="7" s="1"/>
  <c r="AS40" i="7"/>
  <c r="AV40" i="7" s="1"/>
  <c r="AO4" i="7"/>
  <c r="AP4" i="7"/>
  <c r="AT4" i="7" s="1"/>
  <c r="AQ4" i="7"/>
  <c r="AR4" i="7"/>
  <c r="AU4" i="7" s="1"/>
  <c r="AS4" i="7"/>
  <c r="AV4" i="7" s="1"/>
  <c r="AO5" i="7"/>
  <c r="AP5" i="7"/>
  <c r="AT5" i="7" s="1"/>
  <c r="AQ5" i="7"/>
  <c r="AR5" i="7"/>
  <c r="AU5" i="7" s="1"/>
  <c r="AS5" i="7"/>
  <c r="AV5" i="7" s="1"/>
  <c r="T9" i="151" l="1"/>
  <c r="U9" i="151"/>
  <c r="T11" i="151"/>
  <c r="U11" i="151"/>
  <c r="T13" i="151"/>
  <c r="U13" i="151"/>
  <c r="T4" i="152"/>
  <c r="U4" i="152"/>
  <c r="T6" i="152"/>
  <c r="U6" i="152"/>
  <c r="T7" i="152"/>
  <c r="U7" i="152"/>
  <c r="T8" i="152"/>
  <c r="U8" i="152"/>
  <c r="T9" i="152"/>
  <c r="U9" i="152"/>
  <c r="T10" i="152"/>
  <c r="U10" i="152"/>
  <c r="T12" i="152"/>
  <c r="U12" i="152"/>
  <c r="V16" i="152"/>
  <c r="W16" i="152"/>
  <c r="V17" i="152"/>
  <c r="W17" i="152"/>
  <c r="U3" i="152"/>
  <c r="T3" i="152"/>
  <c r="T4" i="154"/>
  <c r="U4" i="154"/>
  <c r="T5" i="154"/>
  <c r="U5" i="154"/>
  <c r="T6" i="154"/>
  <c r="U6" i="154"/>
  <c r="T8" i="154"/>
  <c r="U8" i="154"/>
  <c r="T10" i="154"/>
  <c r="U10" i="154"/>
  <c r="U3" i="154"/>
  <c r="T3" i="154"/>
  <c r="E7" i="154" l="1"/>
  <c r="E6" i="154"/>
  <c r="C3" i="154" l="1"/>
  <c r="E4" i="154"/>
  <c r="E3" i="154"/>
  <c r="C4" i="154"/>
  <c r="D4" i="154" s="1"/>
  <c r="C5" i="154"/>
  <c r="C6" i="154"/>
  <c r="G7" i="154"/>
  <c r="E8" i="154"/>
  <c r="E10" i="154"/>
  <c r="D6" i="154"/>
  <c r="F6" i="154" s="1"/>
  <c r="D5" i="154"/>
  <c r="E9" i="154"/>
  <c r="C10" i="154"/>
  <c r="D10" i="154" s="1"/>
  <c r="F7" i="154"/>
  <c r="D3" i="154"/>
  <c r="E5" i="154"/>
  <c r="F9" i="154"/>
  <c r="C8" i="154"/>
  <c r="D8" i="154" s="1"/>
  <c r="F8" i="154" s="1"/>
  <c r="F3" i="154" l="1"/>
  <c r="G3" i="154"/>
  <c r="G6" i="154"/>
  <c r="G4" i="154"/>
  <c r="F4" i="154"/>
  <c r="F10" i="154"/>
  <c r="G10" i="154"/>
  <c r="G9" i="154"/>
  <c r="G8" i="154"/>
  <c r="G5" i="154"/>
  <c r="F5" i="154"/>
  <c r="C7" i="152" l="1"/>
  <c r="S15" i="151"/>
  <c r="R15" i="151"/>
  <c r="M15" i="151"/>
  <c r="L15" i="151"/>
  <c r="S14" i="151"/>
  <c r="R14" i="151"/>
  <c r="M14" i="151"/>
  <c r="L14" i="151"/>
  <c r="AC13" i="151"/>
  <c r="AB13" i="151"/>
  <c r="S13" i="151"/>
  <c r="R13" i="151"/>
  <c r="M13" i="151"/>
  <c r="L13" i="151"/>
  <c r="E13" i="151"/>
  <c r="M12" i="151"/>
  <c r="L12" i="151"/>
  <c r="S11" i="151"/>
  <c r="R11" i="151"/>
  <c r="M11" i="151"/>
  <c r="L11" i="151"/>
  <c r="M10" i="151"/>
  <c r="L10" i="151"/>
  <c r="AC9" i="151"/>
  <c r="AB9" i="151"/>
  <c r="AC8" i="151"/>
  <c r="AB8" i="151"/>
  <c r="M8" i="151"/>
  <c r="L8" i="151"/>
  <c r="S7" i="151"/>
  <c r="R7" i="151"/>
  <c r="M7" i="151"/>
  <c r="L7" i="151"/>
  <c r="M6" i="151"/>
  <c r="L6" i="151"/>
  <c r="S5" i="151"/>
  <c r="R5" i="151"/>
  <c r="M5" i="151"/>
  <c r="L5" i="151"/>
  <c r="C5" i="151"/>
  <c r="AC4" i="151"/>
  <c r="AB4" i="151"/>
  <c r="S4" i="151"/>
  <c r="R4" i="151"/>
  <c r="M4" i="151"/>
  <c r="L4" i="151"/>
  <c r="E4" i="151"/>
  <c r="AC3" i="151"/>
  <c r="AB3" i="151"/>
  <c r="M3" i="151"/>
  <c r="L3" i="151"/>
  <c r="E3" i="151"/>
  <c r="E6" i="152" l="1"/>
  <c r="E11" i="152"/>
  <c r="E17" i="152"/>
  <c r="C16" i="152"/>
  <c r="D16" i="152" s="1"/>
  <c r="G16" i="152" s="1"/>
  <c r="E8" i="152"/>
  <c r="E14" i="152"/>
  <c r="E15" i="152"/>
  <c r="C10" i="152"/>
  <c r="D10" i="152" s="1"/>
  <c r="E5" i="152"/>
  <c r="E7" i="152"/>
  <c r="C4" i="152"/>
  <c r="D4" i="152" s="1"/>
  <c r="C6" i="152"/>
  <c r="D6" i="152" s="1"/>
  <c r="C8" i="152"/>
  <c r="D8" i="152" s="1"/>
  <c r="G8" i="152" s="1"/>
  <c r="C12" i="152"/>
  <c r="D12" i="152" s="1"/>
  <c r="E3" i="152"/>
  <c r="D7" i="152"/>
  <c r="E9" i="152"/>
  <c r="E12" i="152"/>
  <c r="E13" i="152"/>
  <c r="E16" i="152"/>
  <c r="C17" i="152"/>
  <c r="D17" i="152" s="1"/>
  <c r="C7" i="151"/>
  <c r="D7" i="151" s="1"/>
  <c r="C11" i="151"/>
  <c r="D11" i="151" s="1"/>
  <c r="E10" i="151"/>
  <c r="E14" i="151"/>
  <c r="C13" i="151"/>
  <c r="D13" i="151" s="1"/>
  <c r="F13" i="151" s="1"/>
  <c r="C15" i="151"/>
  <c r="D15" i="151" s="1"/>
  <c r="C14" i="151"/>
  <c r="D14" i="151" s="1"/>
  <c r="E15" i="151"/>
  <c r="C3" i="151"/>
  <c r="D3" i="151" s="1"/>
  <c r="G3" i="151" s="1"/>
  <c r="C6" i="151"/>
  <c r="D6" i="151" s="1"/>
  <c r="E7" i="151"/>
  <c r="C8" i="151"/>
  <c r="D8" i="151" s="1"/>
  <c r="C4" i="151"/>
  <c r="D4" i="151" s="1"/>
  <c r="E5" i="151"/>
  <c r="E6" i="151"/>
  <c r="E8" i="151"/>
  <c r="C12" i="151"/>
  <c r="D12" i="151" s="1"/>
  <c r="C9" i="151"/>
  <c r="D9" i="151" s="1"/>
  <c r="C10" i="151"/>
  <c r="D10" i="151" s="1"/>
  <c r="E11" i="151"/>
  <c r="E12" i="151"/>
  <c r="E10" i="152"/>
  <c r="E4" i="152"/>
  <c r="C9" i="152"/>
  <c r="D9" i="152" s="1"/>
  <c r="C3" i="152"/>
  <c r="D3" i="152" s="1"/>
  <c r="G14" i="152"/>
  <c r="BG16" i="21" s="1"/>
  <c r="D5" i="151"/>
  <c r="E9" i="151"/>
  <c r="H4" i="88"/>
  <c r="I4" i="88"/>
  <c r="J4" i="88"/>
  <c r="K4" i="88"/>
  <c r="L4" i="88"/>
  <c r="M4" i="88"/>
  <c r="N4" i="88"/>
  <c r="O4" i="88"/>
  <c r="P4" i="88"/>
  <c r="Q4" i="88"/>
  <c r="R4" i="88"/>
  <c r="S4" i="88"/>
  <c r="T4" i="88"/>
  <c r="U4" i="88"/>
  <c r="V4" i="88"/>
  <c r="W4" i="88"/>
  <c r="X4" i="88"/>
  <c r="Y4" i="88"/>
  <c r="Z4" i="88"/>
  <c r="AA4" i="88"/>
  <c r="AB4" i="88"/>
  <c r="AC4" i="88"/>
  <c r="H5" i="88"/>
  <c r="I5" i="88"/>
  <c r="L5" i="88"/>
  <c r="M5" i="88"/>
  <c r="N5" i="88"/>
  <c r="O5" i="88"/>
  <c r="P5" i="88"/>
  <c r="Q5" i="88"/>
  <c r="R5" i="88"/>
  <c r="S5" i="88"/>
  <c r="T5" i="88"/>
  <c r="U5" i="88"/>
  <c r="V5" i="88"/>
  <c r="W5" i="88"/>
  <c r="X5" i="88"/>
  <c r="Y5" i="88"/>
  <c r="H6" i="88"/>
  <c r="I6" i="88"/>
  <c r="L6" i="88"/>
  <c r="M6" i="88"/>
  <c r="N6" i="88"/>
  <c r="O6" i="88"/>
  <c r="P6" i="88"/>
  <c r="Q6" i="88"/>
  <c r="T6" i="88"/>
  <c r="U6" i="88"/>
  <c r="V6" i="88"/>
  <c r="W6" i="88"/>
  <c r="X6" i="88"/>
  <c r="Y6" i="88"/>
  <c r="H7" i="88"/>
  <c r="I7" i="88"/>
  <c r="J7" i="88"/>
  <c r="K7" i="88"/>
  <c r="L7" i="88"/>
  <c r="M7" i="88"/>
  <c r="N7" i="88"/>
  <c r="O7" i="88"/>
  <c r="P7" i="88"/>
  <c r="Q7" i="88"/>
  <c r="R7" i="88"/>
  <c r="S7" i="88"/>
  <c r="AB7" i="88"/>
  <c r="AC7" i="88"/>
  <c r="H8" i="88"/>
  <c r="I8" i="88"/>
  <c r="J8" i="88"/>
  <c r="K8" i="88"/>
  <c r="L8" i="88"/>
  <c r="M8" i="88"/>
  <c r="N8" i="88"/>
  <c r="O8" i="88"/>
  <c r="P8" i="88"/>
  <c r="Q8" i="88"/>
  <c r="R8" i="88"/>
  <c r="S8" i="88"/>
  <c r="T8" i="88"/>
  <c r="U8" i="88"/>
  <c r="Z8" i="88"/>
  <c r="AA8" i="88"/>
  <c r="AB8" i="88"/>
  <c r="AC8" i="88"/>
  <c r="H9" i="88"/>
  <c r="I9" i="88"/>
  <c r="N9" i="88"/>
  <c r="O9" i="88"/>
  <c r="P9" i="88"/>
  <c r="Q9" i="88"/>
  <c r="X9" i="88"/>
  <c r="Y9" i="88"/>
  <c r="AB9" i="88"/>
  <c r="AC9" i="88"/>
  <c r="H10" i="88"/>
  <c r="I10" i="88"/>
  <c r="J10" i="88"/>
  <c r="K10" i="88"/>
  <c r="L10" i="88"/>
  <c r="M10" i="88"/>
  <c r="N10" i="88"/>
  <c r="O10" i="88"/>
  <c r="P10" i="88"/>
  <c r="Q10" i="88"/>
  <c r="R10" i="88"/>
  <c r="S10" i="88"/>
  <c r="X10" i="88"/>
  <c r="Y10" i="88"/>
  <c r="H11" i="88"/>
  <c r="I11" i="88"/>
  <c r="L11" i="88"/>
  <c r="M11" i="88"/>
  <c r="N11" i="88"/>
  <c r="O11" i="88"/>
  <c r="P11" i="88"/>
  <c r="Q11" i="88"/>
  <c r="R11" i="88"/>
  <c r="S11" i="88"/>
  <c r="T11" i="88"/>
  <c r="U11" i="88"/>
  <c r="V11" i="88"/>
  <c r="W11" i="88"/>
  <c r="X11" i="88"/>
  <c r="Y11" i="88"/>
  <c r="H12" i="88"/>
  <c r="I12" i="88"/>
  <c r="J12" i="88"/>
  <c r="K12" i="88"/>
  <c r="L12" i="88"/>
  <c r="M12" i="88"/>
  <c r="N12" i="88"/>
  <c r="O12" i="88"/>
  <c r="P12" i="88"/>
  <c r="Q12" i="88"/>
  <c r="R12" i="88"/>
  <c r="S12" i="88"/>
  <c r="T12" i="88"/>
  <c r="U12" i="88"/>
  <c r="V12" i="88"/>
  <c r="W12" i="88"/>
  <c r="X12" i="88"/>
  <c r="Y12" i="88"/>
  <c r="AB12" i="88"/>
  <c r="AC12" i="88"/>
  <c r="H13" i="88"/>
  <c r="I13" i="88"/>
  <c r="J13" i="88"/>
  <c r="K13" i="88"/>
  <c r="L13" i="88"/>
  <c r="M13" i="88"/>
  <c r="N13" i="88"/>
  <c r="O13" i="88"/>
  <c r="P13" i="88"/>
  <c r="Q13" i="88"/>
  <c r="R13" i="88"/>
  <c r="S13" i="88"/>
  <c r="T13" i="88"/>
  <c r="U13" i="88"/>
  <c r="V13" i="88"/>
  <c r="W13" i="88"/>
  <c r="AB13" i="88"/>
  <c r="AC13" i="88"/>
  <c r="H14" i="88"/>
  <c r="I14" i="88"/>
  <c r="J14" i="88"/>
  <c r="K14" i="88"/>
  <c r="L14" i="88"/>
  <c r="M14" i="88"/>
  <c r="N14" i="88"/>
  <c r="O14" i="88"/>
  <c r="P14" i="88"/>
  <c r="Q14" i="88"/>
  <c r="R14" i="88"/>
  <c r="S14" i="88"/>
  <c r="T14" i="88"/>
  <c r="U14" i="88"/>
  <c r="V14" i="88"/>
  <c r="W14" i="88"/>
  <c r="X14" i="88"/>
  <c r="Y14" i="88"/>
  <c r="H15" i="88"/>
  <c r="I15" i="88"/>
  <c r="J15" i="88"/>
  <c r="K15" i="88"/>
  <c r="L15" i="88"/>
  <c r="M15" i="88"/>
  <c r="N15" i="88"/>
  <c r="O15" i="88"/>
  <c r="P15" i="88"/>
  <c r="Q15" i="88"/>
  <c r="R15" i="88"/>
  <c r="S15" i="88"/>
  <c r="H16" i="88"/>
  <c r="I16" i="88"/>
  <c r="J16" i="88"/>
  <c r="K16" i="88"/>
  <c r="L16" i="88"/>
  <c r="M16" i="88"/>
  <c r="N16" i="88"/>
  <c r="O16" i="88"/>
  <c r="P16" i="88"/>
  <c r="Q16" i="88"/>
  <c r="H17" i="88"/>
  <c r="I17" i="88"/>
  <c r="J17" i="88"/>
  <c r="K17" i="88"/>
  <c r="L17" i="88"/>
  <c r="M17" i="88"/>
  <c r="N17" i="88"/>
  <c r="O17" i="88"/>
  <c r="P17" i="88"/>
  <c r="Q17" i="88"/>
  <c r="R17" i="88"/>
  <c r="S17" i="88"/>
  <c r="T17" i="88"/>
  <c r="U17" i="88"/>
  <c r="V17" i="88"/>
  <c r="W17" i="88"/>
  <c r="X17" i="88"/>
  <c r="Y17" i="88"/>
  <c r="Z17" i="88"/>
  <c r="AA17" i="88"/>
  <c r="AB17" i="88"/>
  <c r="AC17" i="88"/>
  <c r="H18" i="88"/>
  <c r="I18" i="88"/>
  <c r="J18" i="88"/>
  <c r="K18" i="88"/>
  <c r="L18" i="88"/>
  <c r="M18" i="88"/>
  <c r="N18" i="88"/>
  <c r="O18" i="88"/>
  <c r="P18" i="88"/>
  <c r="Q18" i="88"/>
  <c r="R18" i="88"/>
  <c r="S18" i="88"/>
  <c r="T18" i="88"/>
  <c r="U18" i="88"/>
  <c r="V18" i="88"/>
  <c r="W18" i="88"/>
  <c r="X18" i="88"/>
  <c r="Y18" i="88"/>
  <c r="AB18" i="88"/>
  <c r="AC18" i="88"/>
  <c r="H19" i="88"/>
  <c r="I19" i="88"/>
  <c r="J19" i="88"/>
  <c r="K19" i="88"/>
  <c r="L19" i="88"/>
  <c r="M19" i="88"/>
  <c r="N19" i="88"/>
  <c r="O19" i="88"/>
  <c r="P19" i="88"/>
  <c r="Q19" i="88"/>
  <c r="R19" i="88"/>
  <c r="S19" i="88"/>
  <c r="T19" i="88"/>
  <c r="U19" i="88"/>
  <c r="V19" i="88"/>
  <c r="W19" i="88"/>
  <c r="X19" i="88"/>
  <c r="Y19" i="88"/>
  <c r="AB19" i="88"/>
  <c r="AC19" i="88"/>
  <c r="H20" i="88"/>
  <c r="I20" i="88"/>
  <c r="J20" i="88"/>
  <c r="K20" i="88"/>
  <c r="L20" i="88"/>
  <c r="M20" i="88"/>
  <c r="N20" i="88"/>
  <c r="O20" i="88"/>
  <c r="P20" i="88"/>
  <c r="Q20" i="88"/>
  <c r="R20" i="88"/>
  <c r="S20" i="88"/>
  <c r="T20" i="88"/>
  <c r="U20" i="88"/>
  <c r="V20" i="88"/>
  <c r="W20" i="88"/>
  <c r="X20" i="88"/>
  <c r="Y20" i="88"/>
  <c r="AB20" i="88"/>
  <c r="AC20" i="88"/>
  <c r="H21" i="88"/>
  <c r="I21" i="88"/>
  <c r="J21" i="88"/>
  <c r="K21" i="88"/>
  <c r="L21" i="88"/>
  <c r="M21" i="88"/>
  <c r="N21" i="88"/>
  <c r="O21" i="88"/>
  <c r="P21" i="88"/>
  <c r="Q21" i="88"/>
  <c r="H22" i="88"/>
  <c r="I22" i="88"/>
  <c r="J22" i="88"/>
  <c r="K22" i="88"/>
  <c r="L22" i="88"/>
  <c r="M22" i="88"/>
  <c r="N22" i="88"/>
  <c r="O22" i="88"/>
  <c r="P22" i="88"/>
  <c r="Q22" i="88"/>
  <c r="T22" i="88"/>
  <c r="U22" i="88"/>
  <c r="X22" i="88"/>
  <c r="Y22" i="88"/>
  <c r="AB22" i="88"/>
  <c r="AC22" i="88"/>
  <c r="H23" i="88"/>
  <c r="I23" i="88"/>
  <c r="J23" i="88"/>
  <c r="K23" i="88"/>
  <c r="L23" i="88"/>
  <c r="M23" i="88"/>
  <c r="N23" i="88"/>
  <c r="O23" i="88"/>
  <c r="P23" i="88"/>
  <c r="Q23" i="88"/>
  <c r="T23" i="88"/>
  <c r="U23" i="88"/>
  <c r="X23" i="88"/>
  <c r="Y23" i="88"/>
  <c r="AB23" i="88"/>
  <c r="AC23" i="88"/>
  <c r="H24" i="88"/>
  <c r="I24" i="88"/>
  <c r="J24" i="88"/>
  <c r="K24" i="88"/>
  <c r="N24" i="88"/>
  <c r="O24" i="88"/>
  <c r="P24" i="88"/>
  <c r="Q24" i="88"/>
  <c r="R24" i="88"/>
  <c r="S24" i="88"/>
  <c r="T24" i="88"/>
  <c r="U24" i="88"/>
  <c r="X24" i="88"/>
  <c r="Y24" i="88"/>
  <c r="AB24" i="88"/>
  <c r="AC24" i="88"/>
  <c r="H25" i="88"/>
  <c r="I25" i="88"/>
  <c r="J25" i="88"/>
  <c r="K25" i="88"/>
  <c r="L25" i="88"/>
  <c r="M25" i="88"/>
  <c r="N25" i="88"/>
  <c r="O25" i="88"/>
  <c r="P25" i="88"/>
  <c r="Q25" i="88"/>
  <c r="R25" i="88"/>
  <c r="S25" i="88"/>
  <c r="T25" i="88"/>
  <c r="U25" i="88"/>
  <c r="V25" i="88"/>
  <c r="W25" i="88"/>
  <c r="X25" i="88"/>
  <c r="Y25" i="88"/>
  <c r="AB25" i="88"/>
  <c r="AC25" i="88"/>
  <c r="H26" i="88"/>
  <c r="I26" i="88"/>
  <c r="J26" i="88"/>
  <c r="K26" i="88"/>
  <c r="L26" i="88"/>
  <c r="M26" i="88"/>
  <c r="N26" i="88"/>
  <c r="O26" i="88"/>
  <c r="P26" i="88"/>
  <c r="Q26" i="88"/>
  <c r="N27" i="88"/>
  <c r="O27" i="88"/>
  <c r="P27" i="88"/>
  <c r="Q27" i="88"/>
  <c r="T27" i="88"/>
  <c r="U27" i="88"/>
  <c r="V27" i="88"/>
  <c r="W27" i="88"/>
  <c r="J28" i="88"/>
  <c r="K28" i="88"/>
  <c r="L28" i="88"/>
  <c r="M28" i="88"/>
  <c r="N28" i="88"/>
  <c r="O28" i="88"/>
  <c r="P28" i="88"/>
  <c r="Q28" i="88"/>
  <c r="R28" i="88"/>
  <c r="S28" i="88"/>
  <c r="T28" i="88"/>
  <c r="U28" i="88"/>
  <c r="V28" i="88"/>
  <c r="W28" i="88"/>
  <c r="X28" i="88"/>
  <c r="Y28" i="88"/>
  <c r="AB28" i="88"/>
  <c r="AC28" i="88"/>
  <c r="H29" i="88"/>
  <c r="I29" i="88"/>
  <c r="J29" i="88"/>
  <c r="K29" i="88"/>
  <c r="L29" i="88"/>
  <c r="M29" i="88"/>
  <c r="N29" i="88"/>
  <c r="O29" i="88"/>
  <c r="P29" i="88"/>
  <c r="Q29" i="88"/>
  <c r="R29" i="88"/>
  <c r="S29" i="88"/>
  <c r="T29" i="88"/>
  <c r="U29" i="88"/>
  <c r="V29" i="88"/>
  <c r="W29" i="88"/>
  <c r="X29" i="88"/>
  <c r="Y29" i="88"/>
  <c r="AB29" i="88"/>
  <c r="AC29" i="88"/>
  <c r="H30" i="88"/>
  <c r="I30" i="88"/>
  <c r="J30" i="88"/>
  <c r="K30" i="88"/>
  <c r="L30" i="88"/>
  <c r="M30" i="88"/>
  <c r="N30" i="88"/>
  <c r="O30" i="88"/>
  <c r="P30" i="88"/>
  <c r="Q30" i="88"/>
  <c r="R30" i="88"/>
  <c r="S30" i="88"/>
  <c r="T30" i="88"/>
  <c r="U30" i="88"/>
  <c r="V30" i="88"/>
  <c r="W30" i="88"/>
  <c r="AB30" i="88"/>
  <c r="AC30" i="88"/>
  <c r="H31" i="88"/>
  <c r="I31" i="88"/>
  <c r="J31" i="88"/>
  <c r="K31" i="88"/>
  <c r="L31" i="88"/>
  <c r="M31" i="88"/>
  <c r="N31" i="88"/>
  <c r="O31" i="88"/>
  <c r="P31" i="88"/>
  <c r="Q31" i="88"/>
  <c r="R31" i="88"/>
  <c r="S31" i="88"/>
  <c r="T31" i="88"/>
  <c r="U31" i="88"/>
  <c r="V31" i="88"/>
  <c r="W31" i="88"/>
  <c r="X31" i="88"/>
  <c r="Y31" i="88"/>
  <c r="AB31" i="88"/>
  <c r="AC31" i="88"/>
  <c r="H32" i="88"/>
  <c r="I32" i="88"/>
  <c r="J32" i="88"/>
  <c r="K32" i="88"/>
  <c r="L32" i="88"/>
  <c r="M32" i="88"/>
  <c r="N32" i="88"/>
  <c r="O32" i="88"/>
  <c r="P32" i="88"/>
  <c r="Q32" i="88"/>
  <c r="R32" i="88"/>
  <c r="S32" i="88"/>
  <c r="T32" i="88"/>
  <c r="U32" i="88"/>
  <c r="X32" i="88"/>
  <c r="Y32" i="88"/>
  <c r="H33" i="88"/>
  <c r="I33" i="88"/>
  <c r="J33" i="88"/>
  <c r="K33" i="88"/>
  <c r="L33" i="88"/>
  <c r="M33" i="88"/>
  <c r="N33" i="88"/>
  <c r="O33" i="88"/>
  <c r="P33" i="88"/>
  <c r="Q33" i="88"/>
  <c r="R33" i="88"/>
  <c r="S33" i="88"/>
  <c r="X33" i="88"/>
  <c r="Y33" i="88"/>
  <c r="H34" i="88"/>
  <c r="I34" i="88"/>
  <c r="J34" i="88"/>
  <c r="K34" i="88"/>
  <c r="L34" i="88"/>
  <c r="M34" i="88"/>
  <c r="N34" i="88"/>
  <c r="O34" i="88"/>
  <c r="P34" i="88"/>
  <c r="Q34" i="88"/>
  <c r="X34" i="88"/>
  <c r="Y34" i="88"/>
  <c r="H35" i="88"/>
  <c r="I35" i="88"/>
  <c r="J35" i="88"/>
  <c r="K35" i="88"/>
  <c r="L35" i="88"/>
  <c r="M35" i="88"/>
  <c r="N35" i="88"/>
  <c r="O35" i="88"/>
  <c r="P35" i="88"/>
  <c r="Q35" i="88"/>
  <c r="R35" i="88"/>
  <c r="S35" i="88"/>
  <c r="X35" i="88"/>
  <c r="Y35" i="88"/>
  <c r="H36" i="88"/>
  <c r="I36" i="88"/>
  <c r="J36" i="88"/>
  <c r="K36" i="88"/>
  <c r="L36" i="88"/>
  <c r="M36" i="88"/>
  <c r="N36" i="88"/>
  <c r="O36" i="88"/>
  <c r="P36" i="88"/>
  <c r="Q36" i="88"/>
  <c r="X36" i="88"/>
  <c r="Y36" i="88"/>
  <c r="H37" i="88"/>
  <c r="I37" i="88"/>
  <c r="J37" i="88"/>
  <c r="K37" i="88"/>
  <c r="L37" i="88"/>
  <c r="M37" i="88"/>
  <c r="N37" i="88"/>
  <c r="O37" i="88"/>
  <c r="P37" i="88"/>
  <c r="Q37" i="88"/>
  <c r="T37" i="88"/>
  <c r="U37" i="88"/>
  <c r="X37" i="88"/>
  <c r="Y37" i="88"/>
  <c r="H38" i="88"/>
  <c r="I38" i="88"/>
  <c r="J38" i="88"/>
  <c r="K38" i="88"/>
  <c r="L38" i="88"/>
  <c r="M38" i="88"/>
  <c r="N38" i="88"/>
  <c r="O38" i="88"/>
  <c r="P38" i="88"/>
  <c r="Q38" i="88"/>
  <c r="R38" i="88"/>
  <c r="S38" i="88"/>
  <c r="T38" i="88"/>
  <c r="U38" i="88"/>
  <c r="V38" i="88"/>
  <c r="W38" i="88"/>
  <c r="X38" i="88"/>
  <c r="Y38" i="88"/>
  <c r="AB38" i="88"/>
  <c r="AC38" i="88"/>
  <c r="H39" i="88"/>
  <c r="I39" i="88"/>
  <c r="J39" i="88"/>
  <c r="K39" i="88"/>
  <c r="L39" i="88"/>
  <c r="M39" i="88"/>
  <c r="N39" i="88"/>
  <c r="O39" i="88"/>
  <c r="P39" i="88"/>
  <c r="Q39" i="88"/>
  <c r="R39" i="88"/>
  <c r="S39" i="88"/>
  <c r="T39" i="88"/>
  <c r="U39" i="88"/>
  <c r="V39" i="88"/>
  <c r="W39" i="88"/>
  <c r="X39" i="88"/>
  <c r="Y39" i="88"/>
  <c r="AB39" i="88"/>
  <c r="AC39" i="88"/>
  <c r="H40" i="88"/>
  <c r="I40" i="88"/>
  <c r="J40" i="88"/>
  <c r="K40" i="88"/>
  <c r="L40" i="88"/>
  <c r="M40" i="88"/>
  <c r="N40" i="88"/>
  <c r="O40" i="88"/>
  <c r="P40" i="88"/>
  <c r="Q40" i="88"/>
  <c r="R40" i="88"/>
  <c r="S40" i="88"/>
  <c r="T40" i="88"/>
  <c r="U40" i="88"/>
  <c r="V40" i="88"/>
  <c r="W40" i="88"/>
  <c r="X40" i="88"/>
  <c r="Y40" i="88"/>
  <c r="AB40" i="88"/>
  <c r="AC40" i="88"/>
  <c r="H41" i="88"/>
  <c r="I41" i="88"/>
  <c r="J41" i="88"/>
  <c r="K41" i="88"/>
  <c r="L41" i="88"/>
  <c r="M41" i="88"/>
  <c r="N41" i="88"/>
  <c r="O41" i="88"/>
  <c r="P41" i="88"/>
  <c r="Q41" i="88"/>
  <c r="R41" i="88"/>
  <c r="S41" i="88"/>
  <c r="T41" i="88"/>
  <c r="U41" i="88"/>
  <c r="V41" i="88"/>
  <c r="W41" i="88"/>
  <c r="X41" i="88"/>
  <c r="Y41" i="88"/>
  <c r="AB41" i="88"/>
  <c r="AC41" i="88"/>
  <c r="H42" i="88"/>
  <c r="I42" i="88"/>
  <c r="J42" i="88"/>
  <c r="K42" i="88"/>
  <c r="L42" i="88"/>
  <c r="M42" i="88"/>
  <c r="N42" i="88"/>
  <c r="O42" i="88"/>
  <c r="P42" i="88"/>
  <c r="Q42" i="88"/>
  <c r="R42" i="88"/>
  <c r="S42" i="88"/>
  <c r="T42" i="88"/>
  <c r="U42" i="88"/>
  <c r="V42" i="88"/>
  <c r="W42" i="88"/>
  <c r="X42" i="88"/>
  <c r="Y42" i="88"/>
  <c r="AB42" i="88"/>
  <c r="AC42" i="88"/>
  <c r="H43" i="88"/>
  <c r="I43" i="88"/>
  <c r="L43" i="88"/>
  <c r="M43" i="88"/>
  <c r="N43" i="88"/>
  <c r="O43" i="88"/>
  <c r="P43" i="88"/>
  <c r="Q43" i="88"/>
  <c r="R43" i="88"/>
  <c r="S43" i="88"/>
  <c r="T43" i="88"/>
  <c r="U43" i="88"/>
  <c r="X43" i="88"/>
  <c r="Y43" i="88"/>
  <c r="AC3" i="88"/>
  <c r="AB3" i="88"/>
  <c r="AA3" i="88"/>
  <c r="Z3" i="88"/>
  <c r="Y3" i="88"/>
  <c r="X3" i="88"/>
  <c r="W3" i="88"/>
  <c r="V3" i="88"/>
  <c r="U3" i="88"/>
  <c r="T3" i="88"/>
  <c r="S3" i="88"/>
  <c r="R3" i="88"/>
  <c r="Q3" i="88"/>
  <c r="P3" i="88"/>
  <c r="O3" i="88"/>
  <c r="N3" i="88"/>
  <c r="M3" i="88"/>
  <c r="L3" i="88"/>
  <c r="K3" i="88"/>
  <c r="J3" i="88"/>
  <c r="F11" i="152" l="1"/>
  <c r="BF13" i="21" s="1"/>
  <c r="F5" i="152"/>
  <c r="BF7" i="21" s="1"/>
  <c r="F6" i="152"/>
  <c r="G6" i="152"/>
  <c r="F15" i="152"/>
  <c r="BF17" i="21" s="1"/>
  <c r="F7" i="152"/>
  <c r="F15" i="151"/>
  <c r="G11" i="151"/>
  <c r="F8" i="151"/>
  <c r="F14" i="151"/>
  <c r="F6" i="151"/>
  <c r="G11" i="152"/>
  <c r="BG13" i="21" s="1"/>
  <c r="F3" i="152"/>
  <c r="G12" i="152"/>
  <c r="G15" i="152"/>
  <c r="BG17" i="21" s="1"/>
  <c r="F9" i="152"/>
  <c r="F17" i="152"/>
  <c r="G17" i="152"/>
  <c r="G7" i="152"/>
  <c r="F16" i="152"/>
  <c r="F8" i="152"/>
  <c r="F12" i="151"/>
  <c r="G12" i="151"/>
  <c r="F7" i="151"/>
  <c r="G5" i="151"/>
  <c r="F11" i="151"/>
  <c r="G14" i="151"/>
  <c r="G15" i="151"/>
  <c r="F10" i="151"/>
  <c r="G10" i="151"/>
  <c r="F4" i="151"/>
  <c r="G4" i="151"/>
  <c r="G8" i="151"/>
  <c r="G7" i="151"/>
  <c r="F3" i="151"/>
  <c r="F13" i="152"/>
  <c r="BF15" i="21" s="1"/>
  <c r="G13" i="152"/>
  <c r="BG15" i="21" s="1"/>
  <c r="G5" i="152"/>
  <c r="BG7" i="21" s="1"/>
  <c r="F4" i="152"/>
  <c r="G4" i="152"/>
  <c r="F10" i="152"/>
  <c r="G10" i="152"/>
  <c r="G3" i="152"/>
  <c r="G9" i="152"/>
  <c r="F12" i="152"/>
  <c r="F14" i="152"/>
  <c r="BF16" i="21" s="1"/>
  <c r="F5" i="151"/>
  <c r="F9" i="151"/>
  <c r="G9" i="151"/>
  <c r="G13" i="151"/>
  <c r="G6" i="151"/>
  <c r="C4" i="88"/>
  <c r="C7" i="88"/>
  <c r="C8" i="88"/>
  <c r="C9" i="88"/>
  <c r="C10" i="88"/>
  <c r="C11" i="88"/>
  <c r="C12" i="88"/>
  <c r="C13" i="88"/>
  <c r="C14" i="88"/>
  <c r="C15" i="88"/>
  <c r="C16" i="88"/>
  <c r="C17" i="88"/>
  <c r="C18" i="88"/>
  <c r="C19" i="88"/>
  <c r="C20" i="88"/>
  <c r="C21" i="88"/>
  <c r="C22" i="88"/>
  <c r="C23" i="88"/>
  <c r="C24" i="88"/>
  <c r="C25" i="88"/>
  <c r="C26" i="88"/>
  <c r="C27" i="88"/>
  <c r="C28" i="88"/>
  <c r="C29" i="88"/>
  <c r="C30" i="88"/>
  <c r="C31" i="88"/>
  <c r="C32" i="88"/>
  <c r="C33" i="88"/>
  <c r="C34" i="88"/>
  <c r="C35" i="88"/>
  <c r="C36" i="88"/>
  <c r="C37" i="88"/>
  <c r="C38" i="88"/>
  <c r="C39" i="88"/>
  <c r="C40" i="88"/>
  <c r="C41" i="88"/>
  <c r="C42" i="88"/>
  <c r="C43" i="88"/>
  <c r="H3" i="88"/>
  <c r="P8" i="147" l="1"/>
  <c r="P3" i="147"/>
  <c r="M3" i="147" l="1"/>
  <c r="N3" i="147" s="1"/>
  <c r="O3" i="147"/>
  <c r="Q3" i="147"/>
  <c r="M4" i="147"/>
  <c r="N4" i="147"/>
  <c r="O4" i="147"/>
  <c r="P4" i="147"/>
  <c r="Q4" i="147"/>
  <c r="M5" i="147"/>
  <c r="N5" i="147" s="1"/>
  <c r="O5" i="147"/>
  <c r="P5" i="147"/>
  <c r="Q5" i="147"/>
  <c r="M6" i="147"/>
  <c r="N6" i="147" s="1"/>
  <c r="O6" i="147"/>
  <c r="P6" i="147"/>
  <c r="Q6" i="147"/>
  <c r="M7" i="147"/>
  <c r="N7" i="147"/>
  <c r="O7" i="147"/>
  <c r="P7" i="147"/>
  <c r="Q7" i="147"/>
  <c r="M8" i="147"/>
  <c r="N8" i="147" s="1"/>
  <c r="O8" i="147"/>
  <c r="Q8" i="147"/>
  <c r="M9" i="147"/>
  <c r="N9" i="147"/>
  <c r="O9" i="147"/>
  <c r="P9" i="147"/>
  <c r="Q9" i="147"/>
  <c r="M10" i="147"/>
  <c r="N10" i="147" s="1"/>
  <c r="O10" i="147"/>
  <c r="P10" i="147"/>
  <c r="Q10" i="147"/>
  <c r="P40" i="143" l="1"/>
  <c r="P31" i="143"/>
  <c r="P24" i="143"/>
  <c r="P12" i="143"/>
  <c r="P13" i="143"/>
  <c r="P14" i="143"/>
  <c r="P11" i="143"/>
  <c r="P14" i="144"/>
  <c r="P13" i="144"/>
  <c r="P12" i="144"/>
  <c r="P11" i="144"/>
  <c r="P24" i="144"/>
  <c r="P31" i="144"/>
  <c r="P40" i="144"/>
  <c r="P7" i="137"/>
  <c r="P9" i="137"/>
  <c r="P10" i="137"/>
  <c r="P11" i="137"/>
  <c r="P12" i="137"/>
  <c r="P13" i="137"/>
  <c r="P4" i="145"/>
  <c r="P5" i="145"/>
  <c r="P6" i="145"/>
  <c r="P7" i="145"/>
  <c r="P9" i="145"/>
  <c r="P10" i="145"/>
  <c r="P12" i="145"/>
  <c r="P11" i="145"/>
  <c r="M3" i="145"/>
  <c r="N3" i="145" s="1"/>
  <c r="O3" i="145"/>
  <c r="P3" i="145"/>
  <c r="Q3" i="145"/>
  <c r="M4" i="145"/>
  <c r="N4" i="145" s="1"/>
  <c r="O4" i="145"/>
  <c r="Q4" i="145"/>
  <c r="M5" i="145"/>
  <c r="N5" i="145" s="1"/>
  <c r="O5" i="145"/>
  <c r="Q5" i="145"/>
  <c r="M6" i="145"/>
  <c r="N6" i="145" s="1"/>
  <c r="O6" i="145"/>
  <c r="Q6" i="145"/>
  <c r="M7" i="145"/>
  <c r="N7" i="145" s="1"/>
  <c r="O7" i="145"/>
  <c r="Q7" i="145"/>
  <c r="M8" i="145"/>
  <c r="N8" i="145" s="1"/>
  <c r="O8" i="145"/>
  <c r="P8" i="145"/>
  <c r="Q8" i="145"/>
  <c r="M9" i="145"/>
  <c r="N9" i="145" s="1"/>
  <c r="O9" i="145"/>
  <c r="Q9" i="145"/>
  <c r="M10" i="145"/>
  <c r="N10" i="145" s="1"/>
  <c r="O10" i="145"/>
  <c r="Q10" i="145"/>
  <c r="M11" i="145"/>
  <c r="N11" i="145" s="1"/>
  <c r="O11" i="145"/>
  <c r="Q11" i="145"/>
  <c r="M12" i="145"/>
  <c r="N12" i="145" s="1"/>
  <c r="O12" i="145"/>
  <c r="Q12" i="145"/>
  <c r="M13" i="145"/>
  <c r="N13" i="145"/>
  <c r="O13" i="145"/>
  <c r="P13" i="145"/>
  <c r="Q13" i="145"/>
  <c r="M14" i="145"/>
  <c r="N14" i="145" s="1"/>
  <c r="O14" i="145"/>
  <c r="P14" i="145"/>
  <c r="Q14" i="145"/>
  <c r="M15" i="145"/>
  <c r="N15" i="145" s="1"/>
  <c r="O15" i="145"/>
  <c r="P15" i="145"/>
  <c r="Q15" i="145"/>
  <c r="M3" i="137" l="1"/>
  <c r="N3" i="137"/>
  <c r="O3" i="137"/>
  <c r="P3" i="137"/>
  <c r="Q3" i="137"/>
  <c r="M4" i="137"/>
  <c r="N4" i="137"/>
  <c r="O4" i="137"/>
  <c r="P4" i="137"/>
  <c r="Q4" i="137"/>
  <c r="M5" i="137"/>
  <c r="N5" i="137" s="1"/>
  <c r="O5" i="137"/>
  <c r="P5" i="137"/>
  <c r="Q5" i="137"/>
  <c r="M6" i="137"/>
  <c r="N6" i="137" s="1"/>
  <c r="O6" i="137"/>
  <c r="P6" i="137"/>
  <c r="Q6" i="137"/>
  <c r="M7" i="137"/>
  <c r="N7" i="137" s="1"/>
  <c r="O7" i="137"/>
  <c r="Q7" i="137"/>
  <c r="M8" i="137"/>
  <c r="N8" i="137" s="1"/>
  <c r="O8" i="137"/>
  <c r="P8" i="137"/>
  <c r="Q8" i="137"/>
  <c r="M9" i="137"/>
  <c r="N9" i="137" s="1"/>
  <c r="O9" i="137"/>
  <c r="Q9" i="137"/>
  <c r="M10" i="137"/>
  <c r="N10" i="137" s="1"/>
  <c r="O10" i="137"/>
  <c r="Q10" i="137"/>
  <c r="M11" i="137"/>
  <c r="N11" i="137" s="1"/>
  <c r="O11" i="137"/>
  <c r="Q11" i="137"/>
  <c r="M12" i="137"/>
  <c r="N12" i="137" s="1"/>
  <c r="O12" i="137"/>
  <c r="Q12" i="137"/>
  <c r="M13" i="137"/>
  <c r="N13" i="137"/>
  <c r="O13" i="137"/>
  <c r="Q13" i="137"/>
  <c r="M14" i="137"/>
  <c r="N14" i="137" s="1"/>
  <c r="O14" i="137"/>
  <c r="P14" i="137"/>
  <c r="Q14" i="137"/>
  <c r="M15" i="137"/>
  <c r="N15" i="137"/>
  <c r="O15" i="137"/>
  <c r="P15" i="137"/>
  <c r="Q15" i="137"/>
  <c r="Q43" i="144" l="1"/>
  <c r="P43" i="144"/>
  <c r="O43" i="144"/>
  <c r="M43" i="144"/>
  <c r="N43" i="144" s="1"/>
  <c r="Q42" i="144"/>
  <c r="P42" i="144"/>
  <c r="O42" i="144"/>
  <c r="M42" i="144"/>
  <c r="N42" i="144" s="1"/>
  <c r="Q41" i="144"/>
  <c r="P41" i="144"/>
  <c r="O41" i="144"/>
  <c r="M41" i="144"/>
  <c r="N41" i="144" s="1"/>
  <c r="Q40" i="144"/>
  <c r="O40" i="144"/>
  <c r="M40" i="144"/>
  <c r="N40" i="144" s="1"/>
  <c r="Q39" i="144"/>
  <c r="P39" i="144"/>
  <c r="O39" i="144"/>
  <c r="M39" i="144"/>
  <c r="N39" i="144" s="1"/>
  <c r="Q38" i="144"/>
  <c r="P38" i="144"/>
  <c r="O38" i="144"/>
  <c r="M38" i="144"/>
  <c r="N38" i="144" s="1"/>
  <c r="Q37" i="144"/>
  <c r="P37" i="144"/>
  <c r="O37" i="144"/>
  <c r="M37" i="144"/>
  <c r="N37" i="144" s="1"/>
  <c r="Q36" i="144"/>
  <c r="P36" i="144"/>
  <c r="O36" i="144"/>
  <c r="M36" i="144"/>
  <c r="N36" i="144" s="1"/>
  <c r="Q35" i="144"/>
  <c r="P35" i="144"/>
  <c r="O35" i="144"/>
  <c r="M35" i="144"/>
  <c r="N35" i="144" s="1"/>
  <c r="Q34" i="144"/>
  <c r="P34" i="144"/>
  <c r="O34" i="144"/>
  <c r="M34" i="144"/>
  <c r="N34" i="144" s="1"/>
  <c r="Q33" i="144"/>
  <c r="P33" i="144"/>
  <c r="O33" i="144"/>
  <c r="M33" i="144"/>
  <c r="N33" i="144" s="1"/>
  <c r="Q32" i="144"/>
  <c r="P32" i="144"/>
  <c r="O32" i="144"/>
  <c r="M32" i="144"/>
  <c r="N32" i="144" s="1"/>
  <c r="Q31" i="144"/>
  <c r="O31" i="144"/>
  <c r="M31" i="144"/>
  <c r="N31" i="144" s="1"/>
  <c r="Q30" i="144"/>
  <c r="P30" i="144"/>
  <c r="O30" i="144"/>
  <c r="M30" i="144"/>
  <c r="N30" i="144" s="1"/>
  <c r="Q29" i="144"/>
  <c r="P29" i="144"/>
  <c r="O29" i="144"/>
  <c r="M29" i="144"/>
  <c r="N29" i="144" s="1"/>
  <c r="Q28" i="144"/>
  <c r="P28" i="144"/>
  <c r="O28" i="144"/>
  <c r="M28" i="144"/>
  <c r="N28" i="144" s="1"/>
  <c r="Q27" i="144"/>
  <c r="P27" i="144"/>
  <c r="O27" i="144"/>
  <c r="M27" i="144"/>
  <c r="N27" i="144" s="1"/>
  <c r="Q26" i="144"/>
  <c r="P26" i="144"/>
  <c r="O26" i="144"/>
  <c r="M26" i="144"/>
  <c r="N26" i="144" s="1"/>
  <c r="Q25" i="144"/>
  <c r="P25" i="144"/>
  <c r="O25" i="144"/>
  <c r="M25" i="144"/>
  <c r="N25" i="144" s="1"/>
  <c r="Q24" i="144"/>
  <c r="O24" i="144"/>
  <c r="M24" i="144"/>
  <c r="N24" i="144" s="1"/>
  <c r="Q23" i="144"/>
  <c r="P23" i="144"/>
  <c r="O23" i="144"/>
  <c r="M23" i="144"/>
  <c r="N23" i="144" s="1"/>
  <c r="Q22" i="144"/>
  <c r="P22" i="144"/>
  <c r="O22" i="144"/>
  <c r="M22" i="144"/>
  <c r="N22" i="144" s="1"/>
  <c r="Q21" i="144"/>
  <c r="P21" i="144"/>
  <c r="O21" i="144"/>
  <c r="M21" i="144"/>
  <c r="N21" i="144" s="1"/>
  <c r="Q20" i="144"/>
  <c r="P20" i="144"/>
  <c r="O20" i="144"/>
  <c r="M20" i="144"/>
  <c r="N20" i="144" s="1"/>
  <c r="Q19" i="144"/>
  <c r="P19" i="144"/>
  <c r="O19" i="144"/>
  <c r="M19" i="144"/>
  <c r="N19" i="144" s="1"/>
  <c r="Q18" i="144"/>
  <c r="P18" i="144"/>
  <c r="O18" i="144"/>
  <c r="M18" i="144"/>
  <c r="N18" i="144" s="1"/>
  <c r="Q17" i="144"/>
  <c r="P17" i="144"/>
  <c r="O17" i="144"/>
  <c r="M17" i="144"/>
  <c r="N17" i="144" s="1"/>
  <c r="Q16" i="144"/>
  <c r="P16" i="144"/>
  <c r="O16" i="144"/>
  <c r="M16" i="144"/>
  <c r="N16" i="144" s="1"/>
  <c r="Q15" i="144"/>
  <c r="P15" i="144"/>
  <c r="O15" i="144"/>
  <c r="M15" i="144"/>
  <c r="N15" i="144" s="1"/>
  <c r="Q14" i="144"/>
  <c r="O14" i="144"/>
  <c r="M14" i="144"/>
  <c r="N14" i="144" s="1"/>
  <c r="Q13" i="144"/>
  <c r="O13" i="144"/>
  <c r="M13" i="144"/>
  <c r="N13" i="144" s="1"/>
  <c r="Q12" i="144"/>
  <c r="O12" i="144"/>
  <c r="M12" i="144"/>
  <c r="N12" i="144" s="1"/>
  <c r="Q11" i="144"/>
  <c r="O11" i="144"/>
  <c r="M11" i="144"/>
  <c r="N11" i="144" s="1"/>
  <c r="Q10" i="144"/>
  <c r="P10" i="144"/>
  <c r="O10" i="144"/>
  <c r="M10" i="144"/>
  <c r="N10" i="144" s="1"/>
  <c r="Q9" i="144"/>
  <c r="P9" i="144"/>
  <c r="O9" i="144"/>
  <c r="M9" i="144"/>
  <c r="N9" i="144" s="1"/>
  <c r="Q8" i="144"/>
  <c r="P8" i="144"/>
  <c r="O8" i="144"/>
  <c r="M8" i="144"/>
  <c r="N8" i="144" s="1"/>
  <c r="Q7" i="144"/>
  <c r="P7" i="144"/>
  <c r="O7" i="144"/>
  <c r="M7" i="144"/>
  <c r="N7" i="144" s="1"/>
  <c r="Q6" i="144"/>
  <c r="P6" i="144"/>
  <c r="O6" i="144"/>
  <c r="M6" i="144"/>
  <c r="N6" i="144" s="1"/>
  <c r="Q5" i="144"/>
  <c r="P5" i="144"/>
  <c r="O5" i="144"/>
  <c r="M5" i="144"/>
  <c r="N5" i="144" s="1"/>
  <c r="Q4" i="144"/>
  <c r="P4" i="144"/>
  <c r="O4" i="144"/>
  <c r="M4" i="144"/>
  <c r="N4" i="144" s="1"/>
  <c r="Q3" i="144"/>
  <c r="P3" i="144"/>
  <c r="O3" i="144"/>
  <c r="M3" i="144"/>
  <c r="N3" i="144" s="1"/>
  <c r="Q43" i="143"/>
  <c r="P43" i="143"/>
  <c r="O43" i="143"/>
  <c r="M43" i="143"/>
  <c r="N43" i="143" s="1"/>
  <c r="Q42" i="143"/>
  <c r="P42" i="143"/>
  <c r="O42" i="143"/>
  <c r="M42" i="143"/>
  <c r="N42" i="143" s="1"/>
  <c r="Q41" i="143"/>
  <c r="P41" i="143"/>
  <c r="O41" i="143"/>
  <c r="M41" i="143"/>
  <c r="N41" i="143" s="1"/>
  <c r="Q40" i="143"/>
  <c r="O40" i="143"/>
  <c r="M40" i="143"/>
  <c r="N40" i="143" s="1"/>
  <c r="Q39" i="143"/>
  <c r="P39" i="143"/>
  <c r="O39" i="143"/>
  <c r="M39" i="143"/>
  <c r="N39" i="143" s="1"/>
  <c r="Q38" i="143"/>
  <c r="P38" i="143"/>
  <c r="O38" i="143"/>
  <c r="M38" i="143"/>
  <c r="N38" i="143" s="1"/>
  <c r="Q37" i="143"/>
  <c r="P37" i="143"/>
  <c r="O37" i="143"/>
  <c r="M37" i="143"/>
  <c r="N37" i="143" s="1"/>
  <c r="Q36" i="143"/>
  <c r="P36" i="143"/>
  <c r="O36" i="143"/>
  <c r="M36" i="143"/>
  <c r="N36" i="143" s="1"/>
  <c r="Q35" i="143"/>
  <c r="P35" i="143"/>
  <c r="O35" i="143"/>
  <c r="M35" i="143"/>
  <c r="N35" i="143" s="1"/>
  <c r="Q34" i="143"/>
  <c r="P34" i="143"/>
  <c r="O34" i="143"/>
  <c r="M34" i="143"/>
  <c r="N34" i="143" s="1"/>
  <c r="Q33" i="143"/>
  <c r="P33" i="143"/>
  <c r="O33" i="143"/>
  <c r="M33" i="143"/>
  <c r="N33" i="143" s="1"/>
  <c r="Q32" i="143"/>
  <c r="P32" i="143"/>
  <c r="O32" i="143"/>
  <c r="M32" i="143"/>
  <c r="N32" i="143" s="1"/>
  <c r="Q31" i="143"/>
  <c r="O31" i="143"/>
  <c r="M31" i="143"/>
  <c r="N31" i="143" s="1"/>
  <c r="Q30" i="143"/>
  <c r="P30" i="143"/>
  <c r="O30" i="143"/>
  <c r="M30" i="143"/>
  <c r="N30" i="143" s="1"/>
  <c r="Q29" i="143"/>
  <c r="P29" i="143"/>
  <c r="O29" i="143"/>
  <c r="M29" i="143"/>
  <c r="N29" i="143" s="1"/>
  <c r="Q28" i="143"/>
  <c r="P28" i="143"/>
  <c r="O28" i="143"/>
  <c r="M28" i="143"/>
  <c r="N28" i="143" s="1"/>
  <c r="Q27" i="143"/>
  <c r="P27" i="143"/>
  <c r="O27" i="143"/>
  <c r="M27" i="143"/>
  <c r="N27" i="143" s="1"/>
  <c r="Q26" i="143"/>
  <c r="P26" i="143"/>
  <c r="O26" i="143"/>
  <c r="M26" i="143"/>
  <c r="N26" i="143" s="1"/>
  <c r="Q25" i="143"/>
  <c r="P25" i="143"/>
  <c r="O25" i="143"/>
  <c r="M25" i="143"/>
  <c r="N25" i="143" s="1"/>
  <c r="Q24" i="143"/>
  <c r="O24" i="143"/>
  <c r="M24" i="143"/>
  <c r="N24" i="143" s="1"/>
  <c r="Q23" i="143"/>
  <c r="P23" i="143"/>
  <c r="O23" i="143"/>
  <c r="M23" i="143"/>
  <c r="N23" i="143" s="1"/>
  <c r="Q22" i="143"/>
  <c r="P22" i="143"/>
  <c r="O22" i="143"/>
  <c r="M22" i="143"/>
  <c r="N22" i="143" s="1"/>
  <c r="Q21" i="143"/>
  <c r="P21" i="143"/>
  <c r="O21" i="143"/>
  <c r="M21" i="143"/>
  <c r="N21" i="143" s="1"/>
  <c r="Q20" i="143"/>
  <c r="P20" i="143"/>
  <c r="O20" i="143"/>
  <c r="M20" i="143"/>
  <c r="N20" i="143" s="1"/>
  <c r="Q19" i="143"/>
  <c r="P19" i="143"/>
  <c r="O19" i="143"/>
  <c r="M19" i="143"/>
  <c r="N19" i="143" s="1"/>
  <c r="Q18" i="143"/>
  <c r="P18" i="143"/>
  <c r="O18" i="143"/>
  <c r="M18" i="143"/>
  <c r="N18" i="143" s="1"/>
  <c r="Q17" i="143"/>
  <c r="P17" i="143"/>
  <c r="O17" i="143"/>
  <c r="M17" i="143"/>
  <c r="N17" i="143" s="1"/>
  <c r="Q16" i="143"/>
  <c r="P16" i="143"/>
  <c r="O16" i="143"/>
  <c r="M16" i="143"/>
  <c r="N16" i="143" s="1"/>
  <c r="Q15" i="143"/>
  <c r="P15" i="143"/>
  <c r="O15" i="143"/>
  <c r="M15" i="143"/>
  <c r="N15" i="143" s="1"/>
  <c r="Q14" i="143"/>
  <c r="O14" i="143"/>
  <c r="M14" i="143"/>
  <c r="N14" i="143" s="1"/>
  <c r="Q13" i="143"/>
  <c r="O13" i="143"/>
  <c r="M13" i="143"/>
  <c r="N13" i="143" s="1"/>
  <c r="Q12" i="143"/>
  <c r="O12" i="143"/>
  <c r="M12" i="143"/>
  <c r="N12" i="143" s="1"/>
  <c r="Q11" i="143"/>
  <c r="O11" i="143"/>
  <c r="M11" i="143"/>
  <c r="N11" i="143" s="1"/>
  <c r="Q10" i="143"/>
  <c r="P10" i="143"/>
  <c r="O10" i="143"/>
  <c r="M10" i="143"/>
  <c r="N10" i="143" s="1"/>
  <c r="Q9" i="143"/>
  <c r="P9" i="143"/>
  <c r="O9" i="143"/>
  <c r="M9" i="143"/>
  <c r="N9" i="143" s="1"/>
  <c r="Q8" i="143"/>
  <c r="P8" i="143"/>
  <c r="O8" i="143"/>
  <c r="M8" i="143"/>
  <c r="N8" i="143" s="1"/>
  <c r="Q7" i="143"/>
  <c r="P7" i="143"/>
  <c r="O7" i="143"/>
  <c r="M7" i="143"/>
  <c r="N7" i="143" s="1"/>
  <c r="Q6" i="143"/>
  <c r="P6" i="143"/>
  <c r="O6" i="143"/>
  <c r="M6" i="143"/>
  <c r="N6" i="143" s="1"/>
  <c r="Q5" i="143"/>
  <c r="P5" i="143"/>
  <c r="O5" i="143"/>
  <c r="M5" i="143"/>
  <c r="N5" i="143" s="1"/>
  <c r="Q4" i="143"/>
  <c r="P4" i="143"/>
  <c r="O4" i="143"/>
  <c r="M4" i="143"/>
  <c r="N4" i="143" s="1"/>
  <c r="Q3" i="143"/>
  <c r="P3" i="143"/>
  <c r="O3" i="143"/>
  <c r="M3" i="143"/>
  <c r="N3" i="143" s="1"/>
  <c r="M44" i="140" l="1"/>
  <c r="N44" i="140"/>
  <c r="O44" i="140"/>
  <c r="P44" i="140"/>
  <c r="Q44" i="140"/>
  <c r="M45" i="140"/>
  <c r="N45" i="140"/>
  <c r="O45" i="140"/>
  <c r="P45" i="140"/>
  <c r="Q45" i="140"/>
  <c r="M46" i="140"/>
  <c r="N46" i="140"/>
  <c r="O46" i="140"/>
  <c r="P46" i="140"/>
  <c r="Q46" i="140"/>
  <c r="M47" i="140"/>
  <c r="N47" i="140" s="1"/>
  <c r="O47" i="140"/>
  <c r="P47" i="140"/>
  <c r="Q47" i="140"/>
  <c r="M48" i="140"/>
  <c r="N48" i="140"/>
  <c r="O48" i="140"/>
  <c r="P48" i="140"/>
  <c r="Q48" i="140"/>
  <c r="M49" i="140"/>
  <c r="N49" i="140"/>
  <c r="O49" i="140"/>
  <c r="P49" i="140"/>
  <c r="Q49" i="140"/>
  <c r="M50" i="140"/>
  <c r="N50" i="140"/>
  <c r="O50" i="140"/>
  <c r="P50" i="140"/>
  <c r="Q50" i="140"/>
  <c r="M51" i="140"/>
  <c r="N51" i="140" s="1"/>
  <c r="O51" i="140"/>
  <c r="P51" i="140"/>
  <c r="Q51" i="140"/>
  <c r="M52" i="140"/>
  <c r="N52" i="140"/>
  <c r="O52" i="140"/>
  <c r="P52" i="140"/>
  <c r="Q52" i="140"/>
  <c r="M53" i="140"/>
  <c r="N53" i="140"/>
  <c r="O53" i="140"/>
  <c r="P53" i="140"/>
  <c r="Q53" i="140"/>
  <c r="M54" i="140"/>
  <c r="N54" i="140"/>
  <c r="O54" i="140"/>
  <c r="Q54" i="140"/>
  <c r="M55" i="140"/>
  <c r="N55" i="140" s="1"/>
  <c r="O55" i="140"/>
  <c r="P55" i="140"/>
  <c r="Q55" i="140"/>
  <c r="M56" i="140"/>
  <c r="N56" i="140"/>
  <c r="O56" i="140"/>
  <c r="P56" i="140"/>
  <c r="Q56" i="140"/>
  <c r="M44" i="139" l="1"/>
  <c r="N44" i="139"/>
  <c r="O44" i="139"/>
  <c r="P44" i="139"/>
  <c r="Q44" i="139"/>
  <c r="M45" i="139"/>
  <c r="N45" i="139"/>
  <c r="O45" i="139"/>
  <c r="P45" i="139"/>
  <c r="Q45" i="139"/>
  <c r="M46" i="139"/>
  <c r="N46" i="139"/>
  <c r="O46" i="139"/>
  <c r="P46" i="139"/>
  <c r="Q46" i="139"/>
  <c r="M47" i="139"/>
  <c r="N47" i="139" s="1"/>
  <c r="O47" i="139"/>
  <c r="P47" i="139"/>
  <c r="Q47" i="139"/>
  <c r="M48" i="139"/>
  <c r="N48" i="139"/>
  <c r="O48" i="139"/>
  <c r="P48" i="139"/>
  <c r="Q48" i="139"/>
  <c r="M49" i="139"/>
  <c r="N49" i="139"/>
  <c r="O49" i="139"/>
  <c r="P49" i="139"/>
  <c r="Q49" i="139"/>
  <c r="M50" i="139"/>
  <c r="N50" i="139"/>
  <c r="O50" i="139"/>
  <c r="P50" i="139"/>
  <c r="Q50" i="139"/>
  <c r="M51" i="139"/>
  <c r="N51" i="139" s="1"/>
  <c r="O51" i="139"/>
  <c r="P51" i="139"/>
  <c r="Q51" i="139"/>
  <c r="M52" i="139"/>
  <c r="N52" i="139"/>
  <c r="O52" i="139"/>
  <c r="P52" i="139"/>
  <c r="Q52" i="139"/>
  <c r="M53" i="139"/>
  <c r="N53" i="139"/>
  <c r="O53" i="139"/>
  <c r="P53" i="139"/>
  <c r="Q53" i="139"/>
  <c r="M54" i="139"/>
  <c r="N54" i="139"/>
  <c r="O54" i="139"/>
  <c r="P54" i="139"/>
  <c r="Q54" i="139"/>
  <c r="M55" i="139"/>
  <c r="N55" i="139" s="1"/>
  <c r="O55" i="139"/>
  <c r="P55" i="139"/>
  <c r="Q55" i="139"/>
  <c r="M6" i="138" l="1"/>
  <c r="N6" i="138"/>
  <c r="O6" i="138"/>
  <c r="P6" i="138"/>
  <c r="Q6" i="138"/>
  <c r="M7" i="138"/>
  <c r="N7" i="138"/>
  <c r="O7" i="138"/>
  <c r="P7" i="138"/>
  <c r="Q7" i="138"/>
  <c r="M8" i="138"/>
  <c r="N8" i="138"/>
  <c r="O8" i="138"/>
  <c r="P8" i="138"/>
  <c r="Q8" i="138"/>
  <c r="M9" i="138"/>
  <c r="N9" i="138" s="1"/>
  <c r="O9" i="138"/>
  <c r="P9" i="138"/>
  <c r="Q9" i="138"/>
  <c r="M11" i="138"/>
  <c r="N11" i="138"/>
  <c r="O11" i="138"/>
  <c r="P11" i="138"/>
  <c r="Q11" i="138"/>
  <c r="M12" i="138"/>
  <c r="N12" i="138"/>
  <c r="O12" i="138"/>
  <c r="P12" i="138"/>
  <c r="Q12" i="138"/>
  <c r="M13" i="138"/>
  <c r="N13" i="138" s="1"/>
  <c r="O13" i="138"/>
  <c r="P13" i="138"/>
  <c r="Q13" i="138"/>
  <c r="M14" i="138"/>
  <c r="N14" i="138"/>
  <c r="O14" i="138"/>
  <c r="P14" i="138"/>
  <c r="Q14" i="138"/>
  <c r="M15" i="138"/>
  <c r="N15" i="138"/>
  <c r="O15" i="138"/>
  <c r="P15" i="138"/>
  <c r="Q15" i="138"/>
  <c r="M16" i="138"/>
  <c r="N16" i="138"/>
  <c r="O16" i="138"/>
  <c r="P16" i="138"/>
  <c r="Q16" i="138"/>
  <c r="M17" i="138"/>
  <c r="N17" i="138" s="1"/>
  <c r="O17" i="138"/>
  <c r="P17" i="138"/>
  <c r="Q17" i="138"/>
  <c r="M18" i="138"/>
  <c r="N18" i="138"/>
  <c r="O18" i="138"/>
  <c r="P18" i="138"/>
  <c r="Q18" i="138"/>
  <c r="M19" i="138"/>
  <c r="N19" i="138"/>
  <c r="O19" i="138"/>
  <c r="P19" i="138"/>
  <c r="Q19" i="138"/>
  <c r="M20" i="138"/>
  <c r="N20" i="138"/>
  <c r="O20" i="138"/>
  <c r="P20" i="138"/>
  <c r="Q20" i="138"/>
  <c r="M21" i="138"/>
  <c r="N21" i="138" s="1"/>
  <c r="O21" i="138"/>
  <c r="P21" i="138"/>
  <c r="Q21" i="138"/>
  <c r="M22" i="138"/>
  <c r="N22" i="138"/>
  <c r="O22" i="138"/>
  <c r="P22" i="138"/>
  <c r="Q22" i="138"/>
  <c r="M23" i="138"/>
  <c r="N23" i="138"/>
  <c r="O23" i="138"/>
  <c r="P23" i="138"/>
  <c r="Q23" i="138"/>
  <c r="M25" i="138"/>
  <c r="N25" i="138" s="1"/>
  <c r="O25" i="138"/>
  <c r="P25" i="138"/>
  <c r="Q25" i="138"/>
  <c r="M26" i="138"/>
  <c r="N26" i="138"/>
  <c r="O26" i="138"/>
  <c r="P26" i="138"/>
  <c r="Q26" i="138"/>
  <c r="M27" i="138"/>
  <c r="N27" i="138"/>
  <c r="O27" i="138"/>
  <c r="P27" i="138"/>
  <c r="Q27" i="138"/>
  <c r="M28" i="138"/>
  <c r="N28" i="138"/>
  <c r="O28" i="138"/>
  <c r="P28" i="138"/>
  <c r="Q28" i="138"/>
  <c r="M29" i="138"/>
  <c r="N29" i="138" s="1"/>
  <c r="O29" i="138"/>
  <c r="P29" i="138"/>
  <c r="Q29" i="138"/>
  <c r="M30" i="138"/>
  <c r="N30" i="138"/>
  <c r="O30" i="138"/>
  <c r="P30" i="138"/>
  <c r="Q30" i="138"/>
  <c r="M31" i="138"/>
  <c r="N31" i="138"/>
  <c r="O31" i="138"/>
  <c r="P31" i="138"/>
  <c r="Q31" i="138"/>
  <c r="M32" i="138"/>
  <c r="N32" i="138"/>
  <c r="O32" i="138"/>
  <c r="P32" i="138"/>
  <c r="Q32" i="138"/>
  <c r="M33" i="138"/>
  <c r="N33" i="138" s="1"/>
  <c r="O33" i="138"/>
  <c r="P33" i="138"/>
  <c r="Q33" i="138"/>
  <c r="M34" i="138"/>
  <c r="N34" i="138"/>
  <c r="O34" i="138"/>
  <c r="P34" i="138"/>
  <c r="Q34" i="138"/>
  <c r="M38" i="138"/>
  <c r="N38" i="138"/>
  <c r="O38" i="138"/>
  <c r="P38" i="138"/>
  <c r="Q38" i="138"/>
  <c r="M39" i="138"/>
  <c r="N39" i="138"/>
  <c r="O39" i="138"/>
  <c r="P39" i="138"/>
  <c r="Q39" i="138"/>
  <c r="M40" i="138"/>
  <c r="N40" i="138"/>
  <c r="O40" i="138"/>
  <c r="P40" i="138"/>
  <c r="Q40" i="138"/>
  <c r="M44" i="138"/>
  <c r="N44" i="138"/>
  <c r="O44" i="138"/>
  <c r="P44" i="138"/>
  <c r="Q44" i="138"/>
  <c r="M45" i="138"/>
  <c r="N45" i="138" s="1"/>
  <c r="O45" i="138"/>
  <c r="P45" i="138"/>
  <c r="Q45" i="138"/>
  <c r="M46" i="138"/>
  <c r="N46" i="138"/>
  <c r="O46" i="138"/>
  <c r="P46" i="138"/>
  <c r="Q46" i="138"/>
  <c r="M47" i="138"/>
  <c r="N47" i="138"/>
  <c r="O47" i="138"/>
  <c r="P47" i="138"/>
  <c r="Q47" i="138"/>
  <c r="M44" i="142" l="1"/>
  <c r="N44" i="142"/>
  <c r="O44" i="142"/>
  <c r="P44" i="142"/>
  <c r="Q44" i="142"/>
  <c r="M45" i="142"/>
  <c r="N45" i="142"/>
  <c r="O45" i="142"/>
  <c r="P45" i="142"/>
  <c r="Q45" i="142"/>
  <c r="M46" i="142"/>
  <c r="N46" i="142"/>
  <c r="O46" i="142"/>
  <c r="P46" i="142"/>
  <c r="Q46" i="142"/>
  <c r="M47" i="142"/>
  <c r="N47" i="142" s="1"/>
  <c r="O47" i="142"/>
  <c r="P47" i="142"/>
  <c r="Q47" i="142"/>
  <c r="M48" i="142"/>
  <c r="N48" i="142"/>
  <c r="O48" i="142"/>
  <c r="P48" i="142"/>
  <c r="Q48" i="142"/>
  <c r="M49" i="142"/>
  <c r="N49" i="142"/>
  <c r="O49" i="142"/>
  <c r="P49" i="142"/>
  <c r="Q49" i="142"/>
  <c r="M50" i="142"/>
  <c r="N50" i="142"/>
  <c r="O50" i="142"/>
  <c r="P50" i="142"/>
  <c r="Q50" i="142"/>
  <c r="M51" i="142"/>
  <c r="N51" i="142" s="1"/>
  <c r="O51" i="142"/>
  <c r="P51" i="142"/>
  <c r="Q51" i="142"/>
  <c r="M52" i="142"/>
  <c r="N52" i="142"/>
  <c r="O52" i="142"/>
  <c r="P52" i="142"/>
  <c r="Q52" i="142"/>
  <c r="M53" i="142"/>
  <c r="N53" i="142"/>
  <c r="O53" i="142"/>
  <c r="P53" i="142"/>
  <c r="Q53" i="142"/>
  <c r="M54" i="142"/>
  <c r="N54" i="142"/>
  <c r="O54" i="142"/>
  <c r="P54" i="142"/>
  <c r="Q54" i="142"/>
  <c r="M55" i="142"/>
  <c r="N55" i="142" s="1"/>
  <c r="O55" i="142"/>
  <c r="P55" i="142"/>
  <c r="Q55" i="142"/>
  <c r="M56" i="142"/>
  <c r="N56" i="142"/>
  <c r="O56" i="142"/>
  <c r="P56" i="142"/>
  <c r="Q56" i="142"/>
  <c r="Q43" i="142"/>
  <c r="P43" i="142"/>
  <c r="O43" i="142"/>
  <c r="M43" i="142"/>
  <c r="N43" i="142" s="1"/>
  <c r="Q42" i="142"/>
  <c r="P42" i="142"/>
  <c r="O42" i="142"/>
  <c r="M42" i="142"/>
  <c r="N42" i="142" s="1"/>
  <c r="Q41" i="142"/>
  <c r="P41" i="142"/>
  <c r="O41" i="142"/>
  <c r="M41" i="142"/>
  <c r="N41" i="142" s="1"/>
  <c r="Q40" i="142"/>
  <c r="P40" i="142"/>
  <c r="O40" i="142"/>
  <c r="N40" i="142"/>
  <c r="M40" i="142"/>
  <c r="Q39" i="142"/>
  <c r="P39" i="142"/>
  <c r="O39" i="142"/>
  <c r="M39" i="142"/>
  <c r="N39" i="142" s="1"/>
  <c r="Q38" i="142"/>
  <c r="P38" i="142"/>
  <c r="O38" i="142"/>
  <c r="M38" i="142"/>
  <c r="N38" i="142" s="1"/>
  <c r="Q37" i="142"/>
  <c r="P37" i="142"/>
  <c r="O37" i="142"/>
  <c r="M37" i="142"/>
  <c r="N37" i="142" s="1"/>
  <c r="Q36" i="142"/>
  <c r="P36" i="142"/>
  <c r="O36" i="142"/>
  <c r="N36" i="142"/>
  <c r="M36" i="142"/>
  <c r="Q35" i="142"/>
  <c r="P35" i="142"/>
  <c r="O35" i="142"/>
  <c r="M35" i="142"/>
  <c r="N35" i="142" s="1"/>
  <c r="Q34" i="142"/>
  <c r="P34" i="142"/>
  <c r="O34" i="142"/>
  <c r="M34" i="142"/>
  <c r="N34" i="142" s="1"/>
  <c r="Q33" i="142"/>
  <c r="P33" i="142"/>
  <c r="O33" i="142"/>
  <c r="M33" i="142"/>
  <c r="N33" i="142" s="1"/>
  <c r="Q32" i="142"/>
  <c r="P32" i="142"/>
  <c r="O32" i="142"/>
  <c r="N32" i="142"/>
  <c r="M32" i="142"/>
  <c r="Q31" i="142"/>
  <c r="P31" i="142"/>
  <c r="O31" i="142"/>
  <c r="M31" i="142"/>
  <c r="N31" i="142" s="1"/>
  <c r="Q30" i="142"/>
  <c r="P30" i="142"/>
  <c r="O30" i="142"/>
  <c r="M30" i="142"/>
  <c r="N30" i="142" s="1"/>
  <c r="Q29" i="142"/>
  <c r="P29" i="142"/>
  <c r="O29" i="142"/>
  <c r="M29" i="142"/>
  <c r="N29" i="142" s="1"/>
  <c r="Q28" i="142"/>
  <c r="P28" i="142"/>
  <c r="O28" i="142"/>
  <c r="N28" i="142"/>
  <c r="M28" i="142"/>
  <c r="Q27" i="142"/>
  <c r="P27" i="142"/>
  <c r="O27" i="142"/>
  <c r="M27" i="142"/>
  <c r="N27" i="142" s="1"/>
  <c r="Q26" i="142"/>
  <c r="P26" i="142"/>
  <c r="O26" i="142"/>
  <c r="M26" i="142"/>
  <c r="N26" i="142" s="1"/>
  <c r="Q25" i="142"/>
  <c r="P25" i="142"/>
  <c r="O25" i="142"/>
  <c r="M25" i="142"/>
  <c r="N25" i="142" s="1"/>
  <c r="Q24" i="142"/>
  <c r="P24" i="142"/>
  <c r="O24" i="142"/>
  <c r="N24" i="142"/>
  <c r="M24" i="142"/>
  <c r="Q23" i="142"/>
  <c r="P23" i="142"/>
  <c r="O23" i="142"/>
  <c r="M23" i="142"/>
  <c r="N23" i="142" s="1"/>
  <c r="Q22" i="142"/>
  <c r="P22" i="142"/>
  <c r="O22" i="142"/>
  <c r="M22" i="142"/>
  <c r="N22" i="142" s="1"/>
  <c r="Q21" i="142"/>
  <c r="P21" i="142"/>
  <c r="O21" i="142"/>
  <c r="M21" i="142"/>
  <c r="N21" i="142" s="1"/>
  <c r="Q20" i="142"/>
  <c r="P20" i="142"/>
  <c r="O20" i="142"/>
  <c r="N20" i="142"/>
  <c r="M20" i="142"/>
  <c r="Q19" i="142"/>
  <c r="P19" i="142"/>
  <c r="O19" i="142"/>
  <c r="M19" i="142"/>
  <c r="N19" i="142" s="1"/>
  <c r="Q18" i="142"/>
  <c r="P18" i="142"/>
  <c r="O18" i="142"/>
  <c r="M18" i="142"/>
  <c r="N18" i="142" s="1"/>
  <c r="Q17" i="142"/>
  <c r="P17" i="142"/>
  <c r="O17" i="142"/>
  <c r="M17" i="142"/>
  <c r="N17" i="142" s="1"/>
  <c r="Q16" i="142"/>
  <c r="P16" i="142"/>
  <c r="O16" i="142"/>
  <c r="N16" i="142"/>
  <c r="M16" i="142"/>
  <c r="Q15" i="142"/>
  <c r="P15" i="142"/>
  <c r="O15" i="142"/>
  <c r="M15" i="142"/>
  <c r="N15" i="142" s="1"/>
  <c r="Q14" i="142"/>
  <c r="P14" i="142"/>
  <c r="O14" i="142"/>
  <c r="M14" i="142"/>
  <c r="N14" i="142" s="1"/>
  <c r="Q13" i="142"/>
  <c r="P13" i="142"/>
  <c r="O13" i="142"/>
  <c r="M13" i="142"/>
  <c r="N13" i="142" s="1"/>
  <c r="Q12" i="142"/>
  <c r="P12" i="142"/>
  <c r="O12" i="142"/>
  <c r="N12" i="142"/>
  <c r="M12" i="142"/>
  <c r="Q11" i="142"/>
  <c r="P11" i="142"/>
  <c r="O11" i="142"/>
  <c r="M11" i="142"/>
  <c r="N11" i="142" s="1"/>
  <c r="Q10" i="142"/>
  <c r="P10" i="142"/>
  <c r="O10" i="142"/>
  <c r="M10" i="142"/>
  <c r="N10" i="142" s="1"/>
  <c r="Q9" i="142"/>
  <c r="P9" i="142"/>
  <c r="O9" i="142"/>
  <c r="M9" i="142"/>
  <c r="N9" i="142" s="1"/>
  <c r="Q8" i="142"/>
  <c r="P8" i="142"/>
  <c r="O8" i="142"/>
  <c r="N8" i="142"/>
  <c r="M8" i="142"/>
  <c r="Q7" i="142"/>
  <c r="P7" i="142"/>
  <c r="O7" i="142"/>
  <c r="M7" i="142"/>
  <c r="N7" i="142" s="1"/>
  <c r="Q6" i="142"/>
  <c r="P6" i="142"/>
  <c r="O6" i="142"/>
  <c r="M6" i="142"/>
  <c r="N6" i="142" s="1"/>
  <c r="Q5" i="142"/>
  <c r="P5" i="142"/>
  <c r="O5" i="142"/>
  <c r="M5" i="142"/>
  <c r="N5" i="142" s="1"/>
  <c r="Q4" i="142"/>
  <c r="P4" i="142"/>
  <c r="O4" i="142"/>
  <c r="N4" i="142"/>
  <c r="M4" i="142"/>
  <c r="Q3" i="142"/>
  <c r="P3" i="142"/>
  <c r="O3" i="142"/>
  <c r="M3" i="142"/>
  <c r="N3" i="142" s="1"/>
  <c r="Q43" i="140" l="1"/>
  <c r="P43" i="140"/>
  <c r="O43" i="140"/>
  <c r="M43" i="140"/>
  <c r="N43" i="140" s="1"/>
  <c r="Q42" i="140"/>
  <c r="P42" i="140"/>
  <c r="O42" i="140"/>
  <c r="M42" i="140"/>
  <c r="N42" i="140" s="1"/>
  <c r="Q41" i="140"/>
  <c r="P41" i="140"/>
  <c r="O41" i="140"/>
  <c r="M41" i="140"/>
  <c r="N41" i="140" s="1"/>
  <c r="Q40" i="140"/>
  <c r="P40" i="140"/>
  <c r="O40" i="140"/>
  <c r="M40" i="140"/>
  <c r="N40" i="140" s="1"/>
  <c r="Q39" i="140"/>
  <c r="P39" i="140"/>
  <c r="O39" i="140"/>
  <c r="M39" i="140"/>
  <c r="N39" i="140" s="1"/>
  <c r="Q38" i="140"/>
  <c r="P38" i="140"/>
  <c r="O38" i="140"/>
  <c r="M38" i="140"/>
  <c r="N38" i="140" s="1"/>
  <c r="Q37" i="140"/>
  <c r="P37" i="140"/>
  <c r="O37" i="140"/>
  <c r="M37" i="140"/>
  <c r="N37" i="140" s="1"/>
  <c r="Q36" i="140"/>
  <c r="P36" i="140"/>
  <c r="O36" i="140"/>
  <c r="M36" i="140"/>
  <c r="N36" i="140" s="1"/>
  <c r="Q35" i="140"/>
  <c r="P35" i="140"/>
  <c r="O35" i="140"/>
  <c r="M35" i="140"/>
  <c r="N35" i="140" s="1"/>
  <c r="Q34" i="140"/>
  <c r="P34" i="140"/>
  <c r="O34" i="140"/>
  <c r="M34" i="140"/>
  <c r="N34" i="140" s="1"/>
  <c r="Q33" i="140"/>
  <c r="P33" i="140"/>
  <c r="O33" i="140"/>
  <c r="M33" i="140"/>
  <c r="N33" i="140" s="1"/>
  <c r="Q32" i="140"/>
  <c r="P32" i="140"/>
  <c r="O32" i="140"/>
  <c r="M32" i="140"/>
  <c r="N32" i="140" s="1"/>
  <c r="Q31" i="140"/>
  <c r="P31" i="140"/>
  <c r="O31" i="140"/>
  <c r="M31" i="140"/>
  <c r="N31" i="140" s="1"/>
  <c r="Q30" i="140"/>
  <c r="P30" i="140"/>
  <c r="O30" i="140"/>
  <c r="M30" i="140"/>
  <c r="N30" i="140" s="1"/>
  <c r="Q29" i="140"/>
  <c r="P29" i="140"/>
  <c r="O29" i="140"/>
  <c r="M29" i="140"/>
  <c r="N29" i="140" s="1"/>
  <c r="Q28" i="140"/>
  <c r="P28" i="140"/>
  <c r="O28" i="140"/>
  <c r="M28" i="140"/>
  <c r="N28" i="140" s="1"/>
  <c r="Q27" i="140"/>
  <c r="P27" i="140"/>
  <c r="O27" i="140"/>
  <c r="M27" i="140"/>
  <c r="N27" i="140" s="1"/>
  <c r="Q26" i="140"/>
  <c r="P26" i="140"/>
  <c r="O26" i="140"/>
  <c r="M26" i="140"/>
  <c r="N26" i="140" s="1"/>
  <c r="Q25" i="140"/>
  <c r="P25" i="140"/>
  <c r="O25" i="140"/>
  <c r="M25" i="140"/>
  <c r="N25" i="140" s="1"/>
  <c r="Q24" i="140"/>
  <c r="P24" i="140"/>
  <c r="O24" i="140"/>
  <c r="M24" i="140"/>
  <c r="N24" i="140" s="1"/>
  <c r="Q23" i="140"/>
  <c r="P23" i="140"/>
  <c r="O23" i="140"/>
  <c r="M23" i="140"/>
  <c r="N23" i="140" s="1"/>
  <c r="Q22" i="140"/>
  <c r="P22" i="140"/>
  <c r="O22" i="140"/>
  <c r="M22" i="140"/>
  <c r="N22" i="140" s="1"/>
  <c r="Q21" i="140"/>
  <c r="P21" i="140"/>
  <c r="O21" i="140"/>
  <c r="M21" i="140"/>
  <c r="N21" i="140" s="1"/>
  <c r="Q20" i="140"/>
  <c r="P20" i="140"/>
  <c r="O20" i="140"/>
  <c r="M20" i="140"/>
  <c r="N20" i="140" s="1"/>
  <c r="Q19" i="140"/>
  <c r="P19" i="140"/>
  <c r="O19" i="140"/>
  <c r="M19" i="140"/>
  <c r="N19" i="140" s="1"/>
  <c r="Q18" i="140"/>
  <c r="P18" i="140"/>
  <c r="O18" i="140"/>
  <c r="M18" i="140"/>
  <c r="N18" i="140" s="1"/>
  <c r="Q17" i="140"/>
  <c r="P17" i="140"/>
  <c r="O17" i="140"/>
  <c r="M17" i="140"/>
  <c r="N17" i="140" s="1"/>
  <c r="Q16" i="140"/>
  <c r="P16" i="140"/>
  <c r="O16" i="140"/>
  <c r="M16" i="140"/>
  <c r="N16" i="140" s="1"/>
  <c r="Q15" i="140"/>
  <c r="P15" i="140"/>
  <c r="O15" i="140"/>
  <c r="M15" i="140"/>
  <c r="N15" i="140" s="1"/>
  <c r="Q14" i="140"/>
  <c r="P14" i="140"/>
  <c r="O14" i="140"/>
  <c r="M14" i="140"/>
  <c r="N14" i="140" s="1"/>
  <c r="Q13" i="140"/>
  <c r="P13" i="140"/>
  <c r="O13" i="140"/>
  <c r="M13" i="140"/>
  <c r="N13" i="140" s="1"/>
  <c r="Q12" i="140"/>
  <c r="P12" i="140"/>
  <c r="O12" i="140"/>
  <c r="M12" i="140"/>
  <c r="N12" i="140" s="1"/>
  <c r="Q11" i="140"/>
  <c r="P11" i="140"/>
  <c r="O11" i="140"/>
  <c r="M11" i="140"/>
  <c r="N11" i="140" s="1"/>
  <c r="Q10" i="140"/>
  <c r="P10" i="140"/>
  <c r="O10" i="140"/>
  <c r="M10" i="140"/>
  <c r="N10" i="140" s="1"/>
  <c r="Q9" i="140"/>
  <c r="P9" i="140"/>
  <c r="O9" i="140"/>
  <c r="M9" i="140"/>
  <c r="N9" i="140" s="1"/>
  <c r="Q8" i="140"/>
  <c r="P8" i="140"/>
  <c r="O8" i="140"/>
  <c r="M8" i="140"/>
  <c r="N8" i="140" s="1"/>
  <c r="Q7" i="140"/>
  <c r="P7" i="140"/>
  <c r="O7" i="140"/>
  <c r="M7" i="140"/>
  <c r="N7" i="140" s="1"/>
  <c r="Q6" i="140"/>
  <c r="P6" i="140"/>
  <c r="O6" i="140"/>
  <c r="M6" i="140"/>
  <c r="Q5" i="140"/>
  <c r="P5" i="140"/>
  <c r="O5" i="140"/>
  <c r="M5" i="140"/>
  <c r="Q4" i="140"/>
  <c r="P4" i="140"/>
  <c r="O4" i="140"/>
  <c r="M4" i="140"/>
  <c r="N4" i="140" s="1"/>
  <c r="Q3" i="140"/>
  <c r="P3" i="140"/>
  <c r="O3" i="140"/>
  <c r="M3" i="140"/>
  <c r="N3" i="140" s="1"/>
  <c r="Q43" i="139"/>
  <c r="P43" i="139"/>
  <c r="O43" i="139"/>
  <c r="M43" i="139"/>
  <c r="N43" i="139" s="1"/>
  <c r="Q42" i="139"/>
  <c r="P42" i="139"/>
  <c r="O42" i="139"/>
  <c r="M42" i="139"/>
  <c r="N42" i="139" s="1"/>
  <c r="Q41" i="139"/>
  <c r="P41" i="139"/>
  <c r="O41" i="139"/>
  <c r="M41" i="139"/>
  <c r="N41" i="139" s="1"/>
  <c r="Q40" i="139"/>
  <c r="P40" i="139"/>
  <c r="O40" i="139"/>
  <c r="M40" i="139"/>
  <c r="N40" i="139" s="1"/>
  <c r="Q39" i="139"/>
  <c r="P39" i="139"/>
  <c r="O39" i="139"/>
  <c r="M39" i="139"/>
  <c r="N39" i="139" s="1"/>
  <c r="Q38" i="139"/>
  <c r="P38" i="139"/>
  <c r="O38" i="139"/>
  <c r="M38" i="139"/>
  <c r="N38" i="139" s="1"/>
  <c r="Q37" i="139"/>
  <c r="P37" i="139"/>
  <c r="O37" i="139"/>
  <c r="M37" i="139"/>
  <c r="N37" i="139" s="1"/>
  <c r="Q36" i="139"/>
  <c r="P36" i="139"/>
  <c r="O36" i="139"/>
  <c r="M36" i="139"/>
  <c r="N36" i="139" s="1"/>
  <c r="Q35" i="139"/>
  <c r="P35" i="139"/>
  <c r="O35" i="139"/>
  <c r="M35" i="139"/>
  <c r="N35" i="139" s="1"/>
  <c r="Q34" i="139"/>
  <c r="P34" i="139"/>
  <c r="O34" i="139"/>
  <c r="M34" i="139"/>
  <c r="N34" i="139" s="1"/>
  <c r="Q33" i="139"/>
  <c r="P33" i="139"/>
  <c r="O33" i="139"/>
  <c r="M33" i="139"/>
  <c r="N33" i="139" s="1"/>
  <c r="Q32" i="139"/>
  <c r="P32" i="139"/>
  <c r="O32" i="139"/>
  <c r="M32" i="139"/>
  <c r="N32" i="139" s="1"/>
  <c r="Q31" i="139"/>
  <c r="P31" i="139"/>
  <c r="O31" i="139"/>
  <c r="M31" i="139"/>
  <c r="N31" i="139" s="1"/>
  <c r="Q30" i="139"/>
  <c r="P30" i="139"/>
  <c r="O30" i="139"/>
  <c r="M30" i="139"/>
  <c r="N30" i="139" s="1"/>
  <c r="Q29" i="139"/>
  <c r="P29" i="139"/>
  <c r="O29" i="139"/>
  <c r="M29" i="139"/>
  <c r="N29" i="139" s="1"/>
  <c r="Q28" i="139"/>
  <c r="P28" i="139"/>
  <c r="O28" i="139"/>
  <c r="M28" i="139"/>
  <c r="N28" i="139" s="1"/>
  <c r="Q27" i="139"/>
  <c r="P27" i="139"/>
  <c r="O27" i="139"/>
  <c r="N27" i="139"/>
  <c r="M27" i="139"/>
  <c r="Q26" i="139"/>
  <c r="P26" i="139"/>
  <c r="O26" i="139"/>
  <c r="M26" i="139"/>
  <c r="N26" i="139" s="1"/>
  <c r="Q25" i="139"/>
  <c r="P25" i="139"/>
  <c r="O25" i="139"/>
  <c r="M25" i="139"/>
  <c r="N25" i="139" s="1"/>
  <c r="Q24" i="139"/>
  <c r="P24" i="139"/>
  <c r="O24" i="139"/>
  <c r="M24" i="139"/>
  <c r="N24" i="139" s="1"/>
  <c r="Q23" i="139"/>
  <c r="P23" i="139"/>
  <c r="O23" i="139"/>
  <c r="M23" i="139"/>
  <c r="N23" i="139" s="1"/>
  <c r="Q22" i="139"/>
  <c r="P22" i="139"/>
  <c r="O22" i="139"/>
  <c r="M22" i="139"/>
  <c r="N22" i="139" s="1"/>
  <c r="Q21" i="139"/>
  <c r="P21" i="139"/>
  <c r="O21" i="139"/>
  <c r="M21" i="139"/>
  <c r="N21" i="139" s="1"/>
  <c r="Q20" i="139"/>
  <c r="P20" i="139"/>
  <c r="O20" i="139"/>
  <c r="M20" i="139"/>
  <c r="N20" i="139" s="1"/>
  <c r="Q19" i="139"/>
  <c r="P19" i="139"/>
  <c r="O19" i="139"/>
  <c r="M19" i="139"/>
  <c r="N19" i="139" s="1"/>
  <c r="Q18" i="139"/>
  <c r="P18" i="139"/>
  <c r="O18" i="139"/>
  <c r="M18" i="139"/>
  <c r="N18" i="139" s="1"/>
  <c r="Q17" i="139"/>
  <c r="P17" i="139"/>
  <c r="O17" i="139"/>
  <c r="M17" i="139"/>
  <c r="N17" i="139" s="1"/>
  <c r="Q16" i="139"/>
  <c r="P16" i="139"/>
  <c r="O16" i="139"/>
  <c r="M16" i="139"/>
  <c r="N16" i="139" s="1"/>
  <c r="Q15" i="139"/>
  <c r="P15" i="139"/>
  <c r="O15" i="139"/>
  <c r="M15" i="139"/>
  <c r="N15" i="139" s="1"/>
  <c r="Q14" i="139"/>
  <c r="P14" i="139"/>
  <c r="O14" i="139"/>
  <c r="M14" i="139"/>
  <c r="N14" i="139" s="1"/>
  <c r="Q13" i="139"/>
  <c r="P13" i="139"/>
  <c r="O13" i="139"/>
  <c r="M13" i="139"/>
  <c r="N13" i="139" s="1"/>
  <c r="Q12" i="139"/>
  <c r="P12" i="139"/>
  <c r="O12" i="139"/>
  <c r="M12" i="139"/>
  <c r="N12" i="139" s="1"/>
  <c r="Q11" i="139"/>
  <c r="P11" i="139"/>
  <c r="O11" i="139"/>
  <c r="M11" i="139"/>
  <c r="N11" i="139" s="1"/>
  <c r="Q10" i="139"/>
  <c r="P10" i="139"/>
  <c r="O10" i="139"/>
  <c r="M10" i="139"/>
  <c r="N10" i="139" s="1"/>
  <c r="Q9" i="139"/>
  <c r="P9" i="139"/>
  <c r="O9" i="139"/>
  <c r="M9" i="139"/>
  <c r="N9" i="139" s="1"/>
  <c r="Q8" i="139"/>
  <c r="P8" i="139"/>
  <c r="O8" i="139"/>
  <c r="M8" i="139"/>
  <c r="N8" i="139" s="1"/>
  <c r="Q7" i="139"/>
  <c r="P7" i="139"/>
  <c r="O7" i="139"/>
  <c r="M7" i="139"/>
  <c r="N7" i="139" s="1"/>
  <c r="Q6" i="139"/>
  <c r="P6" i="139"/>
  <c r="O6" i="139"/>
  <c r="M6" i="139"/>
  <c r="N6" i="139" s="1"/>
  <c r="Q5" i="139"/>
  <c r="P5" i="139"/>
  <c r="O5" i="139"/>
  <c r="M5" i="139"/>
  <c r="N5" i="139" s="1"/>
  <c r="Q4" i="139"/>
  <c r="P4" i="139"/>
  <c r="O4" i="139"/>
  <c r="M4" i="139"/>
  <c r="N4" i="139" s="1"/>
  <c r="Q3" i="139"/>
  <c r="P3" i="139"/>
  <c r="O3" i="139"/>
  <c r="M3" i="139"/>
  <c r="N3" i="139" s="1"/>
  <c r="Q5" i="138"/>
  <c r="P5" i="138"/>
  <c r="O5" i="138"/>
  <c r="M5" i="138"/>
  <c r="N5" i="138" s="1"/>
  <c r="Q4" i="138"/>
  <c r="P4" i="138"/>
  <c r="O4" i="138"/>
  <c r="M4" i="138"/>
  <c r="N4" i="138" s="1"/>
  <c r="Q3" i="138"/>
  <c r="P3" i="138"/>
  <c r="O3" i="138"/>
  <c r="M3" i="138"/>
  <c r="N3" i="138" s="1"/>
  <c r="M5" i="129"/>
  <c r="N5" i="129"/>
  <c r="O5" i="129"/>
  <c r="P5" i="129"/>
  <c r="Q5" i="129"/>
  <c r="M6" i="129"/>
  <c r="N6" i="129"/>
  <c r="O6" i="129"/>
  <c r="P6" i="129"/>
  <c r="Q6" i="129"/>
  <c r="M7" i="129"/>
  <c r="N7" i="129" s="1"/>
  <c r="O7" i="129"/>
  <c r="P7" i="129"/>
  <c r="Q7" i="129"/>
  <c r="M8" i="129"/>
  <c r="N8" i="129" s="1"/>
  <c r="O8" i="129"/>
  <c r="P8" i="129"/>
  <c r="Q8" i="129"/>
  <c r="M9" i="129"/>
  <c r="N9" i="129"/>
  <c r="O9" i="129"/>
  <c r="P9" i="129"/>
  <c r="Q9" i="129"/>
  <c r="M10" i="129"/>
  <c r="N10" i="129"/>
  <c r="O10" i="129"/>
  <c r="P10" i="129"/>
  <c r="Q10" i="129"/>
  <c r="M11" i="129"/>
  <c r="N11" i="129" s="1"/>
  <c r="O11" i="129"/>
  <c r="P11" i="129"/>
  <c r="Q11" i="129"/>
  <c r="M12" i="129"/>
  <c r="N12" i="129" s="1"/>
  <c r="O12" i="129"/>
  <c r="P12" i="129"/>
  <c r="Q12" i="129"/>
  <c r="M13" i="129"/>
  <c r="N13" i="129"/>
  <c r="O13" i="129"/>
  <c r="P13" i="129"/>
  <c r="Q13" i="129"/>
  <c r="M14" i="129"/>
  <c r="N14" i="129"/>
  <c r="O14" i="129"/>
  <c r="P14" i="129"/>
  <c r="Q14" i="129"/>
  <c r="M15" i="129"/>
  <c r="N15" i="129" s="1"/>
  <c r="O15" i="129"/>
  <c r="P15" i="129"/>
  <c r="Q15" i="129"/>
  <c r="M16" i="129"/>
  <c r="N16" i="129" s="1"/>
  <c r="O16" i="129"/>
  <c r="P16" i="129"/>
  <c r="Q16" i="129"/>
  <c r="M17" i="129"/>
  <c r="N17" i="129"/>
  <c r="O17" i="129"/>
  <c r="P17" i="129"/>
  <c r="Q17" i="129"/>
  <c r="M18" i="129"/>
  <c r="N18" i="129"/>
  <c r="O18" i="129"/>
  <c r="P18" i="129"/>
  <c r="Q18" i="129"/>
  <c r="M19" i="129"/>
  <c r="N19" i="129" s="1"/>
  <c r="O19" i="129"/>
  <c r="P19" i="129"/>
  <c r="Q19" i="129"/>
  <c r="M20" i="129"/>
  <c r="N20" i="129" s="1"/>
  <c r="O20" i="129"/>
  <c r="P20" i="129"/>
  <c r="Q20" i="129"/>
  <c r="M21" i="129"/>
  <c r="N21" i="129"/>
  <c r="O21" i="129"/>
  <c r="P21" i="129"/>
  <c r="Q21" i="129"/>
  <c r="M22" i="129"/>
  <c r="N22" i="129"/>
  <c r="O22" i="129"/>
  <c r="P22" i="129"/>
  <c r="Q22" i="129"/>
  <c r="M23" i="129"/>
  <c r="N23" i="129" s="1"/>
  <c r="O23" i="129"/>
  <c r="P23" i="129"/>
  <c r="Q23" i="129"/>
  <c r="M24" i="129"/>
  <c r="N24" i="129" s="1"/>
  <c r="O24" i="129"/>
  <c r="P24" i="129"/>
  <c r="Q24" i="129"/>
  <c r="M25" i="129"/>
  <c r="N25" i="129"/>
  <c r="O25" i="129"/>
  <c r="P25" i="129"/>
  <c r="Q25" i="129"/>
  <c r="M26" i="129"/>
  <c r="N26" i="129"/>
  <c r="O26" i="129"/>
  <c r="P26" i="129"/>
  <c r="Q26" i="129"/>
  <c r="M27" i="129"/>
  <c r="N27" i="129" s="1"/>
  <c r="O27" i="129"/>
  <c r="P27" i="129"/>
  <c r="Q27" i="129"/>
  <c r="M28" i="129"/>
  <c r="N28" i="129" s="1"/>
  <c r="O28" i="129"/>
  <c r="P28" i="129"/>
  <c r="Q28" i="129"/>
  <c r="M29" i="129"/>
  <c r="N29" i="129"/>
  <c r="O29" i="129"/>
  <c r="P29" i="129"/>
  <c r="Q29" i="129"/>
  <c r="M30" i="129"/>
  <c r="N30" i="129"/>
  <c r="O30" i="129"/>
  <c r="P30" i="129"/>
  <c r="Q30" i="129"/>
  <c r="M31" i="129"/>
  <c r="N31" i="129" s="1"/>
  <c r="O31" i="129"/>
  <c r="P31" i="129"/>
  <c r="Q31" i="129"/>
  <c r="M32" i="129"/>
  <c r="N32" i="129" s="1"/>
  <c r="O32" i="129"/>
  <c r="P32" i="129"/>
  <c r="Q32" i="129"/>
  <c r="M33" i="129"/>
  <c r="N33" i="129"/>
  <c r="O33" i="129"/>
  <c r="P33" i="129"/>
  <c r="Q33" i="129"/>
  <c r="M34" i="129"/>
  <c r="N34" i="129"/>
  <c r="O34" i="129"/>
  <c r="P34" i="129"/>
  <c r="Q34" i="129"/>
  <c r="M35" i="129"/>
  <c r="N35" i="129" s="1"/>
  <c r="O35" i="129"/>
  <c r="P35" i="129"/>
  <c r="Q35" i="129"/>
  <c r="M37" i="129"/>
  <c r="N37" i="129"/>
  <c r="O37" i="129"/>
  <c r="P37" i="129"/>
  <c r="Q37" i="129"/>
  <c r="M38" i="129"/>
  <c r="N38" i="129"/>
  <c r="O38" i="129"/>
  <c r="P38" i="129"/>
  <c r="Q38" i="129"/>
  <c r="M39" i="129"/>
  <c r="N39" i="129" s="1"/>
  <c r="O39" i="129"/>
  <c r="P39" i="129"/>
  <c r="Q39" i="129"/>
  <c r="M40" i="129"/>
  <c r="N40" i="129" s="1"/>
  <c r="O40" i="129"/>
  <c r="P40" i="129"/>
  <c r="Q40" i="129"/>
  <c r="M41" i="129"/>
  <c r="N41" i="129"/>
  <c r="O41" i="129"/>
  <c r="P41" i="129"/>
  <c r="Q41" i="129"/>
  <c r="M42" i="129"/>
  <c r="N42" i="129"/>
  <c r="O42" i="129"/>
  <c r="P42" i="129"/>
  <c r="Q42" i="129"/>
  <c r="M43" i="129"/>
  <c r="N43" i="129" s="1"/>
  <c r="O43" i="129"/>
  <c r="P43" i="129"/>
  <c r="Q43" i="129"/>
  <c r="Q4" i="129"/>
  <c r="P4" i="129"/>
  <c r="O4" i="129"/>
  <c r="M4" i="129"/>
  <c r="N4" i="129" s="1"/>
  <c r="Q3" i="129"/>
  <c r="P3" i="129"/>
  <c r="O3" i="129"/>
  <c r="M3" i="129"/>
  <c r="N3" i="129" s="1"/>
  <c r="N5" i="140" l="1"/>
  <c r="C5" i="88"/>
  <c r="N6" i="140"/>
  <c r="C6" i="88"/>
  <c r="AM9" i="7" l="1"/>
  <c r="AH5" i="23"/>
  <c r="AG5" i="23"/>
  <c r="AR12" i="21" l="1"/>
  <c r="AR6" i="21"/>
  <c r="AR7" i="21"/>
  <c r="AR8" i="21"/>
  <c r="AR9" i="21"/>
  <c r="AR10" i="21"/>
  <c r="AR11" i="21"/>
  <c r="AR13" i="21"/>
  <c r="AR15" i="21"/>
  <c r="AR16" i="21"/>
  <c r="AR17" i="21"/>
  <c r="AR4" i="21"/>
  <c r="AD4" i="22"/>
  <c r="AD5" i="22"/>
  <c r="AD6" i="22"/>
  <c r="AD7" i="22"/>
  <c r="AD8" i="22"/>
  <c r="AD9" i="22"/>
  <c r="AD10" i="22"/>
  <c r="AD11" i="22"/>
  <c r="AD12" i="22"/>
  <c r="AD13" i="22"/>
  <c r="AD14" i="22"/>
  <c r="AD15" i="22"/>
  <c r="AD16" i="22"/>
  <c r="AD17" i="22"/>
  <c r="AD18" i="22"/>
  <c r="Y5" i="23"/>
  <c r="Y6" i="23"/>
  <c r="Y7" i="23"/>
  <c r="Y8" i="23"/>
  <c r="Y9" i="23"/>
  <c r="Y10" i="23"/>
  <c r="Y11" i="23"/>
  <c r="Y12" i="23"/>
  <c r="Y13" i="23"/>
  <c r="Y14" i="23"/>
  <c r="Y15" i="23"/>
  <c r="Y4" i="23"/>
  <c r="AM5" i="22"/>
  <c r="AM6" i="22"/>
  <c r="AX6" i="22" s="1"/>
  <c r="AM7" i="22"/>
  <c r="AM8" i="22"/>
  <c r="AM9" i="22"/>
  <c r="AM10" i="22"/>
  <c r="AM11" i="22"/>
  <c r="AM12" i="22"/>
  <c r="AM13" i="22"/>
  <c r="AM14" i="22"/>
  <c r="AM15" i="22"/>
  <c r="AM16" i="22"/>
  <c r="AM17" i="22"/>
  <c r="AM18" i="22"/>
  <c r="AX18" i="22" s="1"/>
  <c r="AM4" i="22"/>
  <c r="BA5" i="21"/>
  <c r="BA6" i="21"/>
  <c r="BA7" i="21"/>
  <c r="BA8" i="21"/>
  <c r="BA9" i="21"/>
  <c r="BA10" i="21"/>
  <c r="BA11" i="21"/>
  <c r="BA12" i="21"/>
  <c r="BA13" i="21"/>
  <c r="BA14" i="21"/>
  <c r="BA15" i="21"/>
  <c r="BA16" i="21"/>
  <c r="BA17" i="21"/>
  <c r="BA4" i="21"/>
  <c r="AM8" i="7"/>
  <c r="AM7" i="7"/>
  <c r="AM25" i="7"/>
  <c r="AM26" i="7"/>
  <c r="AM27" i="7"/>
  <c r="AM28" i="7"/>
  <c r="AM29" i="7"/>
  <c r="AM30" i="7"/>
  <c r="AM31" i="7"/>
  <c r="AM32" i="7"/>
  <c r="AM33" i="7"/>
  <c r="AM41" i="7"/>
  <c r="AM42" i="7"/>
  <c r="AM43" i="7"/>
  <c r="AM44" i="7"/>
  <c r="AM45" i="7"/>
  <c r="AM46" i="7"/>
  <c r="AM34" i="7"/>
  <c r="AM35" i="7"/>
  <c r="AM36" i="7"/>
  <c r="AM37" i="7"/>
  <c r="AM38" i="7"/>
  <c r="AM39" i="7"/>
  <c r="AM40" i="7"/>
  <c r="AM5" i="7"/>
  <c r="AM6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4" i="7"/>
  <c r="AX5" i="7" l="1"/>
  <c r="AX4" i="7"/>
  <c r="AI40" i="7"/>
  <c r="AI39" i="7"/>
  <c r="AI38" i="7"/>
  <c r="AI37" i="7"/>
  <c r="AI36" i="7"/>
  <c r="AI35" i="7"/>
  <c r="AI34" i="7"/>
  <c r="AI46" i="7"/>
  <c r="AI45" i="7"/>
  <c r="AI44" i="7"/>
  <c r="AI43" i="7"/>
  <c r="AI42" i="7"/>
  <c r="AI41" i="7"/>
  <c r="AI33" i="7"/>
  <c r="AI32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8" i="7"/>
  <c r="AI7" i="7"/>
  <c r="AI6" i="7"/>
  <c r="AI5" i="7"/>
  <c r="AI4" i="7"/>
  <c r="BJ10" i="21" l="1"/>
  <c r="BJ12" i="21"/>
  <c r="BJ13" i="21"/>
  <c r="BJ4" i="21"/>
  <c r="BI4" i="21"/>
  <c r="AG4" i="23"/>
  <c r="BH17" i="21"/>
  <c r="BH5" i="21"/>
  <c r="BH16" i="21"/>
  <c r="AF14" i="23"/>
  <c r="AH4" i="23"/>
  <c r="BI10" i="21"/>
  <c r="BI12" i="21"/>
  <c r="BL4" i="21" l="1"/>
  <c r="BH6" i="21"/>
  <c r="BH8" i="21"/>
  <c r="BH9" i="21"/>
  <c r="BL10" i="21"/>
  <c r="BH11" i="21"/>
  <c r="BL12" i="21"/>
  <c r="BL13" i="21"/>
  <c r="BH14" i="21"/>
  <c r="BH15" i="21"/>
  <c r="AX10" i="22"/>
  <c r="AJ5" i="23"/>
  <c r="AF6" i="23"/>
  <c r="AF7" i="23"/>
  <c r="AF8" i="23"/>
  <c r="AF9" i="23"/>
  <c r="AF10" i="23"/>
  <c r="AF11" i="23"/>
  <c r="AF12" i="23"/>
  <c r="AF13" i="23"/>
  <c r="AF15" i="23"/>
  <c r="AJ4" i="23"/>
  <c r="AX4" i="22"/>
  <c r="AX11" i="22" l="1"/>
  <c r="AF5" i="23"/>
  <c r="AF4" i="23"/>
  <c r="BH13" i="21"/>
  <c r="BH12" i="21"/>
  <c r="BH10" i="21"/>
  <c r="BH4" i="21"/>
  <c r="AT4" i="22"/>
  <c r="BI13" i="21"/>
  <c r="AH13" i="23"/>
  <c r="AG14" i="23"/>
  <c r="BI17" i="21"/>
  <c r="AH8" i="23"/>
  <c r="BJ15" i="21"/>
  <c r="BJ11" i="21"/>
  <c r="AH15" i="23"/>
  <c r="BI5" i="21"/>
  <c r="BI14" i="21"/>
  <c r="BI6" i="21"/>
  <c r="BI15" i="21"/>
  <c r="BI9" i="21"/>
  <c r="BI11" i="21"/>
  <c r="BJ5" i="21"/>
  <c r="AG11" i="23"/>
  <c r="AG6" i="23"/>
  <c r="AG15" i="23"/>
  <c r="AG13" i="23"/>
  <c r="AH12" i="23"/>
  <c r="AG8" i="23"/>
  <c r="AG7" i="23"/>
  <c r="BJ16" i="21"/>
  <c r="BI16" i="21"/>
  <c r="BJ17" i="21"/>
  <c r="BJ9" i="21"/>
  <c r="BJ8" i="21"/>
  <c r="BI8" i="21"/>
  <c r="BJ14" i="21"/>
  <c r="BJ6" i="21"/>
  <c r="AG12" i="23"/>
  <c r="AH9" i="23"/>
  <c r="AG9" i="23"/>
  <c r="AG10" i="23"/>
  <c r="AH11" i="23"/>
  <c r="AH7" i="23"/>
  <c r="AH14" i="23"/>
  <c r="AH10" i="23"/>
  <c r="AH6" i="23"/>
  <c r="AV4" i="22"/>
  <c r="AU4" i="22"/>
  <c r="M6" i="100" l="1"/>
  <c r="O6" i="100"/>
  <c r="P6" i="100"/>
  <c r="Q6" i="100"/>
  <c r="M21" i="100"/>
  <c r="N21" i="100" s="1"/>
  <c r="O21" i="100"/>
  <c r="P21" i="100"/>
  <c r="Q21" i="100"/>
  <c r="M22" i="100"/>
  <c r="N22" i="100" s="1"/>
  <c r="O22" i="100"/>
  <c r="P22" i="100"/>
  <c r="Q22" i="100"/>
  <c r="M27" i="100"/>
  <c r="N27" i="100" s="1"/>
  <c r="O27" i="100"/>
  <c r="P27" i="100"/>
  <c r="Q27" i="100"/>
  <c r="M28" i="100"/>
  <c r="N28" i="100" s="1"/>
  <c r="O28" i="100"/>
  <c r="P28" i="100"/>
  <c r="Q28" i="100"/>
  <c r="N6" i="100" l="1"/>
  <c r="Q42" i="100" l="1"/>
  <c r="P42" i="100"/>
  <c r="O42" i="100"/>
  <c r="M42" i="100"/>
  <c r="Q41" i="100"/>
  <c r="P41" i="100"/>
  <c r="O41" i="100"/>
  <c r="Q40" i="100"/>
  <c r="P40" i="100"/>
  <c r="O40" i="100"/>
  <c r="M40" i="100"/>
  <c r="Q39" i="100"/>
  <c r="P39" i="100"/>
  <c r="O39" i="100"/>
  <c r="Q38" i="100"/>
  <c r="P38" i="100"/>
  <c r="O38" i="100"/>
  <c r="M38" i="100"/>
  <c r="Q35" i="100"/>
  <c r="P35" i="100"/>
  <c r="O35" i="100"/>
  <c r="Q33" i="100"/>
  <c r="P33" i="100"/>
  <c r="O33" i="100"/>
  <c r="Q32" i="100"/>
  <c r="P32" i="100"/>
  <c r="O32" i="100"/>
  <c r="M32" i="100"/>
  <c r="Q31" i="100"/>
  <c r="P31" i="100"/>
  <c r="O31" i="100"/>
  <c r="Q30" i="100"/>
  <c r="P30" i="100"/>
  <c r="O30" i="100"/>
  <c r="M30" i="100"/>
  <c r="Q29" i="100"/>
  <c r="P29" i="100"/>
  <c r="O29" i="100"/>
  <c r="Q26" i="100"/>
  <c r="P26" i="100"/>
  <c r="O26" i="100"/>
  <c r="M26" i="100"/>
  <c r="Q25" i="100"/>
  <c r="P25" i="100"/>
  <c r="O25" i="100"/>
  <c r="Q24" i="100"/>
  <c r="P24" i="100"/>
  <c r="O24" i="100"/>
  <c r="M24" i="100"/>
  <c r="Q23" i="100"/>
  <c r="P23" i="100"/>
  <c r="O23" i="100"/>
  <c r="Q20" i="100"/>
  <c r="P20" i="100"/>
  <c r="O20" i="100"/>
  <c r="M20" i="100"/>
  <c r="Q19" i="100"/>
  <c r="P19" i="100"/>
  <c r="O19" i="100"/>
  <c r="M18" i="100"/>
  <c r="Q17" i="100"/>
  <c r="P17" i="100"/>
  <c r="O17" i="100"/>
  <c r="Q16" i="100"/>
  <c r="P16" i="100"/>
  <c r="O16" i="100"/>
  <c r="M16" i="100"/>
  <c r="Q14" i="100"/>
  <c r="P14" i="100"/>
  <c r="O14" i="100"/>
  <c r="M14" i="100"/>
  <c r="Q13" i="100"/>
  <c r="P13" i="100"/>
  <c r="O13" i="100"/>
  <c r="Q12" i="100"/>
  <c r="P12" i="100"/>
  <c r="O12" i="100"/>
  <c r="M12" i="100"/>
  <c r="Q11" i="100"/>
  <c r="P11" i="100"/>
  <c r="O11" i="100"/>
  <c r="Q10" i="100"/>
  <c r="P10" i="100"/>
  <c r="O10" i="100"/>
  <c r="Q9" i="100"/>
  <c r="P9" i="100"/>
  <c r="O9" i="100"/>
  <c r="Q8" i="100"/>
  <c r="P8" i="100"/>
  <c r="O8" i="100"/>
  <c r="M8" i="100"/>
  <c r="Q7" i="100"/>
  <c r="P7" i="100"/>
  <c r="O7" i="100"/>
  <c r="Q5" i="100"/>
  <c r="P5" i="100"/>
  <c r="O5" i="100"/>
  <c r="Q4" i="100"/>
  <c r="P4" i="100"/>
  <c r="O4" i="100"/>
  <c r="M4" i="100"/>
  <c r="Q3" i="100"/>
  <c r="P3" i="100"/>
  <c r="O3" i="100"/>
  <c r="M7" i="100" l="1"/>
  <c r="M11" i="100"/>
  <c r="N20" i="100"/>
  <c r="M41" i="100"/>
  <c r="N41" i="100"/>
  <c r="N8" i="100"/>
  <c r="N4" i="100"/>
  <c r="M5" i="100"/>
  <c r="M10" i="100"/>
  <c r="N14" i="100"/>
  <c r="M19" i="100"/>
  <c r="M25" i="100"/>
  <c r="M31" i="100"/>
  <c r="M35" i="100"/>
  <c r="N40" i="100"/>
  <c r="N26" i="100"/>
  <c r="N32" i="100"/>
  <c r="M23" i="100"/>
  <c r="M29" i="100"/>
  <c r="M33" i="100"/>
  <c r="N38" i="100"/>
  <c r="N42" i="100"/>
  <c r="N16" i="100"/>
  <c r="M3" i="100"/>
  <c r="N12" i="100"/>
  <c r="M17" i="100"/>
  <c r="M9" i="100"/>
  <c r="M13" i="100"/>
  <c r="N24" i="100"/>
  <c r="N30" i="100"/>
  <c r="M39" i="100"/>
  <c r="N33" i="100" l="1"/>
  <c r="N11" i="100"/>
  <c r="N39" i="100"/>
  <c r="N31" i="100"/>
  <c r="N5" i="100"/>
  <c r="N3" i="100"/>
  <c r="I3" i="88" s="1"/>
  <c r="E3" i="88" s="1"/>
  <c r="N23" i="100"/>
  <c r="N10" i="100"/>
  <c r="N7" i="100"/>
  <c r="N13" i="100"/>
  <c r="N29" i="100"/>
  <c r="N19" i="100"/>
  <c r="N17" i="100"/>
  <c r="N9" i="100"/>
  <c r="N35" i="100"/>
  <c r="N25" i="100"/>
  <c r="E26" i="88" l="1"/>
  <c r="BH7" i="21" l="1"/>
  <c r="E35" i="88" l="1"/>
  <c r="E43" i="88"/>
  <c r="E36" i="88"/>
  <c r="BJ7" i="21"/>
  <c r="BI7" i="21"/>
  <c r="D26" i="88"/>
  <c r="AX29" i="7" l="1"/>
  <c r="E27" i="88"/>
  <c r="E37" i="88"/>
  <c r="E21" i="88"/>
  <c r="E13" i="88"/>
  <c r="F26" i="88"/>
  <c r="G26" i="88"/>
  <c r="D27" i="88" l="1"/>
  <c r="D21" i="88"/>
  <c r="D13" i="88"/>
  <c r="D35" i="88"/>
  <c r="D43" i="88"/>
  <c r="D37" i="88"/>
  <c r="D36" i="88"/>
  <c r="E41" i="88"/>
  <c r="E34" i="88"/>
  <c r="E38" i="88"/>
  <c r="E42" i="88"/>
  <c r="E6" i="88"/>
  <c r="E10" i="88"/>
  <c r="E31" i="88"/>
  <c r="E39" i="88"/>
  <c r="AX39" i="7" l="1"/>
  <c r="E76" i="116"/>
  <c r="E75" i="116"/>
  <c r="E77" i="116"/>
  <c r="F21" i="88"/>
  <c r="AX46" i="7"/>
  <c r="F27" i="88"/>
  <c r="AX16" i="7"/>
  <c r="G27" i="88"/>
  <c r="G21" i="88"/>
  <c r="F13" i="88"/>
  <c r="G13" i="88"/>
  <c r="G36" i="88"/>
  <c r="F36" i="88"/>
  <c r="F37" i="88"/>
  <c r="G37" i="88"/>
  <c r="G43" i="88"/>
  <c r="F43" i="88"/>
  <c r="G35" i="88"/>
  <c r="F35" i="88"/>
  <c r="E7" i="88"/>
  <c r="AQ10" i="7" s="1"/>
  <c r="AO10" i="7"/>
  <c r="E15" i="88"/>
  <c r="E19" i="88"/>
  <c r="E23" i="88"/>
  <c r="E16" i="88"/>
  <c r="E24" i="88"/>
  <c r="E8" i="88"/>
  <c r="E14" i="88"/>
  <c r="E18" i="88"/>
  <c r="E22" i="88"/>
  <c r="E30" i="88"/>
  <c r="D6" i="88"/>
  <c r="G6" i="88" s="1"/>
  <c r="E5" i="88"/>
  <c r="E33" i="88"/>
  <c r="E40" i="88"/>
  <c r="E32" i="88"/>
  <c r="E17" i="88" l="1"/>
  <c r="E9" i="88"/>
  <c r="E29" i="88"/>
  <c r="AX38" i="7"/>
  <c r="AX40" i="7"/>
  <c r="AX24" i="7"/>
  <c r="AX30" i="7"/>
  <c r="E12" i="88"/>
  <c r="E28" i="88"/>
  <c r="E20" i="88"/>
  <c r="F6" i="88"/>
  <c r="E11" i="88"/>
  <c r="D19" i="88"/>
  <c r="D12" i="88"/>
  <c r="D41" i="88"/>
  <c r="D29" i="88"/>
  <c r="D11" i="88"/>
  <c r="D33" i="88"/>
  <c r="E73" i="116" s="1"/>
  <c r="D20" i="88"/>
  <c r="D14" i="88"/>
  <c r="D38" i="88"/>
  <c r="D40" i="88"/>
  <c r="D5" i="88"/>
  <c r="F5" i="88" s="1"/>
  <c r="D39" i="88"/>
  <c r="D42" i="88"/>
  <c r="D32" i="88"/>
  <c r="D17" i="88"/>
  <c r="D10" i="88"/>
  <c r="D31" i="88"/>
  <c r="D9" i="88"/>
  <c r="D18" i="88"/>
  <c r="D23" i="88"/>
  <c r="D22" i="88"/>
  <c r="D34" i="88"/>
  <c r="D28" i="88"/>
  <c r="G12" i="88" l="1"/>
  <c r="E72" i="116"/>
  <c r="E71" i="116"/>
  <c r="E74" i="116"/>
  <c r="AX31" i="7"/>
  <c r="AX21" i="7"/>
  <c r="AX20" i="7"/>
  <c r="AX23" i="7"/>
  <c r="AX44" i="7"/>
  <c r="AX25" i="7"/>
  <c r="F33" i="88"/>
  <c r="AX42" i="7"/>
  <c r="AX32" i="7"/>
  <c r="AX26" i="7"/>
  <c r="AX45" i="7"/>
  <c r="AX41" i="7"/>
  <c r="AX22" i="7"/>
  <c r="AX12" i="7"/>
  <c r="AX13" i="7"/>
  <c r="F14" i="88"/>
  <c r="E4" i="88"/>
  <c r="G33" i="88"/>
  <c r="AX43" i="7"/>
  <c r="G5" i="88"/>
  <c r="D8" i="88"/>
  <c r="F31" i="88"/>
  <c r="D7" i="88"/>
  <c r="D24" i="88"/>
  <c r="E25" i="88"/>
  <c r="F19" i="88"/>
  <c r="G29" i="88"/>
  <c r="F29" i="88"/>
  <c r="D30" i="88"/>
  <c r="D15" i="88"/>
  <c r="D16" i="88"/>
  <c r="G14" i="88"/>
  <c r="F28" i="88"/>
  <c r="F12" i="88"/>
  <c r="F20" i="88"/>
  <c r="G19" i="88"/>
  <c r="G41" i="88"/>
  <c r="F40" i="88"/>
  <c r="F41" i="88"/>
  <c r="G40" i="88"/>
  <c r="G11" i="88"/>
  <c r="F11" i="88"/>
  <c r="G20" i="88"/>
  <c r="G9" i="88"/>
  <c r="F9" i="88"/>
  <c r="G31" i="88"/>
  <c r="G42" i="88"/>
  <c r="F42" i="88"/>
  <c r="F32" i="88"/>
  <c r="G28" i="88"/>
  <c r="G10" i="88"/>
  <c r="F10" i="88"/>
  <c r="G39" i="88"/>
  <c r="F39" i="88"/>
  <c r="G38" i="88"/>
  <c r="F38" i="88"/>
  <c r="F34" i="88"/>
  <c r="G34" i="88"/>
  <c r="F22" i="88"/>
  <c r="G22" i="88"/>
  <c r="F23" i="88"/>
  <c r="G23" i="88"/>
  <c r="F17" i="88"/>
  <c r="G17" i="88"/>
  <c r="F18" i="88"/>
  <c r="G18" i="88"/>
  <c r="G32" i="88"/>
  <c r="AX35" i="7" l="1"/>
  <c r="AX37" i="7"/>
  <c r="AX34" i="7"/>
  <c r="AX14" i="7"/>
  <c r="AX15" i="7"/>
  <c r="AX33" i="7"/>
  <c r="AX27" i="7"/>
  <c r="AX19" i="7"/>
  <c r="AX36" i="7"/>
  <c r="AX18" i="7"/>
  <c r="F8" i="88"/>
  <c r="AX17" i="7"/>
  <c r="F7" i="88"/>
  <c r="AR10" i="7" s="1"/>
  <c r="AU10" i="7" s="1"/>
  <c r="AP10" i="7"/>
  <c r="AT10" i="7" s="1"/>
  <c r="D4" i="88"/>
  <c r="F4" i="88" s="1"/>
  <c r="G8" i="88"/>
  <c r="G7" i="88"/>
  <c r="AS10" i="7" s="1"/>
  <c r="AV10" i="7" s="1"/>
  <c r="F24" i="88"/>
  <c r="G24" i="88"/>
  <c r="F15" i="88"/>
  <c r="G15" i="88"/>
  <c r="F30" i="88"/>
  <c r="G30" i="88"/>
  <c r="F16" i="88"/>
  <c r="G16" i="88"/>
  <c r="D25" i="88"/>
  <c r="G4" i="88" l="1"/>
  <c r="AX28" i="7"/>
  <c r="AX11" i="7"/>
  <c r="AX10" i="7"/>
  <c r="G25" i="88"/>
  <c r="F25" i="88"/>
  <c r="AX8" i="22" l="1"/>
  <c r="C3" i="88"/>
  <c r="AX9" i="22" l="1"/>
  <c r="AX17" i="22"/>
  <c r="D3" i="88"/>
  <c r="AX15" i="22"/>
  <c r="AX12" i="22" l="1"/>
  <c r="AX16" i="22"/>
  <c r="AX14" i="22"/>
  <c r="AX7" i="22"/>
  <c r="G3" i="88"/>
  <c r="F3" i="88"/>
  <c r="AX13" i="22"/>
  <c r="AX5" i="22" l="1"/>
  <c r="O4" i="146" l="1"/>
  <c r="P3" i="146"/>
  <c r="N3" i="146"/>
  <c r="Q3" i="146"/>
  <c r="M3" i="146"/>
  <c r="O3" i="146"/>
  <c r="Q4" i="146"/>
  <c r="M4" i="146"/>
  <c r="N4" i="146" s="1"/>
  <c r="P4" i="146"/>
  <c r="AX9" i="7"/>
  <c r="AX8" i="7"/>
  <c r="AX7" i="7"/>
  <c r="AX6" i="7"/>
</calcChain>
</file>

<file path=xl/comments1.xml><?xml version="1.0" encoding="utf-8"?>
<comments xmlns="http://schemas.openxmlformats.org/spreadsheetml/2006/main">
  <authors>
    <author>作者</author>
  </authors>
  <commentList>
    <comment ref="D4" authorId="0" shapeId="0">
      <text>
        <r>
          <rPr>
            <b/>
            <sz val="9"/>
            <rFont val="Tahoma"/>
            <family val="2"/>
          </rPr>
          <t>作者:</t>
        </r>
        <r>
          <rPr>
            <sz val="9"/>
            <rFont val="Tahoma"/>
            <family val="2"/>
          </rPr>
          <t xml:space="preserve">
H1</t>
        </r>
        <r>
          <rPr>
            <sz val="9"/>
            <rFont val="宋体"/>
            <family val="3"/>
            <charset val="134"/>
          </rPr>
          <t>发布的是</t>
        </r>
        <r>
          <rPr>
            <sz val="9"/>
            <rFont val="Tahoma"/>
            <family val="2"/>
          </rPr>
          <t>46</t>
        </r>
        <r>
          <rPr>
            <sz val="9"/>
            <rFont val="宋体"/>
            <family val="3"/>
            <charset val="134"/>
          </rPr>
          <t>，</t>
        </r>
        <r>
          <rPr>
            <sz val="9"/>
            <rFont val="Tahoma"/>
            <family val="2"/>
          </rPr>
          <t>H2</t>
        </r>
        <r>
          <rPr>
            <sz val="9"/>
            <rFont val="宋体"/>
            <family val="3"/>
            <charset val="134"/>
          </rPr>
          <t>统一度量规则后，重新计算的</t>
        </r>
        <r>
          <rPr>
            <sz val="9"/>
            <rFont val="Tahoma"/>
            <family val="2"/>
          </rPr>
          <t>H1</t>
        </r>
        <r>
          <rPr>
            <sz val="9"/>
            <rFont val="宋体"/>
            <family val="3"/>
            <charset val="134"/>
          </rPr>
          <t>的生产率值为</t>
        </r>
        <r>
          <rPr>
            <sz val="9"/>
            <rFont val="Tahoma"/>
            <family val="2"/>
          </rPr>
          <t>42.9</t>
        </r>
      </text>
    </comment>
  </commentList>
</comments>
</file>

<file path=xl/sharedStrings.xml><?xml version="1.0" encoding="utf-8"?>
<sst xmlns="http://schemas.openxmlformats.org/spreadsheetml/2006/main" count="2946" uniqueCount="574">
  <si>
    <t>样本点</t>
  </si>
  <si>
    <t>基线值</t>
  </si>
  <si>
    <t>上限</t>
  </si>
  <si>
    <t>下限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</si>
  <si>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</si>
  <si>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</si>
  <si>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</si>
  <si>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</si>
  <si>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</si>
  <si>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</si>
  <si>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</si>
  <si>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</si>
  <si>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</si>
  <si>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</si>
  <si>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代码质量</t>
  </si>
  <si>
    <t>Coverity高、中告警数(CodeCC)</t>
  </si>
  <si>
    <t>Fortify高、中告警数(CodeCC)</t>
  </si>
  <si>
    <t>全量功能验证周期（天）</t>
  </si>
  <si>
    <t>解决方案验证周期（周）</t>
  </si>
  <si>
    <t>特性交付周期CycleTime(月)</t>
  </si>
  <si>
    <t>列11</t>
  </si>
  <si>
    <t>质量</t>
  </si>
  <si>
    <t>效率</t>
  </si>
  <si>
    <t>度量分类</t>
  </si>
  <si>
    <t>2014H1 PCB</t>
  </si>
  <si>
    <t>2014H2 PCB</t>
  </si>
  <si>
    <t>2015H1</t>
  </si>
  <si>
    <t>2015H2</t>
  </si>
  <si>
    <t>2014 PCB</t>
  </si>
  <si>
    <t>标准差</t>
  </si>
  <si>
    <t>列166</t>
  </si>
  <si>
    <t>列165</t>
  </si>
  <si>
    <t>列164</t>
  </si>
  <si>
    <t>列163</t>
  </si>
  <si>
    <t>列162</t>
  </si>
  <si>
    <t>列1626</t>
  </si>
  <si>
    <t>列1625</t>
  </si>
  <si>
    <t>列1624</t>
  </si>
  <si>
    <t>列1623</t>
  </si>
  <si>
    <t>列1622</t>
  </si>
  <si>
    <t>列122</t>
  </si>
  <si>
    <t>列133</t>
  </si>
  <si>
    <t>列144</t>
  </si>
  <si>
    <t>列155</t>
  </si>
  <si>
    <t>列167</t>
  </si>
  <si>
    <t>列1674</t>
  </si>
  <si>
    <t>列1673</t>
  </si>
  <si>
    <t>列1672</t>
  </si>
  <si>
    <t>列168</t>
  </si>
  <si>
    <t>列1685</t>
  </si>
  <si>
    <t>列1684</t>
  </si>
  <si>
    <t>列1683</t>
  </si>
  <si>
    <t>列1682</t>
  </si>
  <si>
    <t>列17</t>
  </si>
  <si>
    <t>列18</t>
  </si>
  <si>
    <t>列19</t>
  </si>
  <si>
    <t>(JAVA)软件开发生产率(Loc/人天)TR2-TR5</t>
  </si>
  <si>
    <t>(JAVA)软件开发生产率(Loc/人天)TR2-TR4</t>
  </si>
  <si>
    <t>(C/C++)软件开发生产率(Loc/人天)TR2-TR5</t>
  </si>
  <si>
    <t>(C/C++)软件开发生产率(Loc/人天)TR2-TR4</t>
  </si>
  <si>
    <t>Story生产率(个/人月)TR2-TR5</t>
  </si>
  <si>
    <t>测试用例设计效率（用例/人天）</t>
  </si>
  <si>
    <t>测试用例执行效率（用例/人天）</t>
  </si>
  <si>
    <t>测试生产率(LOC/人天)</t>
  </si>
  <si>
    <t>资料生产率(页/人天)</t>
  </si>
  <si>
    <t>华为投入比例(%)</t>
  </si>
  <si>
    <t>进度偏差(%)</t>
  </si>
  <si>
    <t>规模偏差(%)</t>
  </si>
  <si>
    <t>需求质量</t>
  </si>
  <si>
    <t>项目需求稳定度(%)</t>
  </si>
  <si>
    <t>规格评审缺陷密度(个/页)</t>
  </si>
  <si>
    <t>需求评审缺陷密度(个/页)</t>
  </si>
  <si>
    <t>开发质量</t>
  </si>
  <si>
    <t>代码评审缺陷率(个/KLOC)</t>
  </si>
  <si>
    <t>开发者测试缺陷密度(个/KLOC)</t>
  </si>
  <si>
    <t>测试质量</t>
  </si>
  <si>
    <t>问题单回归不通过个数（个）</t>
  </si>
  <si>
    <t>转测试不通过次数（次）</t>
  </si>
  <si>
    <t>测试方案评审缺陷密度(个/页)</t>
  </si>
  <si>
    <t>测试用例评审缺陷密度(个/个)</t>
  </si>
  <si>
    <t>测试用例密度(个/KLOC)</t>
  </si>
  <si>
    <t>自动化用例比例（%）</t>
  </si>
  <si>
    <t>SDV测试缺陷密度（个/KLOC）</t>
  </si>
  <si>
    <t>资料质量</t>
  </si>
  <si>
    <t>资料评审缺陷密度(个/页)</t>
  </si>
  <si>
    <t>阶段验收</t>
  </si>
  <si>
    <t>阶段验收-需求验收缺陷密度(个/页)</t>
  </si>
  <si>
    <t/>
  </si>
  <si>
    <t>阶段验收-代码验收缺陷密度(个/KLOC)</t>
  </si>
  <si>
    <t>发布质量</t>
  </si>
  <si>
    <t>版本发布遗留DI值（DI值）</t>
  </si>
  <si>
    <t>网络安全遗留问题数（个）</t>
  </si>
  <si>
    <t>ICP-平均圈复杂度(个)</t>
  </si>
  <si>
    <t>ICP-代码重复率(%)</t>
  </si>
  <si>
    <t>构建质量</t>
  </si>
  <si>
    <t>CI构建成功率(%)</t>
  </si>
  <si>
    <t>工程能力6个1</t>
  </si>
  <si>
    <t>2014 H1</t>
  </si>
  <si>
    <t>2014 H2</t>
  </si>
  <si>
    <t>2015H1PCB(企业IT、网络、SPO）</t>
  </si>
  <si>
    <t>2015H2PCB(企业IT、网络）</t>
  </si>
  <si>
    <t>2016H1 SPO</t>
  </si>
  <si>
    <t>2016H1 核心网</t>
  </si>
  <si>
    <t>2016H1 网络</t>
  </si>
  <si>
    <t>2016H1 企业IT</t>
  </si>
  <si>
    <t>平均值</t>
  </si>
  <si>
    <t>列12</t>
  </si>
  <si>
    <t>列13</t>
  </si>
  <si>
    <t>列14</t>
  </si>
  <si>
    <t>列15</t>
  </si>
  <si>
    <t>列16</t>
  </si>
  <si>
    <t>列1665</t>
  </si>
  <si>
    <t>列1664</t>
  </si>
  <si>
    <t>列1663</t>
  </si>
  <si>
    <t>列1662</t>
  </si>
  <si>
    <t>列169</t>
  </si>
  <si>
    <t>列1694</t>
  </si>
  <si>
    <t>列1693</t>
  </si>
  <si>
    <t>列1692</t>
  </si>
  <si>
    <t>列170</t>
  </si>
  <si>
    <t>列1704</t>
  </si>
  <si>
    <t>列1703</t>
  </si>
  <si>
    <t>列1702</t>
  </si>
  <si>
    <t>列171</t>
  </si>
  <si>
    <t>自动化脚本生产率(个/人天)</t>
  </si>
  <si>
    <t>移植自动化脚本生产率(个/人天)</t>
  </si>
  <si>
    <t>自动化脚本检视缺陷密度（个/每个）</t>
  </si>
  <si>
    <t>自动化脚本与用例忠实度（%）</t>
  </si>
  <si>
    <t>（TICC）全量脚本通过率（%）</t>
  </si>
  <si>
    <t>网上问题/交付使用后发现的问题数</t>
  </si>
  <si>
    <t>2015H1（无线、网络、SPO、企业IT）</t>
  </si>
  <si>
    <t>2015H2PCB(网络、企业IT）</t>
  </si>
  <si>
    <t>2016H1 (SPO)</t>
  </si>
  <si>
    <t>2016H1 (网络，测试执行类)</t>
  </si>
  <si>
    <t>2016H1 (企业IT)</t>
  </si>
  <si>
    <t>列116</t>
  </si>
  <si>
    <t>列115</t>
  </si>
  <si>
    <t>列114</t>
  </si>
  <si>
    <t>列113</t>
  </si>
  <si>
    <t>列112</t>
  </si>
  <si>
    <t>列1125</t>
  </si>
  <si>
    <t>列1124</t>
  </si>
  <si>
    <t>列1123</t>
  </si>
  <si>
    <t>列1122</t>
  </si>
  <si>
    <t>列11225</t>
  </si>
  <si>
    <t>列11224</t>
  </si>
  <si>
    <t>列11223</t>
  </si>
  <si>
    <t>列11222</t>
  </si>
  <si>
    <t>列112225</t>
  </si>
  <si>
    <t>列112224</t>
  </si>
  <si>
    <t>列112223</t>
  </si>
  <si>
    <t>列112222</t>
  </si>
  <si>
    <t>方案设计效率（页/人天）</t>
  </si>
  <si>
    <t>自动化测试用例执行效率(个/人天)</t>
  </si>
  <si>
    <t>手动用例设计效率(个/人天)</t>
  </si>
  <si>
    <t>手动测试用例执行效率(个/人天)</t>
  </si>
  <si>
    <t>测试用例评审缺陷密度（个/个）</t>
  </si>
  <si>
    <t>自动化用例比例(%)</t>
  </si>
  <si>
    <t>自动化用例连跑通过率（%）</t>
  </si>
  <si>
    <t>2014 H2 (核心网)</t>
  </si>
  <si>
    <t>2014 H2 (无线)</t>
  </si>
  <si>
    <t>2016H1（SPO）</t>
  </si>
  <si>
    <t>客户投诉（邮件、电话、email等）次数（次）</t>
  </si>
  <si>
    <t>输出案例率（%）</t>
  </si>
  <si>
    <t>列172</t>
  </si>
  <si>
    <t>列16822</t>
  </si>
  <si>
    <t>列16823</t>
  </si>
  <si>
    <t>列16824</t>
  </si>
  <si>
    <t>列16825</t>
  </si>
  <si>
    <t>2016H2</t>
    <phoneticPr fontId="26" type="noConversion"/>
  </si>
  <si>
    <t>列168224</t>
  </si>
  <si>
    <t>2016H1</t>
    <phoneticPr fontId="26" type="noConversion"/>
  </si>
  <si>
    <t>CI脚本通过率(%)</t>
  </si>
  <si>
    <t>网上问题解决率（%）</t>
  </si>
  <si>
    <t>网上问题处理时长(人天/个)</t>
  </si>
  <si>
    <t>列1682243</t>
  </si>
  <si>
    <t>2017H1</t>
  </si>
  <si>
    <t>列1712</t>
  </si>
  <si>
    <t>列1713</t>
  </si>
  <si>
    <t>列17122</t>
  </si>
  <si>
    <t>进度偏移(%)</t>
  </si>
  <si>
    <t>脚本实现率（%）</t>
  </si>
  <si>
    <t>脚本覆盖率（%）</t>
  </si>
  <si>
    <t>自动化脚本检视率（%）</t>
  </si>
  <si>
    <t>已回溯问题数</t>
  </si>
  <si>
    <t>问题回溯率(%)</t>
  </si>
  <si>
    <t>2017H1(软件产品线、云核心网、企业IT、网络)</t>
  </si>
  <si>
    <t>列1122222</t>
  </si>
  <si>
    <t>列1122223</t>
  </si>
  <si>
    <t>列1122224</t>
  </si>
  <si>
    <t>列1122225</t>
  </si>
  <si>
    <t>2017H1（软件产品线、云核心网、云服务、终端、企业IT、网络）</t>
  </si>
  <si>
    <t>现网问题定位时长超过7个自然日的个数</t>
  </si>
  <si>
    <t>问题单解决率（补丁版本）(%)</t>
  </si>
  <si>
    <t>问题单处理时长（补丁版本）(人天/个)</t>
  </si>
  <si>
    <t>支撑局点效率(人天/个)</t>
  </si>
  <si>
    <t>质量问题平均定位时长（自然日）</t>
  </si>
  <si>
    <t>非质量问题平均定位时长（自然日）</t>
  </si>
  <si>
    <t>网上问题处理无安全违规（个）</t>
  </si>
  <si>
    <t>重大紧急问题恢复时长（分钟）</t>
  </si>
  <si>
    <t>2017H1（软件产品线）</t>
  </si>
  <si>
    <t>需求质量</t>
    <phoneticPr fontId="3" type="noConversion"/>
  </si>
  <si>
    <t>开发质量</t>
    <phoneticPr fontId="3" type="noConversion"/>
  </si>
  <si>
    <t>测试用例设计效率（用例/人天）</t>
    <phoneticPr fontId="3" type="noConversion"/>
  </si>
  <si>
    <t>进度偏差(%)</t>
    <phoneticPr fontId="2" type="noConversion"/>
  </si>
  <si>
    <t>测试用例执行效率（用例/人天）</t>
    <phoneticPr fontId="3" type="noConversion"/>
  </si>
  <si>
    <t>规模偏差(%)</t>
    <phoneticPr fontId="3" type="noConversion"/>
  </si>
  <si>
    <t>项目需求稳定度(%)</t>
    <phoneticPr fontId="3" type="noConversion"/>
  </si>
  <si>
    <t>代码评审缺陷率(个/KLOC)</t>
    <phoneticPr fontId="3" type="noConversion"/>
  </si>
  <si>
    <t>阶段验收</t>
    <phoneticPr fontId="3" type="noConversion"/>
  </si>
  <si>
    <t>发布质量</t>
    <phoneticPr fontId="3" type="noConversion"/>
  </si>
  <si>
    <t>ICP-平均圈复杂度(个)</t>
    <phoneticPr fontId="3" type="noConversion"/>
  </si>
  <si>
    <t>效率</t>
    <phoneticPr fontId="3" type="noConversion"/>
  </si>
  <si>
    <t>规格评审缺陷密度(个/页)</t>
    <phoneticPr fontId="3" type="noConversion"/>
  </si>
  <si>
    <t>测试质量</t>
    <phoneticPr fontId="3" type="noConversion"/>
  </si>
  <si>
    <t>测试方案评审缺陷密度(个/页)</t>
    <phoneticPr fontId="3" type="noConversion"/>
  </si>
  <si>
    <t>测试用例评审缺陷密度(个/个)</t>
    <phoneticPr fontId="3" type="noConversion"/>
  </si>
  <si>
    <t>资料质量</t>
    <phoneticPr fontId="3" type="noConversion"/>
  </si>
  <si>
    <t>阶段验收-代码验收缺陷密度(个/KLOC)</t>
    <phoneticPr fontId="2" type="noConversion"/>
  </si>
  <si>
    <t>CI构建成功率(%)</t>
    <phoneticPr fontId="2" type="noConversion"/>
  </si>
  <si>
    <t>解决方案验证周期（周）</t>
    <phoneticPr fontId="2" type="noConversion"/>
  </si>
  <si>
    <t>持续集成</t>
    <phoneticPr fontId="3" type="noConversion"/>
  </si>
  <si>
    <t>Coverity高、中告警数(CodeCC)</t>
    <phoneticPr fontId="2" type="noConversion"/>
  </si>
  <si>
    <t>Fortify高、中告警数(CodeCC)</t>
    <phoneticPr fontId="2" type="noConversion"/>
  </si>
  <si>
    <t>测试生产率(LOC/人天)</t>
    <phoneticPr fontId="3" type="noConversion"/>
  </si>
  <si>
    <t>阶段验收-需求验收缺陷密度(个/页)</t>
    <phoneticPr fontId="2" type="noConversion"/>
  </si>
  <si>
    <t>华为投入比例(%)</t>
    <phoneticPr fontId="3" type="noConversion"/>
  </si>
  <si>
    <t>测试用例密度(个/KLOC)</t>
    <phoneticPr fontId="3" type="noConversion"/>
  </si>
  <si>
    <t>SDV测试缺陷密度（个/KLOC）</t>
    <phoneticPr fontId="3" type="noConversion"/>
  </si>
  <si>
    <t>列16822254</t>
  </si>
  <si>
    <t>2017H2</t>
  </si>
  <si>
    <t>网络安全遗留问题数（个）</t>
    <phoneticPr fontId="2" type="noConversion"/>
  </si>
  <si>
    <t>Metrics 度量</t>
    <phoneticPr fontId="3" type="noConversion"/>
  </si>
  <si>
    <t>Story/特性开发效率(个/人天)TR2-TR4（转测试）</t>
    <phoneticPr fontId="3" type="noConversion"/>
  </si>
  <si>
    <t>资料生产率(页/人天)</t>
    <phoneticPr fontId="3" type="noConversion"/>
  </si>
  <si>
    <t>需求评审缺陷密度(个/页)</t>
    <phoneticPr fontId="3" type="noConversion"/>
  </si>
  <si>
    <t>开发者测试缺陷密度(个/KLOC)</t>
    <phoneticPr fontId="3" type="noConversion"/>
  </si>
  <si>
    <t>问题单回归不通过个数（个）</t>
    <phoneticPr fontId="3" type="noConversion"/>
  </si>
  <si>
    <t>转测试不通过次数（次）</t>
    <phoneticPr fontId="3" type="noConversion"/>
  </si>
  <si>
    <t>自动化用例比例（%）</t>
    <phoneticPr fontId="3" type="noConversion"/>
  </si>
  <si>
    <t>资料评审缺陷密度(个/页)</t>
    <phoneticPr fontId="2" type="noConversion"/>
  </si>
  <si>
    <t>版本发布遗留DI值（DI值）</t>
    <phoneticPr fontId="3" type="noConversion"/>
  </si>
  <si>
    <t>构建质量</t>
    <phoneticPr fontId="3" type="noConversion"/>
  </si>
  <si>
    <t>全量功能验证周期（天）</t>
    <phoneticPr fontId="2" type="noConversion"/>
  </si>
  <si>
    <t>特性交付周期CycleTime(月)</t>
    <phoneticPr fontId="2" type="noConversion"/>
  </si>
  <si>
    <t>ICP-代码重复率(%)</t>
    <phoneticPr fontId="3" type="noConversion"/>
  </si>
  <si>
    <t>列173</t>
  </si>
  <si>
    <t>列1722</t>
  </si>
  <si>
    <t>列1723</t>
  </si>
  <si>
    <t>列1724</t>
  </si>
  <si>
    <t>2017H2(软件产品线、云核心网、企业IT、网络)</t>
  </si>
  <si>
    <t>列11222225</t>
  </si>
  <si>
    <t>列11222226</t>
  </si>
  <si>
    <t>列11222227</t>
  </si>
  <si>
    <t>列11222228</t>
  </si>
  <si>
    <t>2017H2（软件产品线、云核心网、云服务、终端、企业IT、网络）</t>
  </si>
  <si>
    <t>2017年H2</t>
  </si>
  <si>
    <t>Story/特性开发效率(个/人天)TR2-TR4（转测试）</t>
    <phoneticPr fontId="5" type="noConversion"/>
  </si>
  <si>
    <t>效率</t>
    <phoneticPr fontId="5" type="noConversion"/>
  </si>
  <si>
    <t>软件开发生产率(Loc/人天)TR2-TR4A（发布前）</t>
    <phoneticPr fontId="5" type="noConversion"/>
  </si>
  <si>
    <t>标准差</t>
    <phoneticPr fontId="5" type="noConversion"/>
  </si>
  <si>
    <t>上限</t>
    <phoneticPr fontId="5" type="noConversion"/>
  </si>
  <si>
    <t>下限</t>
    <phoneticPr fontId="5" type="noConversion"/>
  </si>
  <si>
    <t>Story/特性开发效率(个/人天)TR2-TR4A（发布前）</t>
    <phoneticPr fontId="5" type="noConversion"/>
  </si>
  <si>
    <t>测试用例执行效率（用例/人天）</t>
    <phoneticPr fontId="5" type="noConversion"/>
  </si>
  <si>
    <t>测试生产率(LOC/人天)</t>
    <phoneticPr fontId="5" type="noConversion"/>
  </si>
  <si>
    <t>资料生产率(页/人天)</t>
    <phoneticPr fontId="5" type="noConversion"/>
  </si>
  <si>
    <t>华为投入比例(%)</t>
    <phoneticPr fontId="5" type="noConversion"/>
  </si>
  <si>
    <t>规模偏差(%)</t>
    <phoneticPr fontId="5" type="noConversion"/>
  </si>
  <si>
    <t>需求质量</t>
    <phoneticPr fontId="5" type="noConversion"/>
  </si>
  <si>
    <t>项目需求稳定度(%)</t>
    <phoneticPr fontId="5" type="noConversion"/>
  </si>
  <si>
    <t>规格评审缺陷密度(个/页)</t>
    <phoneticPr fontId="5" type="noConversion"/>
  </si>
  <si>
    <t>需求评审缺陷密度(个/页)</t>
    <phoneticPr fontId="5" type="noConversion"/>
  </si>
  <si>
    <t>开发质量</t>
    <phoneticPr fontId="5" type="noConversion"/>
  </si>
  <si>
    <t>开发者测试缺陷密度(个/KLOC)</t>
    <phoneticPr fontId="5" type="noConversion"/>
  </si>
  <si>
    <t>问题单回归不通过个数（个）</t>
    <phoneticPr fontId="5" type="noConversion"/>
  </si>
  <si>
    <t>转测试不通过次数（次）</t>
    <phoneticPr fontId="5" type="noConversion"/>
  </si>
  <si>
    <t>测试质量</t>
    <phoneticPr fontId="5" type="noConversion"/>
  </si>
  <si>
    <t>测试方案评审缺陷密度(个/页)</t>
    <phoneticPr fontId="5" type="noConversion"/>
  </si>
  <si>
    <t>测试用例评审缺陷密度(个/个)</t>
    <phoneticPr fontId="5" type="noConversion"/>
  </si>
  <si>
    <t>测试用例密度(个/KLOC)</t>
    <phoneticPr fontId="5" type="noConversion"/>
  </si>
  <si>
    <t>自动化用例比例（%）</t>
    <phoneticPr fontId="5" type="noConversion"/>
  </si>
  <si>
    <t>SDV测试缺陷密度（个/KLOC）</t>
    <phoneticPr fontId="5" type="noConversion"/>
  </si>
  <si>
    <t>资料质量</t>
    <phoneticPr fontId="5" type="noConversion"/>
  </si>
  <si>
    <t>资料评审缺陷密度(个/页)</t>
    <phoneticPr fontId="31" type="noConversion"/>
  </si>
  <si>
    <t>阶段验收</t>
    <phoneticPr fontId="5" type="noConversion"/>
  </si>
  <si>
    <t>阶段验收-需求验收缺陷密度(个/页)</t>
    <phoneticPr fontId="31" type="noConversion"/>
  </si>
  <si>
    <t>阶段验收-代码验收缺陷密度(个/KLOC)</t>
    <phoneticPr fontId="31" type="noConversion"/>
  </si>
  <si>
    <t>发布质量</t>
    <phoneticPr fontId="5" type="noConversion"/>
  </si>
  <si>
    <t>版本发布遗留DI值（DI值）</t>
    <phoneticPr fontId="5" type="noConversion"/>
  </si>
  <si>
    <t>网络安全遗留问题数（个）</t>
    <phoneticPr fontId="31" type="noConversion"/>
  </si>
  <si>
    <t>构建质量</t>
    <phoneticPr fontId="5" type="noConversion"/>
  </si>
  <si>
    <t>CI构建成功率(%)</t>
    <phoneticPr fontId="31" type="noConversion"/>
  </si>
  <si>
    <t>个人构建平均时长（分钟）</t>
    <phoneticPr fontId="31" type="noConversion"/>
  </si>
  <si>
    <t>项目构建时长(分钟)</t>
    <phoneticPr fontId="31" type="noConversion"/>
  </si>
  <si>
    <t>全量自动化回归验证周期（小时）</t>
    <phoneticPr fontId="31" type="noConversion"/>
  </si>
  <si>
    <t>全量功能验证周期（天）</t>
    <phoneticPr fontId="31" type="noConversion"/>
  </si>
  <si>
    <t>解决方案验证周期（周）</t>
    <phoneticPr fontId="31" type="noConversion"/>
  </si>
  <si>
    <t>特性交付周期CycleTime(月)</t>
    <phoneticPr fontId="31" type="noConversion"/>
  </si>
  <si>
    <t>持续集成</t>
    <phoneticPr fontId="5" type="noConversion"/>
  </si>
  <si>
    <t>ICP-静态检查告警数(个)</t>
    <phoneticPr fontId="5" type="noConversion"/>
  </si>
  <si>
    <t>ICP-平均圈复杂度(个)</t>
    <phoneticPr fontId="5" type="noConversion"/>
  </si>
  <si>
    <t>ICP-代码重复率(%)</t>
    <phoneticPr fontId="5" type="noConversion"/>
  </si>
  <si>
    <t>Coverity高、中告警数(CodeCC)</t>
    <phoneticPr fontId="31" type="noConversion"/>
  </si>
  <si>
    <t>Fortify高、中告警数(CodeCC)</t>
    <phoneticPr fontId="31" type="noConversion"/>
  </si>
  <si>
    <t>代码设计(Infusion检查)QDI</t>
    <phoneticPr fontId="31" type="noConversion"/>
  </si>
  <si>
    <t>代码评审缺陷率(个/KLOC)</t>
    <phoneticPr fontId="5" type="noConversion"/>
  </si>
  <si>
    <t>SDV测试缺陷密度（个/KLOC）</t>
    <phoneticPr fontId="5" type="noConversion"/>
  </si>
  <si>
    <t>效率</t>
    <phoneticPr fontId="31" type="noConversion"/>
  </si>
  <si>
    <t>方案设计效率（页/人天）</t>
    <phoneticPr fontId="5" type="noConversion"/>
  </si>
  <si>
    <t>自动化测试用例生产率(个/人天)</t>
    <phoneticPr fontId="5" type="noConversion"/>
  </si>
  <si>
    <t>手动用例设计效率(个/人天)</t>
    <phoneticPr fontId="5" type="noConversion"/>
  </si>
  <si>
    <t>手动测试用例执行效率(个/人天)</t>
    <phoneticPr fontId="5" type="noConversion"/>
  </si>
  <si>
    <t>质量</t>
    <phoneticPr fontId="31" type="noConversion"/>
  </si>
  <si>
    <t>测试用例密度（个/KLOC）</t>
    <phoneticPr fontId="5" type="noConversion"/>
  </si>
  <si>
    <t>首轮测试问题收敛比（%）</t>
    <phoneticPr fontId="5" type="noConversion"/>
  </si>
  <si>
    <t>漏测率(%)</t>
    <phoneticPr fontId="5" type="noConversion"/>
  </si>
  <si>
    <t>用例发现的问题占比（%）</t>
    <phoneticPr fontId="5" type="noConversion"/>
  </si>
  <si>
    <t>自动化用例连跑通过率（%）</t>
    <phoneticPr fontId="5" type="noConversion"/>
  </si>
  <si>
    <t>测试轮次（次）</t>
    <phoneticPr fontId="5" type="noConversion"/>
  </si>
  <si>
    <t>样本点</t>
    <phoneticPr fontId="5" type="noConversion"/>
  </si>
  <si>
    <t>平均值</t>
    <phoneticPr fontId="5" type="noConversion"/>
  </si>
  <si>
    <t>自动化用例比例(%)</t>
    <phoneticPr fontId="5" type="noConversion"/>
  </si>
  <si>
    <t>个人构建平均时长（分钟）</t>
  </si>
  <si>
    <t>项目构建时长(分钟)</t>
  </si>
  <si>
    <t>全量自动化回归验证周期（小时）</t>
  </si>
  <si>
    <t>ICP-静态检查告警数(个)</t>
  </si>
  <si>
    <t>代码设计(Infusion检查)QDI</t>
  </si>
  <si>
    <t>上限</t>
    <phoneticPr fontId="5" type="noConversion"/>
  </si>
  <si>
    <t>测试用例设计效率（用例/人天）</t>
    <phoneticPr fontId="5" type="noConversion"/>
  </si>
  <si>
    <t>软件开发生产率(Loc/人天)TR2-TR4（转测试）(JAVA)</t>
    <phoneticPr fontId="31" type="noConversion"/>
  </si>
  <si>
    <t>软件开发生产率(Loc/人天)TR2-TR4A（发布前）（Python)</t>
    <phoneticPr fontId="31" type="noConversion"/>
  </si>
  <si>
    <t>软件开发生产率(Loc/人天)TR2-TR4（转测试）(Python)</t>
    <phoneticPr fontId="31" type="noConversion"/>
  </si>
  <si>
    <t>软件开发生产率(Loc/人天)TR2-TR4（转测试）</t>
    <phoneticPr fontId="5" type="noConversion"/>
  </si>
  <si>
    <t>用例发现的问题占比（%）</t>
  </si>
  <si>
    <t>漏测率(%)</t>
  </si>
  <si>
    <t>自动化率</t>
  </si>
  <si>
    <t>软件验收</t>
    <phoneticPr fontId="5" type="noConversion"/>
  </si>
  <si>
    <t>验收缺陷密度</t>
    <phoneticPr fontId="5" type="noConversion"/>
  </si>
  <si>
    <t>SIT测试缺陷密度（个/KLOC）</t>
    <phoneticPr fontId="5" type="noConversion"/>
  </si>
  <si>
    <t>自动化脚本生产率(个/人天)</t>
    <phoneticPr fontId="5" type="noConversion"/>
  </si>
  <si>
    <t>样本点</t>
    <phoneticPr fontId="26" type="noConversion"/>
  </si>
  <si>
    <t>Metrics 度量</t>
    <phoneticPr fontId="5" type="noConversion"/>
  </si>
  <si>
    <t>样本点</t>
    <phoneticPr fontId="5" type="noConversion"/>
  </si>
  <si>
    <t>平均值</t>
    <phoneticPr fontId="5" type="noConversion"/>
  </si>
  <si>
    <t>标准差</t>
    <phoneticPr fontId="5" type="noConversion"/>
  </si>
  <si>
    <t>上限</t>
    <phoneticPr fontId="5" type="noConversion"/>
  </si>
  <si>
    <t>下限</t>
    <phoneticPr fontId="5" type="noConversion"/>
  </si>
  <si>
    <t>效率</t>
    <phoneticPr fontId="5" type="noConversion"/>
  </si>
  <si>
    <t>软件开发生产率(Loc/人天)TR2-TR4A（发布前）</t>
    <phoneticPr fontId="5" type="noConversion"/>
  </si>
  <si>
    <t>测试用例设计效率（用例/人天）</t>
    <phoneticPr fontId="5" type="noConversion"/>
  </si>
  <si>
    <t>测试用例执行效率（用例/人天）</t>
    <phoneticPr fontId="5" type="noConversion"/>
  </si>
  <si>
    <t>测试生产率(LOC/人天)</t>
    <phoneticPr fontId="5" type="noConversion"/>
  </si>
  <si>
    <t>资料生产率(页/人天)</t>
    <phoneticPr fontId="5" type="noConversion"/>
  </si>
  <si>
    <t>华为投入比例(%)</t>
    <phoneticPr fontId="5" type="noConversion"/>
  </si>
  <si>
    <t>进度偏差(%)</t>
    <phoneticPr fontId="31" type="noConversion"/>
  </si>
  <si>
    <t>样本点</t>
    <phoneticPr fontId="5" type="noConversion"/>
  </si>
  <si>
    <t>平均值</t>
    <phoneticPr fontId="5" type="noConversion"/>
  </si>
  <si>
    <t>标准差</t>
    <phoneticPr fontId="5" type="noConversion"/>
  </si>
  <si>
    <t>上限</t>
    <phoneticPr fontId="5" type="noConversion"/>
  </si>
  <si>
    <t>下限</t>
    <phoneticPr fontId="5" type="noConversion"/>
  </si>
  <si>
    <t>Story/特性开发效率(个/人天)TR2-TR4A（发布前）</t>
    <phoneticPr fontId="5" type="noConversion"/>
  </si>
  <si>
    <t>Story/特性开发效率(个/人天)TR2-TR4（转测试）</t>
    <phoneticPr fontId="5" type="noConversion"/>
  </si>
  <si>
    <t>标准差</t>
    <phoneticPr fontId="26" type="noConversion"/>
  </si>
  <si>
    <t>基线值</t>
    <phoneticPr fontId="26" type="noConversion"/>
  </si>
  <si>
    <t>BES</t>
    <phoneticPr fontId="26" type="noConversion"/>
  </si>
  <si>
    <t>BPIT</t>
    <phoneticPr fontId="26" type="noConversion"/>
  </si>
  <si>
    <t>公共开发部</t>
    <phoneticPr fontId="26" type="noConversion"/>
  </si>
  <si>
    <t>海思</t>
    <phoneticPr fontId="26" type="noConversion"/>
  </si>
  <si>
    <t>终端芯片</t>
    <phoneticPr fontId="26" type="noConversion"/>
  </si>
  <si>
    <t>企业IT</t>
    <phoneticPr fontId="26" type="noConversion"/>
  </si>
  <si>
    <t>网络</t>
    <phoneticPr fontId="26" type="noConversion"/>
  </si>
  <si>
    <t>网络能源</t>
    <phoneticPr fontId="26" type="noConversion"/>
  </si>
  <si>
    <t>无线</t>
    <phoneticPr fontId="26" type="noConversion"/>
  </si>
  <si>
    <t>消费者硬工</t>
    <phoneticPr fontId="26" type="noConversion"/>
  </si>
  <si>
    <t>消费者云服务</t>
    <phoneticPr fontId="26" type="noConversion"/>
  </si>
  <si>
    <t>云核</t>
    <phoneticPr fontId="26" type="noConversion"/>
  </si>
  <si>
    <t>云BU</t>
    <phoneticPr fontId="26" type="noConversion"/>
  </si>
  <si>
    <t>软件开发生产率(Loc/人天)TR2-TR4（转测试）</t>
    <phoneticPr fontId="3" type="noConversion"/>
  </si>
  <si>
    <t>代码设计(Infusion检查)QDI</t>
    <phoneticPr fontId="31" type="noConversion"/>
  </si>
  <si>
    <t>个人构建平均时长（分钟）</t>
    <phoneticPr fontId="2" type="noConversion"/>
  </si>
  <si>
    <t>项目构建时长(分钟)</t>
    <phoneticPr fontId="2" type="noConversion"/>
  </si>
  <si>
    <t>全量自动化回归验证周期（小时）</t>
    <phoneticPr fontId="2" type="noConversion"/>
  </si>
  <si>
    <t>代码设计(Infusion检查)QDI</t>
    <phoneticPr fontId="2" type="noConversion"/>
  </si>
  <si>
    <t>ICP-静态检查告警数(个)</t>
    <phoneticPr fontId="3" type="noConversion"/>
  </si>
  <si>
    <t>自动化测试用例生产率(个/人天)</t>
    <phoneticPr fontId="26" type="noConversion"/>
  </si>
  <si>
    <t>测试用例密度（个/KLOC）</t>
    <phoneticPr fontId="26" type="noConversion"/>
  </si>
  <si>
    <t>用例发现的问题占比（%）</t>
    <phoneticPr fontId="26" type="noConversion"/>
  </si>
  <si>
    <t>测试轮次（次）</t>
    <phoneticPr fontId="26" type="noConversion"/>
  </si>
  <si>
    <t>漏测率(%)</t>
    <phoneticPr fontId="26" type="noConversion"/>
  </si>
  <si>
    <t>首轮测试问题收敛比（%）</t>
    <phoneticPr fontId="26" type="noConversion"/>
  </si>
  <si>
    <t>华为投入比例(%)</t>
    <phoneticPr fontId="26" type="noConversion"/>
  </si>
  <si>
    <t>质量</t>
    <phoneticPr fontId="5" type="noConversion"/>
  </si>
  <si>
    <t>预警案例个数(个）</t>
  </si>
  <si>
    <t>问题单解决率（补丁版本）（%）</t>
    <phoneticPr fontId="5" type="noConversion"/>
  </si>
  <si>
    <t>问题单处理时长（补丁版本）（人天/个）</t>
    <phoneticPr fontId="5" type="noConversion"/>
  </si>
  <si>
    <t>支撑局点效率（人天/个）</t>
    <phoneticPr fontId="5" type="noConversion"/>
  </si>
  <si>
    <t>现网问题定位时长超过7个自然日的个数（个）</t>
    <phoneticPr fontId="5" type="noConversion"/>
  </si>
  <si>
    <t>研发效率</t>
    <phoneticPr fontId="26" type="noConversion"/>
  </si>
  <si>
    <t>目标值</t>
    <phoneticPr fontId="26" type="noConversion"/>
  </si>
  <si>
    <t>下限</t>
    <phoneticPr fontId="26" type="noConversion"/>
  </si>
  <si>
    <t>上限</t>
    <phoneticPr fontId="26" type="noConversion"/>
  </si>
  <si>
    <t>Metrics 度量项</t>
    <phoneticPr fontId="26" type="noConversion"/>
  </si>
  <si>
    <t>Metrics 度量项</t>
    <phoneticPr fontId="26" type="noConversion"/>
  </si>
  <si>
    <t>Metrics 度量项</t>
    <phoneticPr fontId="26" type="noConversion"/>
  </si>
  <si>
    <t>ICP-静态检查告警数(个)</t>
    <phoneticPr fontId="26" type="noConversion"/>
  </si>
  <si>
    <t>代码设计(Infusion检查)QDI</t>
    <phoneticPr fontId="26" type="noConversion"/>
  </si>
  <si>
    <t>个人构建平均时长（分钟）</t>
    <phoneticPr fontId="26" type="noConversion"/>
  </si>
  <si>
    <t>项目构建时长(分钟)</t>
    <phoneticPr fontId="26" type="noConversion"/>
  </si>
  <si>
    <t>全量自动化回归验证周期（小时）</t>
    <phoneticPr fontId="26" type="noConversion"/>
  </si>
  <si>
    <t>筛选</t>
    <phoneticPr fontId="26" type="noConversion"/>
  </si>
  <si>
    <t>是</t>
    <phoneticPr fontId="26" type="noConversion"/>
  </si>
  <si>
    <t>列23</t>
    <phoneticPr fontId="26" type="noConversion"/>
  </si>
  <si>
    <t>是</t>
    <phoneticPr fontId="26" type="noConversion"/>
  </si>
  <si>
    <t>筛选</t>
    <phoneticPr fontId="26" type="noConversion"/>
  </si>
  <si>
    <t>是</t>
    <phoneticPr fontId="26" type="noConversion"/>
  </si>
  <si>
    <t>是</t>
    <phoneticPr fontId="26" type="noConversion"/>
  </si>
  <si>
    <t>是</t>
    <phoneticPr fontId="26" type="noConversion"/>
  </si>
  <si>
    <t>趋势</t>
    <phoneticPr fontId="26" type="noConversion"/>
  </si>
  <si>
    <t>列24</t>
    <phoneticPr fontId="26" type="noConversion"/>
  </si>
  <si>
    <t>列16822255</t>
  </si>
  <si>
    <t>2017年度</t>
    <phoneticPr fontId="26" type="noConversion"/>
  </si>
  <si>
    <t>年度PCB（2017）</t>
    <phoneticPr fontId="26" type="noConversion"/>
  </si>
  <si>
    <t>列174</t>
    <phoneticPr fontId="26" type="noConversion"/>
  </si>
  <si>
    <t>列112222252</t>
  </si>
  <si>
    <t>基线值</t>
    <phoneticPr fontId="26" type="noConversion"/>
  </si>
  <si>
    <t>列1122226</t>
  </si>
  <si>
    <t>年度PCB（2016）</t>
    <phoneticPr fontId="26" type="noConversion"/>
  </si>
  <si>
    <t>列1714</t>
  </si>
  <si>
    <t>年度2016</t>
    <phoneticPr fontId="26" type="noConversion"/>
  </si>
  <si>
    <t>2016年度</t>
    <phoneticPr fontId="26" type="noConversion"/>
  </si>
  <si>
    <r>
      <rPr>
        <b/>
        <sz val="10"/>
        <color rgb="FF000000"/>
        <rFont val="微软雅黑"/>
        <family val="2"/>
        <charset val="134"/>
      </rPr>
      <t>度量分类</t>
    </r>
  </si>
  <si>
    <r>
      <rPr>
        <b/>
        <sz val="10"/>
        <color rgb="FF000000"/>
        <rFont val="微软雅黑"/>
        <family val="2"/>
        <charset val="134"/>
      </rPr>
      <t>指标项</t>
    </r>
  </si>
  <si>
    <r>
      <t>2016</t>
    </r>
    <r>
      <rPr>
        <b/>
        <sz val="10"/>
        <color rgb="FF000000"/>
        <rFont val="微软雅黑"/>
        <family val="2"/>
        <charset val="134"/>
      </rPr>
      <t>年基线</t>
    </r>
    <phoneticPr fontId="26" type="noConversion"/>
  </si>
  <si>
    <r>
      <t>2017</t>
    </r>
    <r>
      <rPr>
        <b/>
        <sz val="10"/>
        <color rgb="FF000000"/>
        <rFont val="微软雅黑"/>
        <family val="2"/>
        <charset val="134"/>
      </rPr>
      <t>年基线</t>
    </r>
    <phoneticPr fontId="26" type="noConversion"/>
  </si>
  <si>
    <r>
      <t>2018</t>
    </r>
    <r>
      <rPr>
        <b/>
        <sz val="10"/>
        <color rgb="FF000000"/>
        <rFont val="微软雅黑"/>
        <family val="2"/>
        <charset val="134"/>
      </rPr>
      <t>年基线</t>
    </r>
    <phoneticPr fontId="26" type="noConversion"/>
  </si>
  <si>
    <r>
      <rPr>
        <sz val="10"/>
        <color theme="1"/>
        <rFont val="微软雅黑"/>
        <family val="2"/>
        <charset val="134"/>
      </rPr>
      <t>研发效率</t>
    </r>
    <phoneticPr fontId="26" type="noConversion"/>
  </si>
  <si>
    <r>
      <rPr>
        <sz val="10"/>
        <color theme="1"/>
        <rFont val="微软雅黑"/>
        <family val="2"/>
        <charset val="134"/>
      </rPr>
      <t>研发效率</t>
    </r>
    <phoneticPr fontId="26" type="noConversion"/>
  </si>
  <si>
    <r>
      <t>(JAVA)</t>
    </r>
    <r>
      <rPr>
        <sz val="10"/>
        <color rgb="FF000000"/>
        <rFont val="微软雅黑"/>
        <family val="2"/>
        <charset val="134"/>
      </rPr>
      <t>软件开发生产率</t>
    </r>
    <r>
      <rPr>
        <sz val="10"/>
        <color rgb="FF000000"/>
        <rFont val="Arial"/>
        <family val="2"/>
      </rPr>
      <t>(Loc/</t>
    </r>
    <r>
      <rPr>
        <sz val="10"/>
        <color rgb="FF000000"/>
        <rFont val="微软雅黑"/>
        <family val="2"/>
        <charset val="134"/>
      </rPr>
      <t>人天</t>
    </r>
    <r>
      <rPr>
        <sz val="10"/>
        <color rgb="FF000000"/>
        <rFont val="Arial"/>
        <family val="2"/>
      </rPr>
      <t>)TR2-TR5</t>
    </r>
  </si>
  <si>
    <r>
      <t>(C/C++)</t>
    </r>
    <r>
      <rPr>
        <sz val="10"/>
        <color rgb="FF000000"/>
        <rFont val="微软雅黑"/>
        <family val="2"/>
        <charset val="134"/>
      </rPr>
      <t>软件开发生产率</t>
    </r>
    <r>
      <rPr>
        <sz val="10"/>
        <color rgb="FF000000"/>
        <rFont val="Arial"/>
        <family val="2"/>
      </rPr>
      <t>(Loc/</t>
    </r>
    <r>
      <rPr>
        <sz val="10"/>
        <color rgb="FF000000"/>
        <rFont val="微软雅黑"/>
        <family val="2"/>
        <charset val="134"/>
      </rPr>
      <t>人天</t>
    </r>
    <r>
      <rPr>
        <sz val="10"/>
        <color rgb="FF000000"/>
        <rFont val="Arial"/>
        <family val="2"/>
      </rPr>
      <t>)TR2-TR5</t>
    </r>
  </si>
  <si>
    <r>
      <t>Story</t>
    </r>
    <r>
      <rPr>
        <sz val="10"/>
        <color rgb="FF000000"/>
        <rFont val="微软雅黑"/>
        <family val="2"/>
        <charset val="134"/>
      </rPr>
      <t>生产率</t>
    </r>
    <r>
      <rPr>
        <sz val="10"/>
        <color rgb="FF000000"/>
        <rFont val="Arial"/>
        <family val="2"/>
      </rPr>
      <t>(</t>
    </r>
    <r>
      <rPr>
        <sz val="10"/>
        <color rgb="FF000000"/>
        <rFont val="微软雅黑"/>
        <family val="2"/>
        <charset val="134"/>
      </rPr>
      <t>个</t>
    </r>
    <r>
      <rPr>
        <sz val="10"/>
        <color rgb="FF000000"/>
        <rFont val="Arial"/>
        <family val="2"/>
      </rPr>
      <t>/</t>
    </r>
    <r>
      <rPr>
        <sz val="10"/>
        <color rgb="FF000000"/>
        <rFont val="微软雅黑"/>
        <family val="2"/>
        <charset val="134"/>
      </rPr>
      <t>人月</t>
    </r>
    <r>
      <rPr>
        <sz val="10"/>
        <color rgb="FF000000"/>
        <rFont val="Arial"/>
        <family val="2"/>
      </rPr>
      <t>)TR2-TR5</t>
    </r>
  </si>
  <si>
    <t>测试效率</t>
    <phoneticPr fontId="26" type="noConversion"/>
  </si>
  <si>
    <r>
      <t>网上问题解决率（</t>
    </r>
    <r>
      <rPr>
        <sz val="8"/>
        <color rgb="FF000000"/>
        <rFont val="Arial"/>
        <family val="2"/>
      </rPr>
      <t>%</t>
    </r>
    <r>
      <rPr>
        <sz val="8"/>
        <color rgb="FF000000"/>
        <rFont val="微软雅黑"/>
        <family val="2"/>
        <charset val="134"/>
      </rPr>
      <t>）</t>
    </r>
  </si>
  <si>
    <t>维护效率</t>
    <phoneticPr fontId="26" type="noConversion"/>
  </si>
  <si>
    <t>↑</t>
  </si>
  <si>
    <t>→</t>
  </si>
  <si>
    <t>自动化脚本开发效率</t>
    <phoneticPr fontId="26" type="noConversion"/>
  </si>
  <si>
    <t>↓</t>
  </si>
  <si>
    <t>工程能力</t>
  </si>
  <si>
    <t>自动化脚本质量</t>
    <phoneticPr fontId="26" type="noConversion"/>
  </si>
  <si>
    <t>维护质量</t>
    <phoneticPr fontId="26" type="noConversion"/>
  </si>
  <si>
    <r>
      <t>网上问题处理时长</t>
    </r>
    <r>
      <rPr>
        <sz val="8"/>
        <color rgb="FF000000"/>
        <rFont val="Arial"/>
        <family val="2"/>
      </rPr>
      <t>(</t>
    </r>
    <r>
      <rPr>
        <sz val="8"/>
        <color rgb="FF000000"/>
        <rFont val="微软雅黑"/>
        <family val="2"/>
        <charset val="134"/>
      </rPr>
      <t>人天</t>
    </r>
    <r>
      <rPr>
        <sz val="8"/>
        <color rgb="FF000000"/>
        <rFont val="Arial"/>
        <family val="2"/>
      </rPr>
      <t>/</t>
    </r>
    <r>
      <rPr>
        <sz val="8"/>
        <color rgb="FF000000"/>
        <rFont val="微软雅黑"/>
        <family val="2"/>
        <charset val="134"/>
      </rPr>
      <t>个</t>
    </r>
    <r>
      <rPr>
        <sz val="8"/>
        <color rgb="FF000000"/>
        <rFont val="Arial"/>
        <family val="2"/>
      </rPr>
      <t>)</t>
    </r>
  </si>
  <si>
    <t>测试执行质量</t>
    <phoneticPr fontId="26" type="noConversion"/>
  </si>
  <si>
    <t>Fortify告警数</t>
    <phoneticPr fontId="26" type="noConversion"/>
  </si>
  <si>
    <t>Coverity告警数</t>
    <phoneticPr fontId="26" type="noConversion"/>
  </si>
  <si>
    <t>Story生产率(个/人月)TR2-TR4</t>
    <phoneticPr fontId="26" type="noConversion"/>
  </si>
  <si>
    <t>PCB基线(2019H1)</t>
    <phoneticPr fontId="5" type="noConversion"/>
  </si>
  <si>
    <t>PCB基线(2019H2)</t>
    <phoneticPr fontId="5" type="noConversion"/>
  </si>
  <si>
    <t>PCB基线(2019年度)</t>
    <phoneticPr fontId="5" type="noConversion"/>
  </si>
  <si>
    <t>E2E生产率(Loc/人天)TR2-TR5</t>
    <phoneticPr fontId="5" type="noConversion"/>
  </si>
  <si>
    <t>自动化测试用例生产率(个/人天)</t>
  </si>
  <si>
    <t>测试用例密度（个/KLOC）</t>
  </si>
  <si>
    <t>首轮测试问题收敛比（%）</t>
  </si>
  <si>
    <t>测试轮次（次）</t>
  </si>
  <si>
    <t>效率</t>
    <phoneticPr fontId="5" type="noConversion"/>
  </si>
  <si>
    <t>软件开发生产率(Loc/人天)TR2-TR4A（发布前）（JAVA)</t>
    <phoneticPr fontId="31" type="noConversion"/>
  </si>
  <si>
    <t>版本周期（天）</t>
  </si>
  <si>
    <t>需求交付周期（天）</t>
  </si>
  <si>
    <t>需求变更率（%）</t>
  </si>
  <si>
    <t>版本测试阶段缺陷密度（DI/KLOC）</t>
  </si>
  <si>
    <t>回归不通过数（个）</t>
  </si>
  <si>
    <t>漏测问题（个）</t>
  </si>
  <si>
    <t>现网问题(个)</t>
  </si>
  <si>
    <t>变更失败次数（次）</t>
  </si>
  <si>
    <t>ST+SDV首轮发现问题DI占比</t>
  </si>
  <si>
    <t>缺陷平均关闭周期（天）</t>
  </si>
  <si>
    <t>自动化通过率（%）</t>
  </si>
  <si>
    <t>BU定制指标</t>
    <phoneticPr fontId="26" type="noConversion"/>
  </si>
  <si>
    <t>方案设计效率（页/人天）</t>
    <phoneticPr fontId="5" type="noConversion"/>
  </si>
  <si>
    <t>自动化测试用例生产率(个/人天)</t>
    <phoneticPr fontId="5" type="noConversion"/>
  </si>
  <si>
    <t>手动用例设计效率(个/人天)</t>
    <phoneticPr fontId="5" type="noConversion"/>
  </si>
  <si>
    <t>手动测试用例执行效率(个/人天)</t>
    <phoneticPr fontId="5" type="noConversion"/>
  </si>
  <si>
    <t>华为投入比例(%)</t>
    <phoneticPr fontId="5" type="noConversion"/>
  </si>
  <si>
    <t>测试用例密度（个/KLOC）</t>
    <phoneticPr fontId="5" type="noConversion"/>
  </si>
  <si>
    <t>漏测问题数（个）</t>
    <phoneticPr fontId="5" type="noConversion"/>
  </si>
  <si>
    <r>
      <t>自动化用例连跑通过率（</t>
    </r>
    <r>
      <rPr>
        <sz val="9"/>
        <rFont val="Times New Roman"/>
        <family val="1"/>
      </rPr>
      <t>%</t>
    </r>
    <r>
      <rPr>
        <sz val="9"/>
        <rFont val="宋体"/>
        <family val="3"/>
        <charset val="134"/>
      </rPr>
      <t>）</t>
    </r>
    <phoneticPr fontId="5" type="noConversion"/>
  </si>
  <si>
    <t>年度PCB（2019）</t>
    <phoneticPr fontId="26" type="noConversion"/>
  </si>
  <si>
    <t>测试项目效率</t>
    <phoneticPr fontId="31" type="noConversion"/>
  </si>
  <si>
    <t>测试项目质量</t>
    <phoneticPr fontId="31" type="noConversion"/>
  </si>
  <si>
    <t>测试项目</t>
    <phoneticPr fontId="5" type="noConversion"/>
  </si>
  <si>
    <t>进度</t>
    <phoneticPr fontId="5" type="noConversion"/>
  </si>
  <si>
    <t>进度偏移(%)</t>
    <phoneticPr fontId="5" type="noConversion"/>
  </si>
  <si>
    <t>人力</t>
    <phoneticPr fontId="5" type="noConversion"/>
  </si>
  <si>
    <t>华为投入比例(%)</t>
    <phoneticPr fontId="5" type="noConversion"/>
  </si>
  <si>
    <t>脚本实现率（%）</t>
    <phoneticPr fontId="5" type="noConversion"/>
  </si>
  <si>
    <t>脚本覆盖率（%）</t>
    <phoneticPr fontId="5" type="noConversion"/>
  </si>
  <si>
    <t>自动化脚本检视缺陷密度（个/每个）</t>
    <phoneticPr fontId="31" type="noConversion"/>
  </si>
  <si>
    <t>自动化脚本检视率（%）</t>
    <phoneticPr fontId="5" type="noConversion"/>
  </si>
  <si>
    <t>自动化脚本与用例忠实度（%）</t>
    <phoneticPr fontId="31" type="noConversion"/>
  </si>
  <si>
    <t>CI脚本通过率(%)</t>
    <phoneticPr fontId="5" type="noConversion"/>
  </si>
  <si>
    <t>（TICC）全量脚本通过率（%）</t>
    <phoneticPr fontId="5" type="noConversion"/>
  </si>
  <si>
    <t>网上问题/交付使用后发现的问题数</t>
    <phoneticPr fontId="5" type="noConversion"/>
  </si>
  <si>
    <t>已回溯问题数</t>
    <phoneticPr fontId="5" type="noConversion"/>
  </si>
  <si>
    <t>问题回溯率(%)</t>
    <phoneticPr fontId="5" type="noConversion"/>
  </si>
  <si>
    <t>效率</t>
    <phoneticPr fontId="31" type="noConversion"/>
  </si>
  <si>
    <t>网上问题解决率（%）</t>
    <phoneticPr fontId="5" type="noConversion"/>
  </si>
  <si>
    <t>维护类网上问题处理时长（人天/个）</t>
    <phoneticPr fontId="5" type="noConversion"/>
  </si>
  <si>
    <t>重大紧急问题恢复时长（小时/个）</t>
    <phoneticPr fontId="5" type="noConversion"/>
  </si>
  <si>
    <t>自动化脚本执行率(个/人天)</t>
    <phoneticPr fontId="31" type="noConversion"/>
  </si>
  <si>
    <t>自动化脚本分析效率（个/人天）</t>
    <phoneticPr fontId="31" type="noConversion"/>
  </si>
  <si>
    <t>效率</t>
    <phoneticPr fontId="26" type="noConversion"/>
  </si>
  <si>
    <t>云核</t>
    <phoneticPr fontId="26" type="noConversion"/>
  </si>
  <si>
    <t>BSS</t>
    <phoneticPr fontId="26" type="noConversion"/>
  </si>
  <si>
    <t>GSD</t>
    <phoneticPr fontId="26" type="noConversion"/>
  </si>
  <si>
    <t>公共开发部(开发测试)</t>
    <phoneticPr fontId="26" type="noConversion"/>
  </si>
  <si>
    <t>企业IT(开发测试)</t>
    <phoneticPr fontId="26" type="noConversion"/>
  </si>
  <si>
    <t>网络(C开发)</t>
    <phoneticPr fontId="26" type="noConversion"/>
  </si>
  <si>
    <t>网络(J开发)</t>
    <phoneticPr fontId="26" type="noConversion"/>
  </si>
  <si>
    <t>无线(开发效率)</t>
    <phoneticPr fontId="26" type="noConversion"/>
  </si>
  <si>
    <t>消费者云服务(开发测试)</t>
    <phoneticPr fontId="26" type="noConversion"/>
  </si>
  <si>
    <t>云BU(开发测试)</t>
    <phoneticPr fontId="26" type="noConversion"/>
  </si>
  <si>
    <t>软件开发生产率(Loc/人天)TR2-TR4A（发布前）</t>
    <phoneticPr fontId="5" type="noConversion"/>
  </si>
  <si>
    <t>软件开发生产率(Loc/人天)TR2-TR4（转测试）</t>
    <phoneticPr fontId="5" type="noConversion"/>
  </si>
  <si>
    <t>Story/特性开发效率(个/人天)TR2-TR4A（发布前）</t>
    <phoneticPr fontId="5" type="noConversion"/>
  </si>
  <si>
    <t>Story/特性开发效率(个/人天)TR2-TR4A（发布前）</t>
    <phoneticPr fontId="3" type="noConversion"/>
  </si>
  <si>
    <t>效率</t>
    <phoneticPr fontId="31" type="noConversion"/>
  </si>
  <si>
    <t>方案设计效率（页/人天）</t>
    <phoneticPr fontId="5" type="noConversion"/>
  </si>
  <si>
    <t>自动化测试用例生产率(个/人天)</t>
    <phoneticPr fontId="5" type="noConversion"/>
  </si>
  <si>
    <t>手动用例设计效率(个/人天)</t>
    <phoneticPr fontId="5" type="noConversion"/>
  </si>
  <si>
    <t>手动测试用例执行效率(个/人天)</t>
    <phoneticPr fontId="5" type="noConversion"/>
  </si>
  <si>
    <t>华为投入比例(%)</t>
    <phoneticPr fontId="5" type="noConversion"/>
  </si>
  <si>
    <t>质量</t>
    <phoneticPr fontId="31" type="noConversion"/>
  </si>
  <si>
    <t>测试用例密度（个/KLOC）</t>
    <phoneticPr fontId="5" type="noConversion"/>
  </si>
  <si>
    <t>自动化用例比例(%)</t>
    <phoneticPr fontId="5" type="noConversion"/>
  </si>
  <si>
    <t>首轮测试问题收敛比（%）</t>
    <phoneticPr fontId="5" type="noConversion"/>
  </si>
  <si>
    <t>漏测率(%)</t>
    <phoneticPr fontId="5" type="noConversion"/>
  </si>
  <si>
    <t>用例发现的问题占比（%）</t>
    <phoneticPr fontId="5" type="noConversion"/>
  </si>
  <si>
    <t>自动化用例连跑通过率（%）</t>
    <phoneticPr fontId="5" type="noConversion"/>
  </si>
  <si>
    <t>测试轮次（次）</t>
    <phoneticPr fontId="5" type="noConversion"/>
  </si>
  <si>
    <t>SDV测试缺陷密度（个/KLOC）</t>
    <phoneticPr fontId="5" type="noConversion"/>
  </si>
  <si>
    <t>进度</t>
    <phoneticPr fontId="5" type="noConversion"/>
  </si>
  <si>
    <t>进度偏移(%)</t>
    <phoneticPr fontId="5" type="noConversion"/>
  </si>
  <si>
    <t>自动化脚本检视缺陷密度（个/每个）</t>
    <phoneticPr fontId="31" type="noConversion"/>
  </si>
  <si>
    <t>自动化脚本检视率（%）</t>
    <phoneticPr fontId="5" type="noConversion"/>
  </si>
  <si>
    <t>自动化脚本与用例忠实度（%）</t>
    <phoneticPr fontId="31" type="noConversion"/>
  </si>
  <si>
    <t>CI脚本通过率(%)</t>
    <phoneticPr fontId="5" type="noConversion"/>
  </si>
  <si>
    <t>（TICC）全量脚本通过率（%）</t>
    <phoneticPr fontId="5" type="noConversion"/>
  </si>
  <si>
    <t>网上问题/交付使用后发现的问题数</t>
    <phoneticPr fontId="5" type="noConversion"/>
  </si>
  <si>
    <t>自动化脚本执行率(个/人天)</t>
    <phoneticPr fontId="31" type="noConversion"/>
  </si>
  <si>
    <t>自动化脚本分析效率（个/人天）</t>
    <phoneticPr fontId="31" type="noConversion"/>
  </si>
  <si>
    <t>自动化执行</t>
    <phoneticPr fontId="26" type="noConversion"/>
  </si>
  <si>
    <t>自动化执行</t>
    <phoneticPr fontId="31" type="noConversion"/>
  </si>
  <si>
    <t>效率</t>
    <phoneticPr fontId="31" type="noConversion"/>
  </si>
  <si>
    <t>网上问题解决率（%）</t>
    <phoneticPr fontId="5" type="noConversion"/>
  </si>
  <si>
    <t>维护类网上问题处理时长（人天/个）</t>
    <phoneticPr fontId="5" type="noConversion"/>
  </si>
  <si>
    <t>重大紧急问题恢复时长（小时/个）</t>
    <phoneticPr fontId="5" type="noConversion"/>
  </si>
  <si>
    <t>现网问题定位时长超过7个自然日的个数（个）</t>
    <phoneticPr fontId="5" type="noConversion"/>
  </si>
  <si>
    <t>质量</t>
    <phoneticPr fontId="5" type="noConversion"/>
  </si>
  <si>
    <t>问题单解决率（补丁版本）（%）</t>
    <phoneticPr fontId="5" type="noConversion"/>
  </si>
  <si>
    <t>网络(测试)</t>
    <phoneticPr fontId="26" type="noConversion"/>
  </si>
  <si>
    <t>网络(AD)</t>
    <phoneticPr fontId="26" type="noConversion"/>
  </si>
  <si>
    <t>网络(AT)</t>
    <phoneticPr fontId="26" type="noConversion"/>
  </si>
  <si>
    <t>网络(维护)</t>
    <phoneticPr fontId="26" type="noConversion"/>
  </si>
  <si>
    <t>列20</t>
  </si>
  <si>
    <t>列192</t>
  </si>
  <si>
    <t>列193</t>
  </si>
  <si>
    <t>列1725</t>
  </si>
  <si>
    <t>2018年度</t>
    <phoneticPr fontId="26" type="noConversion"/>
  </si>
  <si>
    <t>2019年度</t>
    <phoneticPr fontId="26" type="noConversion"/>
  </si>
  <si>
    <t>2020年质量目标</t>
    <phoneticPr fontId="26" type="noConversion"/>
  </si>
  <si>
    <t>2020年质量目标</t>
    <phoneticPr fontId="26" type="noConversion"/>
  </si>
  <si>
    <t>年度PCB（2018）</t>
    <phoneticPr fontId="26" type="noConversion"/>
  </si>
  <si>
    <t>年度PCB（2019）</t>
    <phoneticPr fontId="26" type="noConversion"/>
  </si>
  <si>
    <t>软件开发生产率(Loc/人天)TR2-TR4A（发布前）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</si>
</sst>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_ "/>
    <numFmt numFmtId="177" formatCode="0.00_);[Red]\(0.00\)"/>
    <numFmt numFmtId="178" formatCode="0.0_);[Red]\(0.0\)"/>
    <numFmt numFmtId="179" formatCode="0_ "/>
    <numFmt numFmtId="180" formatCode="0.00_ "/>
    <numFmt numFmtId="181" formatCode="0.0%"/>
    <numFmt numFmtId="182" formatCode="0_);[Red]\(0\)"/>
    <numFmt numFmtId="183" formatCode="0.0"/>
  </numFmts>
  <fonts count="54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微软雅黑"/>
      <family val="2"/>
      <charset val="134"/>
    </font>
    <font>
      <sz val="12"/>
      <color indexed="8"/>
      <name val="宋体"/>
      <family val="3"/>
      <charset val="134"/>
    </font>
    <font>
      <b/>
      <sz val="1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9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9"/>
      <name val="微软雅黑"/>
      <family val="2"/>
      <charset val="134"/>
    </font>
    <font>
      <b/>
      <sz val="11"/>
      <name val="微软雅黑"/>
      <family val="2"/>
      <charset val="134"/>
    </font>
    <font>
      <sz val="9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1"/>
      <name val="微软雅黑"/>
      <family val="2"/>
      <charset val="134"/>
    </font>
    <font>
      <sz val="12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9"/>
      <color theme="1"/>
      <name val="微软雅黑"/>
      <family val="2"/>
      <charset val="134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</font>
    <font>
      <b/>
      <sz val="10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FrutigerNext LT Regular"/>
      <family val="2"/>
    </font>
    <font>
      <sz val="8"/>
      <color rgb="FFFF0000"/>
      <name val="微软雅黑"/>
      <family val="2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9"/>
      <color rgb="FFFF0000"/>
      <name val="宋体"/>
      <family val="3"/>
      <charset val="134"/>
    </font>
    <font>
      <b/>
      <sz val="8"/>
      <color rgb="FF000000"/>
      <name val="微软雅黑"/>
      <family val="2"/>
      <charset val="134"/>
    </font>
    <font>
      <sz val="8"/>
      <color rgb="FF000000"/>
      <name val="微软雅黑"/>
      <family val="2"/>
      <charset val="134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rgb="FF00B050"/>
      <name val="微软雅黑"/>
      <family val="2"/>
      <charset val="134"/>
    </font>
    <font>
      <b/>
      <sz val="8"/>
      <color rgb="FF000000"/>
      <name val="宋体"/>
      <family val="3"/>
      <charset val="134"/>
    </font>
    <font>
      <sz val="8"/>
      <color rgb="FFFF0000"/>
      <name val="Arial"/>
      <family val="2"/>
    </font>
    <font>
      <sz val="8"/>
      <color rgb="FF00B050"/>
      <name val="Arial"/>
      <family val="2"/>
    </font>
    <font>
      <sz val="11"/>
      <color rgb="FF000000"/>
      <name val="宋体"/>
      <family val="3"/>
      <charset val="134"/>
    </font>
    <font>
      <sz val="9"/>
      <color rgb="FFFFFF00"/>
      <name val="宋体"/>
      <family val="3"/>
      <charset val="134"/>
    </font>
    <font>
      <sz val="9"/>
      <name val="Times New Roman"/>
      <family val="1"/>
    </font>
    <font>
      <sz val="11"/>
      <color theme="1"/>
      <name val="宋体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CDD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FCD5B4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6">
    <xf numFmtId="0" fontId="0" fillId="0" borderId="0">
      <alignment vertical="center"/>
    </xf>
    <xf numFmtId="0" fontId="5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3" fillId="0" borderId="0"/>
    <xf numFmtId="9" fontId="2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5" fillId="0" borderId="0"/>
    <xf numFmtId="0" fontId="23" fillId="0" borderId="0">
      <alignment vertical="center"/>
    </xf>
  </cellStyleXfs>
  <cellXfs count="406">
    <xf numFmtId="0" fontId="53" fillId="0" borderId="0">
      <alignment vertical="center"/>
    </xf>
    <xf numFmtId="0" fontId="40" fillId="0" borderId="19" xfId="0" applyFont="1" applyBorder="1" applyAlignment="1">
      <alignment horizontal="center" vertical="center" wrapText="1" readingOrder="1"/>
    </xf>
    <xf numFmtId="0" fontId="13" fillId="0" borderId="1" xfId="0" applyNumberFormat="1" applyFont="1" applyFill="1" applyBorder="1" applyAlignment="1" applyProtection="1">
      <alignment horizontal="left" vertical="center" wrapText="1"/>
      <protection locked="0"/>
    </xf>
    <xf numFmtId="179" fontId="15" fillId="0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81" fontId="15" fillId="0" borderId="1" xfId="2" applyNumberFormat="1" applyFont="1" applyFill="1" applyBorder="1" applyAlignment="1">
      <alignment horizontal="center" vertical="center"/>
    </xf>
    <xf numFmtId="180" fontId="15" fillId="0" borderId="1" xfId="0" applyNumberFormat="1" applyFont="1" applyFill="1" applyBorder="1" applyAlignment="1">
      <alignment horizontal="center" vertical="center"/>
    </xf>
    <xf numFmtId="176" fontId="15" fillId="0" borderId="1" xfId="2" applyNumberFormat="1" applyFont="1" applyFill="1" applyBorder="1" applyAlignment="1">
      <alignment horizontal="center" vertical="center"/>
    </xf>
    <xf numFmtId="179" fontId="15" fillId="0" borderId="1" xfId="10" applyNumberFormat="1" applyFont="1" applyFill="1" applyBorder="1" applyAlignment="1">
      <alignment horizontal="center" vertical="center"/>
    </xf>
    <xf numFmtId="176" fontId="15" fillId="0" borderId="1" xfId="10" applyNumberFormat="1" applyFont="1" applyFill="1" applyBorder="1" applyAlignment="1">
      <alignment horizontal="center" vertical="center"/>
    </xf>
    <xf numFmtId="179" fontId="15" fillId="0" borderId="1" xfId="2" applyNumberFormat="1" applyFont="1" applyFill="1" applyBorder="1" applyAlignment="1">
      <alignment horizontal="center" vertical="center"/>
    </xf>
    <xf numFmtId="177" fontId="15" fillId="0" borderId="1" xfId="2" applyNumberFormat="1" applyFont="1" applyFill="1" applyBorder="1" applyAlignment="1">
      <alignment horizontal="center" vertical="center"/>
    </xf>
    <xf numFmtId="178" fontId="15" fillId="0" borderId="1" xfId="2" applyNumberFormat="1" applyFont="1" applyFill="1" applyBorder="1" applyAlignment="1">
      <alignment horizontal="center" vertical="center"/>
    </xf>
    <xf numFmtId="182" fontId="15" fillId="0" borderId="1" xfId="2" applyNumberFormat="1" applyFont="1" applyFill="1" applyBorder="1" applyAlignment="1">
      <alignment horizontal="center" vertical="center"/>
    </xf>
    <xf numFmtId="179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9" fontId="15" fillId="0" borderId="1" xfId="2" applyFont="1" applyFill="1" applyBorder="1" applyAlignment="1">
      <alignment horizontal="center" vertical="center"/>
    </xf>
    <xf numFmtId="182" fontId="15" fillId="0" borderId="1" xfId="0" applyNumberFormat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176" fontId="8" fillId="10" borderId="1" xfId="0" applyNumberFormat="1" applyFont="1" applyFill="1" applyBorder="1" applyAlignment="1">
      <alignment horizontal="center" vertical="center"/>
    </xf>
    <xf numFmtId="180" fontId="8" fillId="10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 applyProtection="1">
      <alignment horizontal="left" vertical="center" wrapText="1"/>
      <protection locked="0"/>
    </xf>
    <xf numFmtId="10" fontId="15" fillId="0" borderId="1" xfId="2" applyNumberFormat="1" applyFont="1" applyFill="1" applyBorder="1" applyAlignment="1">
      <alignment horizontal="center" vertical="center"/>
    </xf>
    <xf numFmtId="10" fontId="15" fillId="0" borderId="1" xfId="0" applyNumberFormat="1" applyFont="1" applyFill="1" applyBorder="1" applyAlignment="1">
      <alignment horizontal="center" vertical="center"/>
    </xf>
    <xf numFmtId="0" fontId="3" fillId="6" borderId="0" xfId="10" applyFill="1">
      <alignment vertical="center"/>
    </xf>
    <xf numFmtId="0" fontId="0" fillId="6" borderId="0" xfId="0" applyFont="1" applyFill="1" applyAlignment="1"/>
    <xf numFmtId="0" fontId="3" fillId="0" borderId="0" xfId="10">
      <alignment vertical="center"/>
    </xf>
    <xf numFmtId="0" fontId="15" fillId="0" borderId="11" xfId="0" applyNumberFormat="1" applyFont="1" applyFill="1" applyBorder="1" applyAlignment="1" applyProtection="1">
      <alignment horizontal="left" vertical="center" wrapText="1"/>
      <protection locked="0"/>
    </xf>
    <xf numFmtId="179" fontId="15" fillId="0" borderId="3" xfId="0" applyNumberFormat="1" applyFont="1" applyFill="1" applyBorder="1" applyAlignment="1">
      <alignment horizontal="center" vertical="center"/>
    </xf>
    <xf numFmtId="177" fontId="15" fillId="0" borderId="3" xfId="2" applyNumberFormat="1" applyFont="1" applyFill="1" applyBorder="1" applyAlignment="1">
      <alignment horizontal="center" vertical="center"/>
    </xf>
    <xf numFmtId="179" fontId="15" fillId="0" borderId="3" xfId="1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 wrapText="1"/>
    </xf>
    <xf numFmtId="181" fontId="15" fillId="0" borderId="2" xfId="2" applyNumberFormat="1" applyFont="1" applyFill="1" applyBorder="1" applyAlignment="1">
      <alignment horizontal="center" vertical="center"/>
    </xf>
    <xf numFmtId="0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0" borderId="0" xfId="10" applyFont="1" applyFill="1" applyBorder="1">
      <alignment vertical="center"/>
    </xf>
    <xf numFmtId="0" fontId="11" fillId="6" borderId="0" xfId="0" applyFont="1" applyFill="1" applyAlignment="1"/>
    <xf numFmtId="0" fontId="20" fillId="0" borderId="0" xfId="10" applyFont="1">
      <alignment vertical="center"/>
    </xf>
    <xf numFmtId="0" fontId="4" fillId="9" borderId="1" xfId="0" applyFon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20" fillId="0" borderId="1" xfId="10" applyFont="1" applyFill="1" applyBorder="1">
      <alignment vertical="center"/>
    </xf>
    <xf numFmtId="176" fontId="15" fillId="0" borderId="1" xfId="0" applyNumberFormat="1" applyFont="1" applyFill="1" applyBorder="1" applyAlignment="1">
      <alignment horizontal="center" vertical="center" wrapText="1"/>
    </xf>
    <xf numFmtId="179" fontId="15" fillId="10" borderId="1" xfId="0" applyNumberFormat="1" applyFont="1" applyFill="1" applyBorder="1" applyAlignment="1">
      <alignment horizontal="center" vertical="center"/>
    </xf>
    <xf numFmtId="176" fontId="15" fillId="10" borderId="1" xfId="0" applyNumberFormat="1" applyFont="1" applyFill="1" applyBorder="1" applyAlignment="1">
      <alignment horizontal="center" vertical="center"/>
    </xf>
    <xf numFmtId="182" fontId="15" fillId="0" borderId="3" xfId="2" applyNumberFormat="1" applyFont="1" applyFill="1" applyBorder="1" applyAlignment="1">
      <alignment horizontal="center" vertical="center"/>
    </xf>
    <xf numFmtId="179" fontId="15" fillId="0" borderId="0" xfId="0" applyNumberFormat="1" applyFont="1" applyFill="1" applyBorder="1" applyAlignment="1">
      <alignment horizontal="center" vertical="center"/>
    </xf>
    <xf numFmtId="182" fontId="15" fillId="0" borderId="0" xfId="2" applyNumberFormat="1" applyFont="1" applyFill="1" applyBorder="1" applyAlignment="1">
      <alignment horizontal="center" vertical="center"/>
    </xf>
    <xf numFmtId="179" fontId="15" fillId="0" borderId="3" xfId="2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181" fontId="15" fillId="8" borderId="1" xfId="2" applyNumberFormat="1" applyFont="1" applyFill="1" applyBorder="1" applyAlignment="1">
      <alignment horizontal="center" vertical="center"/>
    </xf>
    <xf numFmtId="182" fontId="15" fillId="8" borderId="1" xfId="0" applyNumberFormat="1" applyFont="1" applyFill="1" applyBorder="1" applyAlignment="1">
      <alignment horizontal="center" vertical="center"/>
    </xf>
    <xf numFmtId="182" fontId="15" fillId="8" borderId="1" xfId="2" applyNumberFormat="1" applyFont="1" applyFill="1" applyBorder="1" applyAlignment="1">
      <alignment horizontal="center" vertical="center"/>
    </xf>
    <xf numFmtId="0" fontId="20" fillId="6" borderId="0" xfId="10" applyFont="1" applyFill="1">
      <alignment vertical="center"/>
    </xf>
    <xf numFmtId="0" fontId="15" fillId="6" borderId="0" xfId="0" applyFont="1" applyFill="1" applyBorder="1" applyAlignment="1">
      <alignment horizontal="left" vertical="center" wrapText="1"/>
    </xf>
    <xf numFmtId="0" fontId="22" fillId="6" borderId="0" xfId="0" applyFont="1" applyFill="1" applyAlignment="1"/>
    <xf numFmtId="0" fontId="13" fillId="5" borderId="11" xfId="0" applyNumberFormat="1" applyFont="1" applyFill="1" applyBorder="1" applyAlignment="1" applyProtection="1">
      <alignment horizontal="left" vertical="center" wrapText="1"/>
      <protection locked="0"/>
    </xf>
    <xf numFmtId="179" fontId="8" fillId="10" borderId="1" xfId="0" applyNumberFormat="1" applyFont="1" applyFill="1" applyBorder="1" applyAlignment="1">
      <alignment horizontal="center" vertical="center"/>
    </xf>
    <xf numFmtId="0" fontId="13" fillId="0" borderId="11" xfId="0" applyNumberFormat="1" applyFont="1" applyFill="1" applyBorder="1" applyAlignment="1" applyProtection="1">
      <alignment horizontal="left" vertical="center" wrapText="1"/>
      <protection locked="0"/>
    </xf>
    <xf numFmtId="0" fontId="14" fillId="0" borderId="1" xfId="0" applyFont="1" applyFill="1" applyBorder="1" applyAlignment="1">
      <alignment horizontal="center" vertical="center" wrapText="1"/>
    </xf>
    <xf numFmtId="176" fontId="15" fillId="0" borderId="3" xfId="10" applyNumberFormat="1" applyFont="1" applyFill="1" applyBorder="1" applyAlignment="1">
      <alignment horizontal="center" vertical="center"/>
    </xf>
    <xf numFmtId="179" fontId="21" fillId="10" borderId="1" xfId="0" applyNumberFormat="1" applyFont="1" applyFill="1" applyBorder="1" applyAlignment="1">
      <alignment horizontal="center" vertical="center"/>
    </xf>
    <xf numFmtId="176" fontId="21" fillId="10" borderId="1" xfId="0" applyNumberFormat="1" applyFont="1" applyFill="1" applyBorder="1" applyAlignment="1">
      <alignment horizontal="center" vertical="center"/>
    </xf>
    <xf numFmtId="179" fontId="15" fillId="0" borderId="7" xfId="10" applyNumberFormat="1" applyFont="1" applyFill="1" applyBorder="1" applyAlignment="1">
      <alignment horizontal="center" vertical="center"/>
    </xf>
    <xf numFmtId="179" fontId="15" fillId="0" borderId="7" xfId="2" applyNumberFormat="1" applyFont="1" applyFill="1" applyBorder="1" applyAlignment="1">
      <alignment horizontal="center" vertical="center"/>
    </xf>
    <xf numFmtId="179" fontId="15" fillId="0" borderId="10" xfId="10" applyNumberFormat="1" applyFont="1" applyFill="1" applyBorder="1" applyAlignment="1">
      <alignment horizontal="center" vertical="center"/>
    </xf>
    <xf numFmtId="176" fontId="15" fillId="0" borderId="3" xfId="2" applyNumberFormat="1" applyFont="1" applyFill="1" applyBorder="1" applyAlignment="1">
      <alignment horizontal="center" vertical="center"/>
    </xf>
    <xf numFmtId="9" fontId="15" fillId="0" borderId="3" xfId="2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0" fontId="17" fillId="0" borderId="4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179" fontId="15" fillId="0" borderId="0" xfId="2" applyNumberFormat="1" applyFont="1" applyFill="1" applyBorder="1" applyAlignment="1">
      <alignment horizontal="center" vertical="center"/>
    </xf>
    <xf numFmtId="181" fontId="15" fillId="0" borderId="5" xfId="2" applyNumberFormat="1" applyFont="1" applyFill="1" applyBorder="1" applyAlignment="1">
      <alignment horizontal="center" vertical="center"/>
    </xf>
    <xf numFmtId="10" fontId="15" fillId="0" borderId="5" xfId="2" applyNumberFormat="1" applyFont="1" applyFill="1" applyBorder="1" applyAlignment="1">
      <alignment horizontal="center" vertical="center"/>
    </xf>
    <xf numFmtId="179" fontId="18" fillId="0" borderId="1" xfId="0" applyNumberFormat="1" applyFont="1" applyBorder="1" applyAlignment="1">
      <alignment horizontal="center" vertical="center"/>
    </xf>
    <xf numFmtId="10" fontId="18" fillId="0" borderId="1" xfId="0" applyNumberFormat="1" applyFont="1" applyBorder="1" applyAlignment="1">
      <alignment horizontal="center" vertical="center"/>
    </xf>
    <xf numFmtId="177" fontId="18" fillId="0" borderId="1" xfId="0" applyNumberFormat="1" applyFont="1" applyBorder="1" applyAlignment="1">
      <alignment horizontal="center" vertical="center"/>
    </xf>
    <xf numFmtId="2" fontId="18" fillId="0" borderId="0" xfId="0" applyNumberFormat="1" applyFont="1" applyFill="1" applyBorder="1" applyAlignment="1">
      <alignment horizontal="center" vertical="center"/>
    </xf>
    <xf numFmtId="10" fontId="18" fillId="0" borderId="0" xfId="0" applyNumberFormat="1" applyFont="1" applyFill="1" applyBorder="1" applyAlignment="1">
      <alignment horizontal="center" vertical="center"/>
    </xf>
    <xf numFmtId="181" fontId="15" fillId="6" borderId="1" xfId="2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1" fillId="0" borderId="0" xfId="21" applyAlignment="1"/>
    <xf numFmtId="0" fontId="4" fillId="0" borderId="0" xfId="21" applyFont="1" applyFill="1" applyBorder="1" applyAlignment="1">
      <alignment horizontal="left" vertical="center" wrapText="1"/>
    </xf>
    <xf numFmtId="0" fontId="9" fillId="0" borderId="0" xfId="21" applyFont="1" applyAlignment="1"/>
    <xf numFmtId="0" fontId="7" fillId="0" borderId="1" xfId="21" applyFont="1" applyBorder="1" applyAlignment="1">
      <alignment horizontal="center" vertical="center" wrapText="1"/>
    </xf>
    <xf numFmtId="182" fontId="15" fillId="6" borderId="1" xfId="0" applyNumberFormat="1" applyFont="1" applyFill="1" applyBorder="1" applyAlignment="1">
      <alignment horizontal="center" vertical="center"/>
    </xf>
    <xf numFmtId="10" fontId="15" fillId="6" borderId="1" xfId="0" applyNumberFormat="1" applyFont="1" applyFill="1" applyBorder="1" applyAlignment="1">
      <alignment horizontal="center" vertical="center"/>
    </xf>
    <xf numFmtId="182" fontId="15" fillId="6" borderId="1" xfId="2" applyNumberFormat="1" applyFont="1" applyFill="1" applyBorder="1" applyAlignment="1">
      <alignment horizontal="center" vertical="center"/>
    </xf>
    <xf numFmtId="177" fontId="15" fillId="6" borderId="1" xfId="2" applyNumberFormat="1" applyFont="1" applyFill="1" applyBorder="1" applyAlignment="1">
      <alignment horizontal="center" vertical="center"/>
    </xf>
    <xf numFmtId="180" fontId="15" fillId="6" borderId="1" xfId="0" applyNumberFormat="1" applyFont="1" applyFill="1" applyBorder="1" applyAlignment="1">
      <alignment horizontal="center" vertical="center"/>
    </xf>
    <xf numFmtId="182" fontId="15" fillId="0" borderId="9" xfId="2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 wrapText="1"/>
    </xf>
    <xf numFmtId="0" fontId="15" fillId="0" borderId="1" xfId="2" applyNumberFormat="1" applyFont="1" applyFill="1" applyBorder="1" applyAlignment="1">
      <alignment horizontal="center" vertical="center"/>
    </xf>
    <xf numFmtId="0" fontId="15" fillId="0" borderId="5" xfId="2" applyNumberFormat="1" applyFont="1" applyFill="1" applyBorder="1" applyAlignment="1">
      <alignment horizontal="center" vertical="center"/>
    </xf>
    <xf numFmtId="0" fontId="15" fillId="6" borderId="1" xfId="0" applyNumberFormat="1" applyFont="1" applyFill="1" applyBorder="1" applyAlignment="1">
      <alignment horizontal="center" vertical="center"/>
    </xf>
    <xf numFmtId="183" fontId="15" fillId="0" borderId="1" xfId="2" applyNumberFormat="1" applyFont="1" applyFill="1" applyBorder="1" applyAlignment="1">
      <alignment horizontal="center" vertical="center"/>
    </xf>
    <xf numFmtId="0" fontId="10" fillId="9" borderId="6" xfId="10" applyFont="1" applyFill="1" applyBorder="1" applyAlignment="1">
      <alignment horizontal="center" vertical="center"/>
    </xf>
    <xf numFmtId="179" fontId="15" fillId="0" borderId="1" xfId="0" applyNumberFormat="1" applyFont="1" applyFill="1" applyBorder="1" applyAlignment="1">
      <alignment horizontal="center" vertical="center" wrapText="1"/>
    </xf>
    <xf numFmtId="183" fontId="15" fillId="0" borderId="1" xfId="0" applyNumberFormat="1" applyFont="1" applyFill="1" applyBorder="1" applyAlignment="1">
      <alignment horizontal="center" vertical="center" wrapText="1"/>
    </xf>
    <xf numFmtId="183" fontId="15" fillId="0" borderId="1" xfId="0" applyNumberFormat="1" applyFont="1" applyFill="1" applyBorder="1" applyAlignment="1">
      <alignment horizontal="center" vertical="center"/>
    </xf>
    <xf numFmtId="179" fontId="15" fillId="8" borderId="1" xfId="0" applyNumberFormat="1" applyFont="1" applyFill="1" applyBorder="1" applyAlignment="1">
      <alignment horizontal="center" vertical="center"/>
    </xf>
    <xf numFmtId="9" fontId="15" fillId="8" borderId="1" xfId="0" applyNumberFormat="1" applyFont="1" applyFill="1" applyBorder="1" applyAlignment="1">
      <alignment horizontal="center" vertical="center"/>
    </xf>
    <xf numFmtId="179" fontId="15" fillId="0" borderId="5" xfId="2" applyNumberFormat="1" applyFont="1" applyFill="1" applyBorder="1" applyAlignment="1">
      <alignment horizontal="center" vertical="center"/>
    </xf>
    <xf numFmtId="9" fontId="15" fillId="0" borderId="5" xfId="2" applyFont="1" applyFill="1" applyBorder="1" applyAlignment="1">
      <alignment horizontal="center" vertical="center"/>
    </xf>
    <xf numFmtId="179" fontId="15" fillId="6" borderId="1" xfId="0" applyNumberFormat="1" applyFont="1" applyFill="1" applyBorder="1" applyAlignment="1">
      <alignment horizontal="center" vertical="center"/>
    </xf>
    <xf numFmtId="9" fontId="15" fillId="6" borderId="1" xfId="0" applyNumberFormat="1" applyFont="1" applyFill="1" applyBorder="1" applyAlignment="1">
      <alignment horizontal="center" vertical="center"/>
    </xf>
    <xf numFmtId="9" fontId="15" fillId="0" borderId="1" xfId="0" applyNumberFormat="1" applyFont="1" applyFill="1" applyBorder="1" applyAlignment="1">
      <alignment horizontal="center" vertical="center"/>
    </xf>
    <xf numFmtId="9" fontId="18" fillId="0" borderId="1" xfId="0" applyNumberFormat="1" applyFont="1" applyBorder="1" applyAlignment="1">
      <alignment horizontal="center" vertical="center"/>
    </xf>
    <xf numFmtId="183" fontId="18" fillId="0" borderId="1" xfId="0" applyNumberFormat="1" applyFont="1" applyBorder="1" applyAlignment="1">
      <alignment horizontal="center" vertical="center"/>
    </xf>
    <xf numFmtId="179" fontId="18" fillId="0" borderId="0" xfId="0" applyNumberFormat="1" applyFont="1" applyFill="1" applyBorder="1" applyAlignment="1">
      <alignment horizontal="center" vertical="center"/>
    </xf>
    <xf numFmtId="183" fontId="18" fillId="0" borderId="0" xfId="0" applyNumberFormat="1" applyFont="1" applyFill="1" applyBorder="1" applyAlignment="1">
      <alignment horizontal="center" vertical="center"/>
    </xf>
    <xf numFmtId="9" fontId="15" fillId="8" borderId="1" xfId="2" applyNumberFormat="1" applyFont="1" applyFill="1" applyBorder="1" applyAlignment="1">
      <alignment horizontal="center" vertical="center"/>
    </xf>
    <xf numFmtId="0" fontId="3" fillId="0" borderId="0" xfId="7">
      <alignment vertical="center"/>
    </xf>
    <xf numFmtId="0" fontId="5" fillId="4" borderId="2" xfId="0" applyNumberFormat="1" applyFont="1" applyFill="1" applyBorder="1" applyAlignment="1" applyProtection="1">
      <alignment horizontal="left" vertical="center" wrapText="1"/>
      <protection locked="0"/>
    </xf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9" fontId="6" fillId="0" borderId="1" xfId="2" applyFont="1" applyBorder="1" applyAlignment="1">
      <alignment horizontal="center" vertical="center"/>
    </xf>
    <xf numFmtId="0" fontId="5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0" fillId="6" borderId="1" xfId="0" applyFont="1" applyFill="1" applyBorder="1" applyAlignment="1">
      <alignment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11" borderId="1" xfId="0" applyNumberFormat="1" applyFont="1" applyFill="1" applyBorder="1" applyAlignment="1" applyProtection="1">
      <alignment horizontal="left" vertical="center" wrapText="1"/>
      <protection locked="0"/>
    </xf>
    <xf numFmtId="0" fontId="5" fillId="12" borderId="1" xfId="0" applyNumberFormat="1" applyFont="1" applyFill="1" applyBorder="1" applyAlignment="1" applyProtection="1">
      <alignment horizontal="left" vertical="center" wrapText="1"/>
      <protection locked="0"/>
    </xf>
    <xf numFmtId="0" fontId="5" fillId="13" borderId="1" xfId="0" applyNumberFormat="1" applyFont="1" applyFill="1" applyBorder="1" applyAlignment="1" applyProtection="1">
      <alignment horizontal="left" vertical="center" wrapText="1"/>
      <protection locked="0"/>
    </xf>
    <xf numFmtId="0" fontId="3" fillId="0" borderId="0" xfId="7" applyAlignment="1">
      <alignment vertical="center"/>
    </xf>
    <xf numFmtId="0" fontId="5" fillId="16" borderId="1" xfId="13" applyFont="1" applyFill="1" applyBorder="1">
      <alignment vertical="center"/>
    </xf>
    <xf numFmtId="0" fontId="3" fillId="0" borderId="1" xfId="10" applyBorder="1">
      <alignment vertical="center"/>
    </xf>
    <xf numFmtId="0" fontId="8" fillId="14" borderId="1" xfId="10" applyFont="1" applyFill="1" applyBorder="1">
      <alignment vertical="center"/>
    </xf>
    <xf numFmtId="177" fontId="15" fillId="0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0" fontId="15" fillId="0" borderId="1" xfId="2" applyNumberFormat="1" applyFont="1" applyBorder="1" applyAlignment="1">
      <alignment horizontal="center" vertical="center"/>
    </xf>
    <xf numFmtId="179" fontId="3" fillId="0" borderId="1" xfId="7" applyNumberFormat="1" applyBorder="1">
      <alignment vertical="center"/>
    </xf>
    <xf numFmtId="0" fontId="3" fillId="0" borderId="1" xfId="7" applyBorder="1">
      <alignment vertical="center"/>
    </xf>
    <xf numFmtId="179" fontId="37" fillId="0" borderId="1" xfId="7" applyNumberFormat="1" applyFont="1" applyBorder="1">
      <alignment vertical="center"/>
    </xf>
    <xf numFmtId="0" fontId="37" fillId="0" borderId="1" xfId="7" applyFont="1" applyBorder="1">
      <alignment vertical="center"/>
    </xf>
    <xf numFmtId="0" fontId="5" fillId="4" borderId="8" xfId="21" applyNumberFormat="1" applyFont="1" applyFill="1" applyBorder="1" applyAlignment="1" applyProtection="1">
      <alignment horizontal="left" vertical="center" wrapText="1"/>
      <protection locked="0"/>
    </xf>
    <xf numFmtId="0" fontId="5" fillId="4" borderId="5" xfId="21" applyNumberFormat="1" applyFont="1" applyFill="1" applyBorder="1" applyAlignment="1" applyProtection="1">
      <alignment horizontal="left" vertical="center" wrapText="1"/>
      <protection locked="0"/>
    </xf>
    <xf numFmtId="0" fontId="5" fillId="3" borderId="5" xfId="21" applyNumberFormat="1" applyFont="1" applyFill="1" applyBorder="1" applyAlignment="1" applyProtection="1">
      <alignment horizontal="left" vertical="center" wrapText="1"/>
      <protection locked="0"/>
    </xf>
    <xf numFmtId="0" fontId="13" fillId="9" borderId="13" xfId="0" applyFont="1" applyFill="1" applyBorder="1" applyAlignment="1">
      <alignment horizontal="center" vertical="center" wrapText="1"/>
    </xf>
    <xf numFmtId="0" fontId="13" fillId="9" borderId="14" xfId="0" applyFont="1" applyFill="1" applyBorder="1" applyAlignment="1">
      <alignment horizontal="center" vertical="center" wrapText="1"/>
    </xf>
    <xf numFmtId="176" fontId="15" fillId="0" borderId="14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0" fontId="13" fillId="15" borderId="7" xfId="0" applyFont="1" applyFill="1" applyBorder="1" applyAlignment="1">
      <alignment horizontal="center" vertical="center" wrapText="1"/>
    </xf>
    <xf numFmtId="0" fontId="13" fillId="15" borderId="1" xfId="0" applyFont="1" applyFill="1" applyBorder="1" applyAlignment="1">
      <alignment horizontal="center" vertical="center" wrapText="1"/>
    </xf>
    <xf numFmtId="0" fontId="13" fillId="9" borderId="1" xfId="0" applyNumberFormat="1" applyFont="1" applyFill="1" applyBorder="1" applyAlignment="1">
      <alignment horizontal="center" vertical="center" wrapText="1"/>
    </xf>
    <xf numFmtId="0" fontId="8" fillId="10" borderId="1" xfId="0" applyNumberFormat="1" applyFont="1" applyFill="1" applyBorder="1" applyAlignment="1">
      <alignment horizontal="center" vertical="center"/>
    </xf>
    <xf numFmtId="0" fontId="0" fillId="0" borderId="0" xfId="0" applyNumberFormat="1" applyFont="1">
      <alignment vertical="center"/>
    </xf>
    <xf numFmtId="0" fontId="28" fillId="6" borderId="7" xfId="0" applyNumberFormat="1" applyFont="1" applyFill="1" applyBorder="1" applyAlignment="1" applyProtection="1">
      <alignment horizontal="left" vertical="center" wrapText="1"/>
      <protection locked="0"/>
    </xf>
    <xf numFmtId="0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0" fontId="28" fillId="0" borderId="7" xfId="10" applyNumberFormat="1" applyFont="1" applyFill="1" applyBorder="1" applyAlignment="1" applyProtection="1">
      <alignment horizontal="left" vertical="center" wrapText="1"/>
      <protection locked="0"/>
    </xf>
    <xf numFmtId="0" fontId="28" fillId="0" borderId="10" xfId="10" applyNumberFormat="1" applyFont="1" applyFill="1" applyBorder="1" applyAlignment="1" applyProtection="1">
      <alignment horizontal="left" vertical="center" wrapText="1"/>
      <protection locked="0"/>
    </xf>
    <xf numFmtId="10" fontId="15" fillId="0" borderId="14" xfId="0" applyNumberFormat="1" applyFont="1" applyFill="1" applyBorder="1" applyAlignment="1">
      <alignment horizontal="center" vertical="center"/>
    </xf>
    <xf numFmtId="179" fontId="15" fillId="0" borderId="2" xfId="0" applyNumberFormat="1" applyFont="1" applyFill="1" applyBorder="1" applyAlignment="1">
      <alignment horizontal="center" vertical="center"/>
    </xf>
    <xf numFmtId="181" fontId="15" fillId="0" borderId="4" xfId="2" applyNumberFormat="1" applyFont="1" applyFill="1" applyBorder="1" applyAlignment="1">
      <alignment horizontal="center" vertical="center"/>
    </xf>
    <xf numFmtId="179" fontId="15" fillId="0" borderId="2" xfId="2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182" fontId="15" fillId="0" borderId="2" xfId="2" applyNumberFormat="1" applyFont="1" applyFill="1" applyBorder="1" applyAlignment="1">
      <alignment horizontal="center" vertical="center"/>
    </xf>
    <xf numFmtId="181" fontId="15" fillId="0" borderId="8" xfId="2" applyNumberFormat="1" applyFont="1" applyFill="1" applyBorder="1" applyAlignment="1">
      <alignment horizontal="center" vertical="center"/>
    </xf>
    <xf numFmtId="182" fontId="15" fillId="8" borderId="2" xfId="0" applyNumberFormat="1" applyFont="1" applyFill="1" applyBorder="1" applyAlignment="1">
      <alignment horizontal="center" vertical="center"/>
    </xf>
    <xf numFmtId="10" fontId="15" fillId="0" borderId="2" xfId="0" applyNumberFormat="1" applyFont="1" applyFill="1" applyBorder="1" applyAlignment="1">
      <alignment horizontal="center" vertical="center"/>
    </xf>
    <xf numFmtId="176" fontId="15" fillId="0" borderId="2" xfId="0" applyNumberFormat="1" applyFont="1" applyFill="1" applyBorder="1" applyAlignment="1">
      <alignment horizontal="center" vertical="center"/>
    </xf>
    <xf numFmtId="0" fontId="15" fillId="5" borderId="1" xfId="0" applyNumberFormat="1" applyFont="1" applyFill="1" applyBorder="1" applyAlignment="1" applyProtection="1">
      <alignment horizontal="left" vertical="center" wrapText="1"/>
      <protection locked="0"/>
    </xf>
    <xf numFmtId="0" fontId="28" fillId="6" borderId="11" xfId="0" applyNumberFormat="1" applyFont="1" applyFill="1" applyBorder="1" applyAlignment="1" applyProtection="1">
      <alignment horizontal="left" vertical="center" wrapText="1"/>
      <protection locked="0"/>
    </xf>
    <xf numFmtId="0" fontId="28" fillId="0" borderId="11" xfId="0" applyNumberFormat="1" applyFont="1" applyFill="1" applyBorder="1" applyAlignment="1" applyProtection="1">
      <alignment horizontal="left" vertical="center" wrapText="1"/>
      <protection locked="0"/>
    </xf>
    <xf numFmtId="0" fontId="13" fillId="9" borderId="1" xfId="0" applyFont="1" applyFill="1" applyBorder="1" applyAlignment="1">
      <alignment horizontal="center" vertical="center" wrapText="1"/>
    </xf>
    <xf numFmtId="0" fontId="13" fillId="9" borderId="1" xfId="10" applyFont="1" applyFill="1" applyBorder="1" applyAlignment="1">
      <alignment horizontal="center" vertical="center" wrapText="1"/>
    </xf>
    <xf numFmtId="0" fontId="13" fillId="9" borderId="6" xfId="1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13" fillId="9" borderId="7" xfId="1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0" fontId="23" fillId="4" borderId="7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176" fontId="15" fillId="0" borderId="7" xfId="0" applyNumberFormat="1" applyFont="1" applyFill="1" applyBorder="1" applyAlignment="1">
      <alignment horizontal="center" vertical="center"/>
    </xf>
    <xf numFmtId="10" fontId="15" fillId="0" borderId="7" xfId="0" applyNumberFormat="1" applyFont="1" applyFill="1" applyBorder="1" applyAlignment="1">
      <alignment horizontal="center" vertical="center"/>
    </xf>
    <xf numFmtId="179" fontId="15" fillId="0" borderId="11" xfId="0" applyNumberFormat="1" applyFont="1" applyFill="1" applyBorder="1" applyAlignment="1">
      <alignment horizontal="center" vertical="center"/>
    </xf>
    <xf numFmtId="179" fontId="15" fillId="0" borderId="10" xfId="0" applyNumberFormat="1" applyFont="1" applyFill="1" applyBorder="1" applyAlignment="1">
      <alignment horizontal="center" vertical="center"/>
    </xf>
    <xf numFmtId="0" fontId="13" fillId="8" borderId="1" xfId="0" applyNumberFormat="1" applyFont="1" applyFill="1" applyBorder="1" applyAlignment="1" applyProtection="1">
      <alignment horizontal="left" vertical="center" wrapText="1"/>
      <protection locked="0"/>
    </xf>
    <xf numFmtId="0" fontId="15" fillId="0" borderId="1" xfId="10" applyFont="1" applyFill="1" applyBorder="1">
      <alignment vertical="center"/>
    </xf>
    <xf numFmtId="176" fontId="15" fillId="8" borderId="2" xfId="0" applyNumberFormat="1" applyFont="1" applyFill="1" applyBorder="1" applyAlignment="1">
      <alignment horizontal="center" vertical="center"/>
    </xf>
    <xf numFmtId="10" fontId="15" fillId="8" borderId="2" xfId="0" applyNumberFormat="1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 vertical="center" wrapText="1"/>
    </xf>
    <xf numFmtId="177" fontId="18" fillId="8" borderId="2" xfId="0" applyNumberFormat="1" applyFont="1" applyFill="1" applyBorder="1" applyAlignment="1">
      <alignment horizontal="center" vertical="center"/>
    </xf>
    <xf numFmtId="10" fontId="18" fillId="8" borderId="2" xfId="0" applyNumberFormat="1" applyFont="1" applyFill="1" applyBorder="1" applyAlignment="1">
      <alignment horizontal="center" vertical="center"/>
    </xf>
    <xf numFmtId="10" fontId="15" fillId="0" borderId="1" xfId="0" applyNumberFormat="1" applyFont="1" applyFill="1" applyBorder="1" applyAlignment="1">
      <alignment horizontal="center" vertical="center" wrapText="1"/>
    </xf>
    <xf numFmtId="0" fontId="41" fillId="0" borderId="18" xfId="0" applyFont="1" applyBorder="1" applyAlignment="1">
      <alignment horizontal="left" vertical="center" wrapText="1" readingOrder="1"/>
    </xf>
    <xf numFmtId="0" fontId="41" fillId="0" borderId="18" xfId="0" applyFont="1" applyBorder="1" applyAlignment="1">
      <alignment horizontal="center" vertical="center" wrapText="1" readingOrder="1"/>
    </xf>
    <xf numFmtId="0" fontId="42" fillId="18" borderId="19" xfId="0" applyFont="1" applyFill="1" applyBorder="1" applyAlignment="1">
      <alignment horizontal="center" vertical="center" wrapText="1" readingOrder="1"/>
    </xf>
    <xf numFmtId="0" fontId="44" fillId="0" borderId="1" xfId="0" applyFont="1" applyBorder="1" applyAlignment="1">
      <alignment horizontal="left" vertical="center" wrapText="1" readingOrder="1"/>
    </xf>
    <xf numFmtId="0" fontId="44" fillId="0" borderId="1" xfId="0" applyFont="1" applyBorder="1" applyAlignment="1">
      <alignment horizontal="center" vertical="center" wrapText="1" readingOrder="1"/>
    </xf>
    <xf numFmtId="0" fontId="43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0" fillId="0" borderId="18" xfId="0" applyFont="1" applyBorder="1" applyAlignment="1">
      <alignment horizontal="left" vertical="center" wrapText="1" readingOrder="1"/>
    </xf>
    <xf numFmtId="0" fontId="23" fillId="0" borderId="0" xfId="0" applyFont="1" applyAlignment="1">
      <alignment horizontal="center" vertical="center"/>
    </xf>
    <xf numFmtId="10" fontId="45" fillId="0" borderId="18" xfId="0" applyNumberFormat="1" applyFont="1" applyBorder="1" applyAlignment="1">
      <alignment horizontal="center" vertical="center" wrapText="1" readingOrder="1"/>
    </xf>
    <xf numFmtId="10" fontId="41" fillId="0" borderId="18" xfId="0" applyNumberFormat="1" applyFont="1" applyBorder="1" applyAlignment="1">
      <alignment horizontal="center" vertical="center" wrapText="1" readingOrder="1"/>
    </xf>
    <xf numFmtId="0" fontId="46" fillId="0" borderId="18" xfId="0" applyFont="1" applyBorder="1" applyAlignment="1">
      <alignment horizontal="center" vertical="center" wrapText="1" readingOrder="1"/>
    </xf>
    <xf numFmtId="0" fontId="47" fillId="0" borderId="18" xfId="0" applyFont="1" applyBorder="1" applyAlignment="1">
      <alignment horizontal="center" vertical="center" wrapText="1" readingOrder="1"/>
    </xf>
    <xf numFmtId="9" fontId="41" fillId="0" borderId="18" xfId="0" applyNumberFormat="1" applyFont="1" applyBorder="1" applyAlignment="1">
      <alignment horizontal="center" vertical="center" wrapText="1" readingOrder="1"/>
    </xf>
    <xf numFmtId="0" fontId="36" fillId="0" borderId="18" xfId="0" applyFont="1" applyBorder="1" applyAlignment="1">
      <alignment horizontal="center" vertical="center" wrapText="1" readingOrder="1"/>
    </xf>
    <xf numFmtId="0" fontId="40" fillId="0" borderId="0" xfId="0" applyFont="1" applyBorder="1" applyAlignment="1">
      <alignment horizontal="center" vertical="center" wrapText="1" readingOrder="1"/>
    </xf>
    <xf numFmtId="0" fontId="41" fillId="0" borderId="0" xfId="0" applyFont="1" applyBorder="1" applyAlignment="1">
      <alignment horizontal="center" vertical="center" wrapText="1" readingOrder="1"/>
    </xf>
    <xf numFmtId="0" fontId="40" fillId="0" borderId="0" xfId="0" applyFont="1" applyBorder="1" applyAlignment="1">
      <alignment horizontal="left" vertical="center" wrapText="1" readingOrder="1"/>
    </xf>
    <xf numFmtId="10" fontId="41" fillId="0" borderId="0" xfId="0" applyNumberFormat="1" applyFont="1" applyBorder="1" applyAlignment="1">
      <alignment horizontal="center" vertical="center" wrapText="1" readingOrder="1"/>
    </xf>
    <xf numFmtId="0" fontId="46" fillId="0" borderId="0" xfId="0" applyFont="1" applyBorder="1" applyAlignment="1">
      <alignment horizontal="center" vertical="center" wrapText="1" readingOrder="1"/>
    </xf>
    <xf numFmtId="0" fontId="40" fillId="0" borderId="18" xfId="0" applyFont="1" applyBorder="1" applyAlignment="1">
      <alignment horizontal="center" vertical="center" wrapText="1" readingOrder="1"/>
    </xf>
    <xf numFmtId="0" fontId="45" fillId="0" borderId="18" xfId="0" applyFont="1" applyBorder="1" applyAlignment="1">
      <alignment horizontal="center" vertical="center" wrapText="1" readingOrder="1"/>
    </xf>
    <xf numFmtId="0" fontId="48" fillId="0" borderId="18" xfId="0" applyFont="1" applyBorder="1" applyAlignment="1">
      <alignment horizontal="center" wrapText="1" readingOrder="1"/>
    </xf>
    <xf numFmtId="0" fontId="49" fillId="0" borderId="18" xfId="0" applyFont="1" applyBorder="1" applyAlignment="1">
      <alignment horizontal="center" wrapText="1" readingOrder="1"/>
    </xf>
    <xf numFmtId="0" fontId="0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180" fontId="15" fillId="17" borderId="1" xfId="0" applyNumberFormat="1" applyFont="1" applyFill="1" applyBorder="1" applyAlignment="1">
      <alignment horizontal="center" vertical="center"/>
    </xf>
    <xf numFmtId="180" fontId="15" fillId="0" borderId="1" xfId="0" applyNumberFormat="1" applyFont="1" applyBorder="1" applyAlignment="1">
      <alignment horizontal="center" vertical="center"/>
    </xf>
    <xf numFmtId="177" fontId="15" fillId="0" borderId="7" xfId="0" applyNumberFormat="1" applyFon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177" fontId="15" fillId="0" borderId="1" xfId="10" applyNumberFormat="1" applyFont="1" applyFill="1" applyBorder="1" applyAlignment="1">
      <alignment horizontal="center" vertical="center"/>
    </xf>
    <xf numFmtId="176" fontId="15" fillId="0" borderId="6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181" fontId="15" fillId="0" borderId="1" xfId="23" applyNumberFormat="1" applyFont="1" applyBorder="1" applyAlignment="1">
      <alignment horizontal="center" vertical="center"/>
    </xf>
    <xf numFmtId="9" fontId="15" fillId="0" borderId="1" xfId="23" applyFont="1" applyBorder="1" applyAlignment="1">
      <alignment horizontal="center" vertical="center"/>
    </xf>
    <xf numFmtId="177" fontId="15" fillId="0" borderId="1" xfId="0" applyNumberFormat="1" applyFont="1" applyFill="1" applyBorder="1" applyAlignment="1">
      <alignment horizontal="center" vertical="center" wrapText="1"/>
    </xf>
    <xf numFmtId="177" fontId="15" fillId="8" borderId="2" xfId="0" applyNumberFormat="1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9" fontId="6" fillId="0" borderId="1" xfId="2" applyFont="1" applyFill="1" applyBorder="1" applyAlignment="1">
      <alignment horizontal="center" vertical="center"/>
    </xf>
    <xf numFmtId="179" fontId="6" fillId="0" borderId="1" xfId="0" applyNumberFormat="1" applyFont="1" applyFill="1" applyBorder="1" applyAlignment="1">
      <alignment horizontal="center" vertical="center"/>
    </xf>
    <xf numFmtId="9" fontId="50" fillId="0" borderId="1" xfId="2" applyFont="1" applyFill="1" applyBorder="1" applyAlignment="1">
      <alignment horizontal="center" vertical="center"/>
    </xf>
    <xf numFmtId="2" fontId="50" fillId="0" borderId="1" xfId="0" applyNumberFormat="1" applyFont="1" applyFill="1" applyBorder="1" applyAlignment="1">
      <alignment horizontal="center" vertical="center"/>
    </xf>
    <xf numFmtId="2" fontId="6" fillId="12" borderId="1" xfId="0" applyNumberFormat="1" applyFont="1" applyFill="1" applyBorder="1" applyAlignment="1">
      <alignment horizontal="center" vertical="center"/>
    </xf>
    <xf numFmtId="9" fontId="6" fillId="12" borderId="1" xfId="2" applyFont="1" applyFill="1" applyBorder="1" applyAlignment="1">
      <alignment horizontal="center" vertical="center"/>
    </xf>
    <xf numFmtId="179" fontId="8" fillId="0" borderId="1" xfId="10" applyNumberFormat="1" applyFont="1" applyFill="1" applyBorder="1">
      <alignment vertical="center"/>
    </xf>
    <xf numFmtId="2" fontId="8" fillId="0" borderId="1" xfId="10" applyNumberFormat="1" applyFont="1" applyFill="1" applyBorder="1">
      <alignment vertical="center"/>
    </xf>
    <xf numFmtId="179" fontId="8" fillId="20" borderId="1" xfId="10" applyNumberFormat="1" applyFont="1" applyFill="1" applyBorder="1">
      <alignment vertical="center"/>
    </xf>
    <xf numFmtId="2" fontId="8" fillId="20" borderId="1" xfId="10" applyNumberFormat="1" applyFont="1" applyFill="1" applyBorder="1">
      <alignment vertical="center"/>
    </xf>
    <xf numFmtId="9" fontId="8" fillId="0" borderId="1" xfId="10" applyNumberFormat="1" applyFont="1" applyFill="1" applyBorder="1">
      <alignment vertical="center"/>
    </xf>
    <xf numFmtId="181" fontId="8" fillId="0" borderId="1" xfId="10" applyNumberFormat="1" applyFont="1" applyFill="1" applyBorder="1">
      <alignment vertical="center"/>
    </xf>
    <xf numFmtId="10" fontId="8" fillId="0" borderId="1" xfId="10" applyNumberFormat="1" applyFont="1" applyFill="1" applyBorder="1">
      <alignment vertical="center"/>
    </xf>
    <xf numFmtId="179" fontId="8" fillId="0" borderId="1" xfId="10" applyNumberFormat="1" applyFont="1" applyFill="1" applyBorder="1" applyAlignment="1">
      <alignment horizontal="center" vertical="center"/>
    </xf>
    <xf numFmtId="2" fontId="8" fillId="0" borderId="1" xfId="10" applyNumberFormat="1" applyFont="1" applyFill="1" applyBorder="1" applyAlignment="1">
      <alignment horizontal="center" vertical="center"/>
    </xf>
    <xf numFmtId="9" fontId="8" fillId="0" borderId="1" xfId="10" applyNumberFormat="1" applyFont="1" applyFill="1" applyBorder="1" applyAlignment="1">
      <alignment horizontal="center" vertical="center"/>
    </xf>
    <xf numFmtId="181" fontId="8" fillId="0" borderId="1" xfId="10" applyNumberFormat="1" applyFont="1" applyFill="1" applyBorder="1" applyAlignment="1">
      <alignment horizontal="center" vertical="center"/>
    </xf>
    <xf numFmtId="10" fontId="8" fillId="0" borderId="1" xfId="10" applyNumberFormat="1" applyFont="1" applyFill="1" applyBorder="1" applyAlignment="1">
      <alignment horizontal="center" vertical="center"/>
    </xf>
    <xf numFmtId="10" fontId="8" fillId="0" borderId="1" xfId="2" applyNumberFormat="1" applyFont="1" applyFill="1" applyBorder="1" applyAlignment="1">
      <alignment horizontal="center" vertical="center"/>
    </xf>
    <xf numFmtId="177" fontId="8" fillId="0" borderId="1" xfId="0" applyNumberFormat="1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>
      <alignment horizontal="center" vertical="center"/>
    </xf>
    <xf numFmtId="180" fontId="8" fillId="0" borderId="1" xfId="0" applyNumberFormat="1" applyFont="1" applyFill="1" applyBorder="1" applyAlignment="1">
      <alignment horizontal="center" vertical="center"/>
    </xf>
    <xf numFmtId="179" fontId="8" fillId="21" borderId="1" xfId="0" applyNumberFormat="1" applyFont="1" applyFill="1" applyBorder="1" applyAlignment="1">
      <alignment horizontal="center" vertical="center"/>
    </xf>
    <xf numFmtId="177" fontId="8" fillId="21" borderId="1" xfId="0" applyNumberFormat="1" applyFont="1" applyFill="1" applyBorder="1" applyAlignment="1">
      <alignment horizontal="center" vertical="center"/>
    </xf>
    <xf numFmtId="179" fontId="8" fillId="22" borderId="1" xfId="0" applyNumberFormat="1" applyFont="1" applyFill="1" applyBorder="1" applyAlignment="1">
      <alignment horizontal="center" vertical="center"/>
    </xf>
    <xf numFmtId="177" fontId="8" fillId="22" borderId="1" xfId="0" applyNumberFormat="1" applyFont="1" applyFill="1" applyBorder="1" applyAlignment="1">
      <alignment horizontal="center" vertical="center"/>
    </xf>
    <xf numFmtId="10" fontId="8" fillId="0" borderId="1" xfId="0" applyNumberFormat="1" applyFont="1" applyFill="1" applyBorder="1" applyAlignment="1">
      <alignment horizontal="center" vertical="center"/>
    </xf>
    <xf numFmtId="2" fontId="10" fillId="0" borderId="1" xfId="0" applyNumberFormat="1" applyFont="1" applyFill="1" applyBorder="1" applyAlignment="1">
      <alignment horizontal="center" vertical="center"/>
    </xf>
    <xf numFmtId="2" fontId="8" fillId="0" borderId="1" xfId="0" applyNumberFormat="1" applyFont="1" applyFill="1" applyBorder="1" applyAlignment="1">
      <alignment horizontal="center" vertical="center"/>
    </xf>
    <xf numFmtId="9" fontId="10" fillId="0" borderId="1" xfId="2" applyFont="1" applyFill="1" applyBorder="1" applyAlignment="1">
      <alignment horizontal="center" vertical="center"/>
    </xf>
    <xf numFmtId="9" fontId="8" fillId="0" borderId="1" xfId="2" applyFont="1" applyFill="1" applyBorder="1" applyAlignment="1">
      <alignment horizontal="center" vertical="center"/>
    </xf>
    <xf numFmtId="2" fontId="50" fillId="13" borderId="1" xfId="0" applyNumberFormat="1" applyFont="1" applyFill="1" applyBorder="1" applyAlignment="1">
      <alignment horizontal="center" vertical="center"/>
    </xf>
    <xf numFmtId="2" fontId="32" fillId="0" borderId="1" xfId="0" applyNumberFormat="1" applyFont="1" applyFill="1" applyBorder="1" applyAlignment="1">
      <alignment horizontal="center" vertical="center"/>
    </xf>
    <xf numFmtId="179" fontId="6" fillId="13" borderId="1" xfId="0" applyNumberFormat="1" applyFont="1" applyFill="1" applyBorder="1" applyAlignment="1">
      <alignment horizontal="center" vertical="center"/>
    </xf>
    <xf numFmtId="179" fontId="37" fillId="23" borderId="1" xfId="0" applyNumberFormat="1" applyFont="1" applyFill="1" applyBorder="1" applyAlignment="1">
      <alignment horizontal="center" vertical="center"/>
    </xf>
    <xf numFmtId="2" fontId="37" fillId="24" borderId="1" xfId="0" applyNumberFormat="1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10" fontId="37" fillId="24" borderId="1" xfId="2" applyNumberFormat="1" applyFont="1" applyFill="1" applyBorder="1" applyAlignment="1">
      <alignment horizontal="center" vertical="center"/>
    </xf>
    <xf numFmtId="9" fontId="37" fillId="0" borderId="1" xfId="2" applyFont="1" applyFill="1" applyBorder="1" applyAlignment="1">
      <alignment horizontal="center" vertical="center"/>
    </xf>
    <xf numFmtId="9" fontId="37" fillId="24" borderId="1" xfId="2" applyFont="1" applyFill="1" applyBorder="1" applyAlignment="1">
      <alignment horizontal="center" vertical="center"/>
    </xf>
    <xf numFmtId="179" fontId="37" fillId="0" borderId="1" xfId="0" applyNumberFormat="1" applyFont="1" applyFill="1" applyBorder="1" applyAlignment="1">
      <alignment horizontal="center" vertical="center"/>
    </xf>
    <xf numFmtId="2" fontId="6" fillId="22" borderId="1" xfId="0" applyNumberFormat="1" applyFont="1" applyFill="1" applyBorder="1" applyAlignment="1">
      <alignment horizontal="center" vertical="center"/>
    </xf>
    <xf numFmtId="2" fontId="5" fillId="22" borderId="1" xfId="0" applyNumberFormat="1" applyFont="1" applyFill="1" applyBorder="1" applyAlignment="1">
      <alignment horizontal="center" vertical="center"/>
    </xf>
    <xf numFmtId="9" fontId="6" fillId="22" borderId="1" xfId="2" applyFont="1" applyFill="1" applyBorder="1" applyAlignment="1">
      <alignment horizontal="center" vertical="center"/>
    </xf>
    <xf numFmtId="10" fontId="6" fillId="22" borderId="1" xfId="2" applyNumberFormat="1" applyFont="1" applyFill="1" applyBorder="1" applyAlignment="1">
      <alignment horizontal="center" vertical="center"/>
    </xf>
    <xf numFmtId="2" fontId="5" fillId="22" borderId="3" xfId="10" applyNumberFormat="1" applyFont="1" applyFill="1" applyBorder="1" applyAlignment="1">
      <alignment horizontal="center" vertical="center"/>
    </xf>
    <xf numFmtId="182" fontId="6" fillId="22" borderId="1" xfId="0" applyNumberFormat="1" applyFont="1" applyFill="1" applyBorder="1" applyAlignment="1">
      <alignment horizontal="center" vertical="center"/>
    </xf>
    <xf numFmtId="9" fontId="6" fillId="22" borderId="1" xfId="0" applyNumberFormat="1" applyFont="1" applyFill="1" applyBorder="1" applyAlignment="1">
      <alignment horizontal="center" vertical="center"/>
    </xf>
    <xf numFmtId="179" fontId="6" fillId="22" borderId="1" xfId="0" applyNumberFormat="1" applyFont="1" applyFill="1" applyBorder="1" applyAlignment="1">
      <alignment horizontal="center" vertical="center"/>
    </xf>
    <xf numFmtId="182" fontId="6" fillId="22" borderId="1" xfId="2" applyNumberFormat="1" applyFont="1" applyFill="1" applyBorder="1" applyAlignment="1">
      <alignment horizontal="center" vertical="center"/>
    </xf>
    <xf numFmtId="10" fontId="6" fillId="22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Fill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10" fontId="5" fillId="0" borderId="1" xfId="2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10" fontId="3" fillId="0" borderId="1" xfId="7" applyNumberFormat="1" applyBorder="1">
      <alignment vertical="center"/>
    </xf>
    <xf numFmtId="179" fontId="6" fillId="0" borderId="1" xfId="0" applyNumberFormat="1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12" borderId="2" xfId="0" applyNumberFormat="1" applyFont="1" applyFill="1" applyBorder="1" applyAlignment="1" applyProtection="1">
      <alignment horizontal="left" vertical="center"/>
      <protection locked="0"/>
    </xf>
    <xf numFmtId="0" fontId="5" fillId="12" borderId="1" xfId="0" applyNumberFormat="1" applyFont="1" applyFill="1" applyBorder="1" applyAlignment="1" applyProtection="1">
      <alignment horizontal="left" vertical="center"/>
      <protection locked="0"/>
    </xf>
    <xf numFmtId="0" fontId="5" fillId="19" borderId="1" xfId="0" applyNumberFormat="1" applyFont="1" applyFill="1" applyBorder="1" applyAlignment="1" applyProtection="1">
      <alignment horizontal="left" vertical="center"/>
      <protection locked="0"/>
    </xf>
    <xf numFmtId="0" fontId="38" fillId="24" borderId="3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10" fillId="24" borderId="3" xfId="0" applyFont="1" applyFill="1" applyBorder="1" applyAlignment="1">
      <alignment horizontal="center" vertical="center"/>
    </xf>
    <xf numFmtId="0" fontId="33" fillId="24" borderId="1" xfId="0" applyFont="1" applyFill="1" applyBorder="1" applyAlignment="1">
      <alignment horizontal="center" vertical="center"/>
    </xf>
    <xf numFmtId="0" fontId="38" fillId="24" borderId="1" xfId="0" applyFont="1" applyFill="1" applyBorder="1" applyAlignment="1">
      <alignment horizontal="center" vertical="center"/>
    </xf>
    <xf numFmtId="0" fontId="10" fillId="24" borderId="1" xfId="0" applyFont="1" applyFill="1" applyBorder="1" applyAlignment="1">
      <alignment horizontal="center" vertical="center"/>
    </xf>
    <xf numFmtId="179" fontId="6" fillId="20" borderId="1" xfId="0" applyNumberFormat="1" applyFont="1" applyFill="1" applyBorder="1" applyAlignment="1">
      <alignment horizontal="center" vertical="center"/>
    </xf>
    <xf numFmtId="9" fontId="6" fillId="20" borderId="1" xfId="2" applyFont="1" applyFill="1" applyBorder="1" applyAlignment="1">
      <alignment horizontal="center" vertical="center"/>
    </xf>
    <xf numFmtId="0" fontId="39" fillId="4" borderId="1" xfId="0" applyNumberFormat="1" applyFont="1" applyFill="1" applyBorder="1" applyAlignment="1" applyProtection="1">
      <alignment horizontal="left" vertical="center" wrapText="1"/>
      <protection locked="0"/>
    </xf>
    <xf numFmtId="180" fontId="6" fillId="0" borderId="1" xfId="0" applyNumberFormat="1" applyFont="1" applyFill="1" applyBorder="1" applyAlignment="1">
      <alignment horizontal="center" vertical="center"/>
    </xf>
    <xf numFmtId="10" fontId="6" fillId="0" borderId="1" xfId="0" applyNumberFormat="1" applyFont="1" applyFill="1" applyBorder="1" applyAlignment="1">
      <alignment horizontal="center" vertical="center"/>
    </xf>
    <xf numFmtId="177" fontId="6" fillId="0" borderId="1" xfId="0" applyNumberFormat="1" applyFont="1" applyFill="1" applyBorder="1" applyAlignment="1">
      <alignment horizontal="center" vertical="center"/>
    </xf>
    <xf numFmtId="182" fontId="5" fillId="19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19" borderId="2" xfId="0" applyNumberFormat="1" applyFont="1" applyFill="1" applyBorder="1" applyAlignment="1" applyProtection="1">
      <alignment horizontal="center" vertical="center" wrapText="1"/>
      <protection locked="0"/>
    </xf>
    <xf numFmtId="10" fontId="37" fillId="0" borderId="1" xfId="0" applyNumberFormat="1" applyFont="1" applyFill="1" applyBorder="1" applyAlignment="1">
      <alignment horizontal="center" vertical="center"/>
    </xf>
    <xf numFmtId="180" fontId="37" fillId="0" borderId="1" xfId="0" applyNumberFormat="1" applyFont="1" applyFill="1" applyBorder="1" applyAlignment="1">
      <alignment horizontal="center" vertical="center"/>
    </xf>
    <xf numFmtId="10" fontId="37" fillId="0" borderId="1" xfId="7" applyNumberFormat="1" applyFont="1" applyBorder="1">
      <alignment vertical="center"/>
    </xf>
    <xf numFmtId="0" fontId="51" fillId="4" borderId="2" xfId="0" applyNumberFormat="1" applyFont="1" applyFill="1" applyBorder="1" applyAlignment="1" applyProtection="1">
      <alignment horizontal="left" vertical="center" wrapText="1"/>
      <protection locked="0"/>
    </xf>
    <xf numFmtId="0" fontId="5" fillId="4" borderId="1" xfId="0" applyNumberFormat="1" applyFont="1" applyFill="1" applyBorder="1" applyAlignment="1" applyProtection="1">
      <alignment horizontal="left" vertical="center"/>
      <protection locked="0"/>
    </xf>
    <xf numFmtId="0" fontId="5" fillId="3" borderId="1" xfId="0" applyNumberFormat="1" applyFont="1" applyFill="1" applyBorder="1" applyAlignment="1" applyProtection="1">
      <alignment horizontal="left" vertical="center"/>
      <protection locked="0"/>
    </xf>
    <xf numFmtId="0" fontId="30" fillId="6" borderId="1" xfId="0" applyFont="1" applyFill="1" applyBorder="1" applyAlignment="1">
      <alignment vertical="center"/>
    </xf>
    <xf numFmtId="0" fontId="13" fillId="9" borderId="1" xfId="0" applyFont="1" applyFill="1" applyBorder="1" applyAlignment="1">
      <alignment horizontal="center" vertical="center" wrapText="1"/>
    </xf>
    <xf numFmtId="0" fontId="7" fillId="0" borderId="1" xfId="21" applyFont="1" applyBorder="1" applyAlignment="1">
      <alignment horizontal="center" vertical="center" wrapText="1"/>
    </xf>
    <xf numFmtId="0" fontId="10" fillId="9" borderId="1" xfId="1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0" fontId="13" fillId="9" borderId="7" xfId="1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13" fillId="9" borderId="1" xfId="10" applyFont="1" applyFill="1" applyBorder="1" applyAlignment="1">
      <alignment horizontal="center" vertical="center" wrapText="1"/>
    </xf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5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horizontal="center" vertical="center" wrapText="1"/>
    </xf>
    <xf numFmtId="0" fontId="5" fillId="4" borderId="2" xfId="0" applyNumberFormat="1" applyFont="1" applyFill="1" applyBorder="1" applyAlignment="1" applyProtection="1">
      <alignment horizontal="left" vertical="center" wrapText="1"/>
      <protection locked="0"/>
    </xf>
    <xf numFmtId="0" fontId="40" fillId="0" borderId="21" xfId="0" applyFont="1" applyBorder="1" applyAlignment="1">
      <alignment horizontal="center" vertical="center" wrapText="1" readingOrder="1"/>
    </xf>
    <xf numFmtId="0" fontId="40" fillId="0" borderId="20" xfId="0" applyFont="1" applyBorder="1" applyAlignment="1">
      <alignment horizontal="center" vertical="center" wrapText="1" readingOrder="1"/>
    </xf>
    <xf numFmtId="0" fontId="10" fillId="9" borderId="5" xfId="1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10" fillId="9" borderId="1" xfId="10" applyFont="1" applyFill="1" applyBorder="1" applyAlignment="1">
      <alignment horizontal="center" vertical="center"/>
    </xf>
    <xf numFmtId="0" fontId="16" fillId="0" borderId="1" xfId="1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0" fillId="9" borderId="6" xfId="10" applyFont="1" applyFill="1" applyBorder="1" applyAlignment="1">
      <alignment horizontal="center" vertical="center"/>
    </xf>
    <xf numFmtId="0" fontId="10" fillId="9" borderId="7" xfId="10" applyFont="1" applyFill="1" applyBorder="1" applyAlignment="1">
      <alignment horizontal="center" vertical="center"/>
    </xf>
    <xf numFmtId="0" fontId="13" fillId="9" borderId="5" xfId="10" applyFont="1" applyFill="1" applyBorder="1" applyAlignment="1">
      <alignment horizontal="center" vertical="center" wrapText="1"/>
    </xf>
    <xf numFmtId="0" fontId="13" fillId="9" borderId="6" xfId="10" applyFont="1" applyFill="1" applyBorder="1" applyAlignment="1">
      <alignment horizontal="center" vertical="center" wrapText="1"/>
    </xf>
    <xf numFmtId="0" fontId="13" fillId="9" borderId="7" xfId="10" applyFont="1" applyFill="1" applyBorder="1" applyAlignment="1">
      <alignment horizontal="center" vertical="center" wrapText="1"/>
    </xf>
    <xf numFmtId="0" fontId="13" fillId="9" borderId="5" xfId="10" applyFont="1" applyFill="1" applyBorder="1" applyAlignment="1">
      <alignment horizontal="center" vertical="center"/>
    </xf>
    <xf numFmtId="0" fontId="13" fillId="9" borderId="6" xfId="10" applyFont="1" applyFill="1" applyBorder="1" applyAlignment="1">
      <alignment horizontal="center" vertical="center"/>
    </xf>
    <xf numFmtId="0" fontId="13" fillId="9" borderId="7" xfId="1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13" fillId="9" borderId="1" xfId="10" applyFont="1" applyFill="1" applyBorder="1" applyAlignment="1">
      <alignment horizontal="center" vertical="center" wrapText="1"/>
    </xf>
    <xf numFmtId="0" fontId="17" fillId="0" borderId="3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2" xfId="0" applyFont="1" applyFill="1" applyBorder="1" applyAlignment="1">
      <alignment horizontal="center" vertical="center"/>
    </xf>
    <xf numFmtId="0" fontId="13" fillId="9" borderId="1" xfId="1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6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6" fillId="0" borderId="1" xfId="10" applyFont="1" applyBorder="1" applyAlignment="1">
      <alignment horizontal="center" vertical="center" wrapText="1"/>
    </xf>
    <xf numFmtId="0" fontId="7" fillId="0" borderId="3" xfId="21" applyFont="1" applyBorder="1" applyAlignment="1">
      <alignment horizontal="center" vertical="center" wrapText="1"/>
    </xf>
    <xf numFmtId="0" fontId="7" fillId="0" borderId="4" xfId="21" applyFont="1" applyBorder="1" applyAlignment="1">
      <alignment horizontal="center" vertical="center" wrapText="1"/>
    </xf>
    <xf numFmtId="0" fontId="7" fillId="0" borderId="2" xfId="21" applyFont="1" applyBorder="1" applyAlignment="1">
      <alignment horizontal="center" vertical="center" wrapText="1"/>
    </xf>
    <xf numFmtId="0" fontId="1" fillId="0" borderId="1" xfId="21" applyBorder="1" applyAlignment="1">
      <alignment horizontal="center" vertical="center"/>
    </xf>
    <xf numFmtId="0" fontId="7" fillId="0" borderId="1" xfId="21" applyFont="1" applyBorder="1" applyAlignment="1">
      <alignment horizontal="center" vertical="center" wrapText="1"/>
    </xf>
    <xf numFmtId="0" fontId="10" fillId="15" borderId="5" xfId="10" applyFont="1" applyFill="1" applyBorder="1" applyAlignment="1">
      <alignment horizontal="center" vertical="center"/>
    </xf>
    <xf numFmtId="0" fontId="10" fillId="15" borderId="7" xfId="10" applyFont="1" applyFill="1" applyBorder="1" applyAlignment="1">
      <alignment horizontal="center" vertical="center"/>
    </xf>
    <xf numFmtId="0" fontId="10" fillId="15" borderId="1" xfId="10" applyFont="1" applyFill="1" applyBorder="1" applyAlignment="1">
      <alignment horizontal="center" vertical="center"/>
    </xf>
    <xf numFmtId="0" fontId="4" fillId="2" borderId="1" xfId="21" applyFont="1" applyFill="1" applyBorder="1" applyAlignment="1">
      <alignment horizontal="center" vertical="center" wrapText="1"/>
    </xf>
    <xf numFmtId="0" fontId="4" fillId="2" borderId="5" xfId="21" applyFont="1" applyFill="1" applyBorder="1" applyAlignment="1">
      <alignment horizontal="center" vertical="center" wrapText="1"/>
    </xf>
    <xf numFmtId="0" fontId="10" fillId="9" borderId="15" xfId="10" applyFont="1" applyFill="1" applyBorder="1" applyAlignment="1">
      <alignment horizontal="center" vertical="center"/>
    </xf>
    <xf numFmtId="0" fontId="10" fillId="9" borderId="16" xfId="10" applyFont="1" applyFill="1" applyBorder="1" applyAlignment="1">
      <alignment horizontal="center" vertical="center"/>
    </xf>
    <xf numFmtId="0" fontId="10" fillId="9" borderId="17" xfId="1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3" borderId="1" xfId="10" applyFont="1" applyFill="1" applyBorder="1" applyAlignment="1">
      <alignment horizontal="center" vertical="center"/>
    </xf>
    <xf numFmtId="0" fontId="3" fillId="3" borderId="1" xfId="1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3" fillId="0" borderId="10" xfId="7" applyBorder="1" applyAlignment="1">
      <alignment vertical="center"/>
    </xf>
    <xf numFmtId="0" fontId="0" fillId="0" borderId="12" xfId="0" applyFont="1" applyBorder="1" applyAlignment="1">
      <alignment vertical="center"/>
    </xf>
    <xf numFmtId="0" fontId="3" fillId="0" borderId="3" xfId="13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3" fillId="0" borderId="3" xfId="10" applyFont="1" applyBorder="1" applyAlignment="1">
      <alignment horizontal="center" vertical="center"/>
    </xf>
    <xf numFmtId="0" fontId="3" fillId="0" borderId="4" xfId="10" applyFont="1" applyBorder="1" applyAlignment="1">
      <alignment horizontal="center" vertical="center"/>
    </xf>
    <xf numFmtId="0" fontId="3" fillId="0" borderId="2" xfId="10" applyFont="1" applyBorder="1" applyAlignment="1">
      <alignment horizontal="center" vertical="center"/>
    </xf>
    <xf numFmtId="0" fontId="3" fillId="0" borderId="10" xfId="7" applyBorder="1" applyAlignment="1">
      <alignment vertical="center" wrapText="1"/>
    </xf>
    <xf numFmtId="0" fontId="0" fillId="0" borderId="12" xfId="0" applyFont="1" applyBorder="1" applyAlignment="1">
      <alignment vertical="center" wrapText="1"/>
    </xf>
    <xf numFmtId="0" fontId="15" fillId="17" borderId="1" xfId="0" applyNumberFormat="1" applyFont="1" applyFill="1" applyBorder="1" applyAlignment="1">
      <alignment horizontal="center" vertical="center"/>
    </xf>
    <xf numFmtId="177" fontId="15" fillId="17" borderId="1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53" fillId="0" borderId="0" xfId="0" applyFont="1">
      <alignment vertical="center"/>
    </xf>
    <xf numFmtId="0" fontId="53" fillId="0" borderId="6" xfId="0" applyFont="1" applyBorder="1" applyAlignment="1">
      <alignment horizontal="center" vertical="center"/>
    </xf>
    <xf numFmtId="0" fontId="53" fillId="0" borderId="7" xfId="0" applyFont="1" applyBorder="1" applyAlignment="1">
      <alignment horizontal="center" vertical="center"/>
    </xf>
  </cellXfs>
  <cellStyles count="26">
    <cellStyle name="RowLevel_8" xfId="0" builtinId="1" iLevel="7"/>
    <cellStyle name="百分比" xfId="2" builtinId="5"/>
    <cellStyle name="百分比 2" xfId="4"/>
    <cellStyle name="百分比 2 2" xfId="23"/>
    <cellStyle name="百分比 3" xfId="18"/>
    <cellStyle name="百分比 4" xfId="22"/>
    <cellStyle name="常规" xfId="0" builtinId="0"/>
    <cellStyle name="常规 10" xfId="21"/>
    <cellStyle name="常规 10 2" xfId="7"/>
    <cellStyle name="常规 11" xfId="8"/>
    <cellStyle name="常规 11 2" xfId="16"/>
    <cellStyle name="常规 14" xfId="14"/>
    <cellStyle name="常规 2" xfId="9"/>
    <cellStyle name="常规 2 2" xfId="6"/>
    <cellStyle name="常规 2 2 3" xfId="25"/>
    <cellStyle name="常规 2 8" xfId="24"/>
    <cellStyle name="常规 3" xfId="10"/>
    <cellStyle name="常规 3 2" xfId="13"/>
    <cellStyle name="常规 4" xfId="11"/>
    <cellStyle name="常规 4 2" xfId="20"/>
    <cellStyle name="常规 5" xfId="12"/>
    <cellStyle name="常规 6" xfId="3"/>
    <cellStyle name="常规 6 2" xfId="5"/>
    <cellStyle name="常规 7" xfId="15"/>
    <cellStyle name="常规 8" xfId="17"/>
    <cellStyle name="常规 9" xfId="19"/>
  </cellStyles>
  <dxfs count="180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/>
      </font>
      <fill>
        <patternFill>
          <bgColor theme="2"/>
        </patternFill>
      </fill>
    </dxf>
    <dxf>
      <font>
        <b val="0"/>
        <i/>
        <u val="none"/>
        <color theme="3"/>
      </font>
      <fill>
        <patternFill>
          <bgColor theme="2" tint="-9.9948118533890809E-2"/>
        </patternFill>
      </fill>
    </dxf>
    <dxf>
      <font>
        <b val="0"/>
        <i/>
      </font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/>
      </font>
      <fill>
        <patternFill>
          <bgColor theme="2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7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7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7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6" formatCode="0.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6" formatCode="0.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6" formatCode="0.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6" formatCode="0.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82" formatCode="0_);[Red]\(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  <protection locked="0" hidden="0"/>
    </dxf>
  </dxfs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开发效率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charts!$B$2</c:f>
              <c:strCache>
                <c:ptCount val="1"/>
                <c:pt idx="0">
                  <c:v>(JAVA)软件开发生产率(Loc/人天)TR2-TR5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charts!$C$2:$E$2</c:f>
              <c:numCache>
                <c:formatCode>General</c:formatCode>
                <c:ptCount val="3"/>
                <c:pt idx="0">
                  <c:v>45.8</c:v>
                </c:pt>
                <c:pt idx="1">
                  <c:v>37.299999999999997</c:v>
                </c:pt>
                <c:pt idx="2">
                  <c:v>36.83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charts!$B$3</c:f>
              <c:strCache>
                <c:ptCount val="1"/>
                <c:pt idx="0">
                  <c:v>(C/C++)软件开发生产率(Loc/人天)TR2-TR5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charts!$C$3:$E$3</c:f>
              <c:numCache>
                <c:formatCode>General</c:formatCode>
                <c:ptCount val="3"/>
                <c:pt idx="0">
                  <c:v>20.5</c:v>
                </c:pt>
                <c:pt idx="1">
                  <c:v>43</c:v>
                </c:pt>
                <c:pt idx="2">
                  <c:v>36.590000000000003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charts!$B$4</c:f>
              <c:strCache>
                <c:ptCount val="1"/>
                <c:pt idx="0">
                  <c:v>Story生产率(个/人月)TR2-TR5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charts!$C$4:$E$4</c:f>
              <c:numCache>
                <c:formatCode>General</c:formatCode>
                <c:ptCount val="3"/>
                <c:pt idx="0">
                  <c:v>2.7</c:v>
                </c:pt>
                <c:pt idx="1">
                  <c:v>1.5</c:v>
                </c:pt>
                <c:pt idx="2">
                  <c:v>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315536"/>
        <c:axId val="247316096"/>
      </c:lineChart>
      <c:catAx>
        <c:axId val="24731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7316096"/>
        <c:crosses val="autoZero"/>
        <c:auto val="1"/>
        <c:lblAlgn val="ctr"/>
        <c:lblOffset val="100"/>
        <c:noMultiLvlLbl val="0"/>
      </c:catAx>
      <c:valAx>
        <c:axId val="24731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731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测试效率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</c:f>
              <c:strCache>
                <c:ptCount val="1"/>
                <c:pt idx="0">
                  <c:v>方案设计效率（页/人天）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charts!$C$5:$E$5</c:f>
              <c:numCache>
                <c:formatCode>General</c:formatCode>
                <c:ptCount val="3"/>
                <c:pt idx="0">
                  <c:v>3.8</c:v>
                </c:pt>
                <c:pt idx="1">
                  <c:v>3</c:v>
                </c:pt>
                <c:pt idx="2">
                  <c:v>4.3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charts!$B$6</c:f>
              <c:strCache>
                <c:ptCount val="1"/>
                <c:pt idx="0">
                  <c:v>手动用例设计效率(个/人天)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charts!$C$6:$E$6</c:f>
              <c:numCache>
                <c:formatCode>General</c:formatCode>
                <c:ptCount val="3"/>
                <c:pt idx="0">
                  <c:v>13.1</c:v>
                </c:pt>
                <c:pt idx="1">
                  <c:v>18</c:v>
                </c:pt>
                <c:pt idx="2">
                  <c:v>13.98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charts!$B$7</c:f>
              <c:strCache>
                <c:ptCount val="1"/>
                <c:pt idx="0">
                  <c:v>手动测试用例执行效率(个/人天)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charts!$C$7:$E$7</c:f>
              <c:numCache>
                <c:formatCode>General</c:formatCode>
                <c:ptCount val="3"/>
                <c:pt idx="0">
                  <c:v>12.3</c:v>
                </c:pt>
                <c:pt idx="1">
                  <c:v>17.2</c:v>
                </c:pt>
                <c:pt idx="2">
                  <c:v>21.49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320016"/>
        <c:axId val="247320576"/>
      </c:lineChart>
      <c:catAx>
        <c:axId val="2473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7320576"/>
        <c:crosses val="autoZero"/>
        <c:auto val="1"/>
        <c:lblAlgn val="ctr"/>
        <c:lblOffset val="100"/>
        <c:noMultiLvlLbl val="0"/>
      </c:catAx>
      <c:valAx>
        <c:axId val="24732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732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charts!$B$8</c:f>
              <c:strCache>
                <c:ptCount val="1"/>
                <c:pt idx="0">
                  <c:v>自动化脚本生产率(个/人天)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charts!$C$8:$E$8</c:f>
              <c:numCache>
                <c:formatCode>General</c:formatCode>
                <c:ptCount val="3"/>
                <c:pt idx="0">
                  <c:v>5.2</c:v>
                </c:pt>
                <c:pt idx="1">
                  <c:v>3.1</c:v>
                </c:pt>
                <c:pt idx="2">
                  <c:v>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849568"/>
        <c:axId val="247850128"/>
      </c:lineChart>
      <c:catAx>
        <c:axId val="2478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7850128"/>
        <c:crosses val="autoZero"/>
        <c:auto val="1"/>
        <c:lblAlgn val="ctr"/>
        <c:lblOffset val="100"/>
        <c:noMultiLvlLbl val="0"/>
      </c:catAx>
      <c:valAx>
        <c:axId val="2478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784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charts!$B$9</c:f>
              <c:strCache>
                <c:ptCount val="1"/>
                <c:pt idx="0">
                  <c:v>网上问题处理时长(人天/个)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charts!$C$9:$E$9</c:f>
              <c:numCache>
                <c:formatCode>General</c:formatCode>
                <c:ptCount val="3"/>
                <c:pt idx="0">
                  <c:v>3.15</c:v>
                </c:pt>
                <c:pt idx="1">
                  <c:v>0.71</c:v>
                </c:pt>
                <c:pt idx="2">
                  <c:v>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852368"/>
        <c:axId val="247852928"/>
      </c:lineChart>
      <c:catAx>
        <c:axId val="24785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7852928"/>
        <c:crosses val="autoZero"/>
        <c:auto val="1"/>
        <c:lblAlgn val="ctr"/>
        <c:lblOffset val="100"/>
        <c:noMultiLvlLbl val="0"/>
      </c:catAx>
      <c:valAx>
        <c:axId val="24785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785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代码质量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charts!$B$58</c:f>
              <c:strCache>
                <c:ptCount val="1"/>
                <c:pt idx="0">
                  <c:v>ICP-静态检查告警数(个)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charts!$C$58:$E$58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charts!$B$59</c:f>
              <c:strCache>
                <c:ptCount val="1"/>
                <c:pt idx="0">
                  <c:v>ICP-平均圈复杂度(个)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charts!$C$59:$E$59</c:f>
              <c:numCache>
                <c:formatCode>General</c:formatCode>
                <c:ptCount val="3"/>
                <c:pt idx="0">
                  <c:v>5.7</c:v>
                </c:pt>
                <c:pt idx="1">
                  <c:v>6.5</c:v>
                </c:pt>
                <c:pt idx="2">
                  <c:v>5.01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charts!$B$60</c:f>
              <c:strCache>
                <c:ptCount val="1"/>
                <c:pt idx="0">
                  <c:v>ICP-代码重复率(%)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charts!$C$60:$E$60</c:f>
              <c:numCache>
                <c:formatCode>0.00%</c:formatCode>
                <c:ptCount val="3"/>
                <c:pt idx="0" formatCode="0%">
                  <c:v>7.0000000000000007E-2</c:v>
                </c:pt>
                <c:pt idx="1">
                  <c:v>6.7599999999999993E-2</c:v>
                </c:pt>
                <c:pt idx="2">
                  <c:v>5.5100000000000003E-2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charts!$B$61</c:f>
              <c:strCache>
                <c:ptCount val="1"/>
                <c:pt idx="0">
                  <c:v>Coverity告警数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charts!$C$61:$E$61</c:f>
              <c:numCache>
                <c:formatCode>General</c:formatCode>
                <c:ptCount val="3"/>
                <c:pt idx="0">
                  <c:v>0</c:v>
                </c:pt>
                <c:pt idx="1">
                  <c:v>0.3</c:v>
                </c:pt>
                <c:pt idx="2">
                  <c:v>1.22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charts!$B$62</c:f>
              <c:strCache>
                <c:ptCount val="1"/>
                <c:pt idx="0">
                  <c:v>Fortify告警数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charts!$C$62:$E$62</c:f>
              <c:numCache>
                <c:formatCode>General</c:formatCode>
                <c:ptCount val="3"/>
                <c:pt idx="0">
                  <c:v>0</c:v>
                </c:pt>
                <c:pt idx="1">
                  <c:v>0.2</c:v>
                </c:pt>
                <c:pt idx="2">
                  <c:v>1.67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charts!$B$63</c:f>
              <c:strCache>
                <c:ptCount val="1"/>
                <c:pt idx="0">
                  <c:v>代码设计(Infusion检查)QDI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charts!$C$63:$E$63</c:f>
              <c:numCache>
                <c:formatCode>General</c:formatCode>
                <c:ptCount val="3"/>
                <c:pt idx="0">
                  <c:v>91.8</c:v>
                </c:pt>
                <c:pt idx="1">
                  <c:v>96.9</c:v>
                </c:pt>
                <c:pt idx="2">
                  <c:v>82.58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282784"/>
        <c:axId val="248283344"/>
      </c:lineChart>
      <c:catAx>
        <c:axId val="24828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283344"/>
        <c:crosses val="autoZero"/>
        <c:auto val="1"/>
        <c:lblAlgn val="ctr"/>
        <c:lblOffset val="100"/>
        <c:noMultiLvlLbl val="0"/>
      </c:catAx>
      <c:valAx>
        <c:axId val="24828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28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工程能力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charts!$B$71</c:f>
              <c:strCache>
                <c:ptCount val="1"/>
                <c:pt idx="0">
                  <c:v>CI构建成功率(%)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charts!$C$71:$E$71</c:f>
              <c:numCache>
                <c:formatCode>0.00%</c:formatCode>
                <c:ptCount val="3"/>
                <c:pt idx="0">
                  <c:v>0.96799999999999997</c:v>
                </c:pt>
                <c:pt idx="1">
                  <c:v>0.97189999999999999</c:v>
                </c:pt>
                <c:pt idx="2">
                  <c:v>0.97762259445073807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charts!$B$72</c:f>
              <c:strCache>
                <c:ptCount val="1"/>
                <c:pt idx="0">
                  <c:v>个人构建平均时长（分钟）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charts!$C$72:$E$72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3.8</c:v>
                </c:pt>
                <c:pt idx="2" formatCode="0.00_ ">
                  <c:v>5.1625167829119434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charts!$B$74</c:f>
              <c:strCache>
                <c:ptCount val="1"/>
                <c:pt idx="0">
                  <c:v>全量自动化回归验证周期（小时）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charts!$C$74:$E$74</c:f>
              <c:numCache>
                <c:formatCode>General</c:formatCode>
                <c:ptCount val="3"/>
                <c:pt idx="0">
                  <c:v>1.6</c:v>
                </c:pt>
                <c:pt idx="1">
                  <c:v>2.1</c:v>
                </c:pt>
                <c:pt idx="2" formatCode="0.00_ ">
                  <c:v>1.5920812807881777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charts!$B$75</c:f>
              <c:strCache>
                <c:ptCount val="1"/>
                <c:pt idx="0">
                  <c:v>全量功能验证周期（天）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charts!$C$75:$E$75</c:f>
              <c:numCache>
                <c:formatCode>General</c:formatCode>
                <c:ptCount val="3"/>
                <c:pt idx="0">
                  <c:v>1.8</c:v>
                </c:pt>
                <c:pt idx="1">
                  <c:v>2</c:v>
                </c:pt>
                <c:pt idx="2" formatCode="0.00_ ">
                  <c:v>1.4690156898656901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charts!$B$76</c:f>
              <c:strCache>
                <c:ptCount val="1"/>
                <c:pt idx="0">
                  <c:v>解决方案验证周期（周）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charts!$C$76:$E$76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1.1000000000000001</c:v>
                </c:pt>
                <c:pt idx="2" formatCode="0.00_ ">
                  <c:v>1.0779439252336447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charts!$B$77</c:f>
              <c:strCache>
                <c:ptCount val="1"/>
                <c:pt idx="0">
                  <c:v>特性交付周期CycleTime(月)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charts!$C$77:$E$77</c:f>
              <c:numCache>
                <c:formatCode>General</c:formatCode>
                <c:ptCount val="3"/>
                <c:pt idx="0">
                  <c:v>1.3</c:v>
                </c:pt>
                <c:pt idx="1">
                  <c:v>1.4</c:v>
                </c:pt>
                <c:pt idx="2" formatCode="0.00_ ">
                  <c:v>1.2893555840821569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288944"/>
        <c:axId val="248289504"/>
      </c:lineChart>
      <c:catAx>
        <c:axId val="24828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289504"/>
        <c:crosses val="autoZero"/>
        <c:auto val="1"/>
        <c:lblAlgn val="ctr"/>
        <c:lblOffset val="100"/>
        <c:noMultiLvlLbl val="0"/>
      </c:catAx>
      <c:valAx>
        <c:axId val="2482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28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charts!$B$59</c:f>
              <c:strCache>
                <c:ptCount val="1"/>
                <c:pt idx="0">
                  <c:v>ICP-平均圈复杂度(个)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charts!$C$59:$E$59</c:f>
              <c:numCache>
                <c:formatCode>General</c:formatCode>
                <c:ptCount val="3"/>
                <c:pt idx="0">
                  <c:v>5.7</c:v>
                </c:pt>
                <c:pt idx="1">
                  <c:v>6.5</c:v>
                </c:pt>
                <c:pt idx="2">
                  <c:v>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26864"/>
        <c:axId val="248527424"/>
      </c:lineChart>
      <c:catAx>
        <c:axId val="24852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527424"/>
        <c:crosses val="autoZero"/>
        <c:auto val="1"/>
        <c:lblAlgn val="ctr"/>
        <c:lblOffset val="100"/>
        <c:noMultiLvlLbl val="0"/>
      </c:catAx>
      <c:valAx>
        <c:axId val="2485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52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charts!$B$73</c:f>
              <c:strCache>
                <c:ptCount val="1"/>
                <c:pt idx="0">
                  <c:v>项目构建时长(分钟)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charts!$C$73:$E$73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15.5</c:v>
                </c:pt>
                <c:pt idx="2" formatCode="0.00_ ">
                  <c:v>14.109086538461536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29664"/>
        <c:axId val="248530224"/>
      </c:lineChart>
      <c:catAx>
        <c:axId val="24852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530224"/>
        <c:crosses val="autoZero"/>
        <c:auto val="1"/>
        <c:lblAlgn val="ctr"/>
        <c:lblOffset val="100"/>
        <c:noMultiLvlLbl val="0"/>
      </c:catAx>
      <c:valAx>
        <c:axId val="2485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52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charts!$B$58</c:f>
              <c:strCache>
                <c:ptCount val="1"/>
                <c:pt idx="0">
                  <c:v>ICP-静态检查告警数(个)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charts!$C$58:$E$58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charts!$B$60</c:f>
              <c:strCache>
                <c:ptCount val="1"/>
                <c:pt idx="0">
                  <c:v>ICP-代码重复率(%)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charts!$C$60:$E$60</c:f>
              <c:numCache>
                <c:formatCode>0.00%</c:formatCode>
                <c:ptCount val="3"/>
                <c:pt idx="0" formatCode="0%">
                  <c:v>7.0000000000000007E-2</c:v>
                </c:pt>
                <c:pt idx="1">
                  <c:v>6.7599999999999993E-2</c:v>
                </c:pt>
                <c:pt idx="2">
                  <c:v>5.5100000000000003E-2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charts!$B$61</c:f>
              <c:strCache>
                <c:ptCount val="1"/>
                <c:pt idx="0">
                  <c:v>Coverity告警数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charts!$C$61:$E$61</c:f>
              <c:numCache>
                <c:formatCode>General</c:formatCode>
                <c:ptCount val="3"/>
                <c:pt idx="0">
                  <c:v>0</c:v>
                </c:pt>
                <c:pt idx="1">
                  <c:v>0.3</c:v>
                </c:pt>
                <c:pt idx="2">
                  <c:v>1.22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charts!$B$62</c:f>
              <c:strCache>
                <c:ptCount val="1"/>
                <c:pt idx="0">
                  <c:v>Fortify告警数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charts!$C$62:$E$62</c:f>
              <c:numCache>
                <c:formatCode>General</c:formatCode>
                <c:ptCount val="3"/>
                <c:pt idx="0">
                  <c:v>0</c:v>
                </c:pt>
                <c:pt idx="1">
                  <c:v>0.2</c:v>
                </c:pt>
                <c:pt idx="2">
                  <c:v>1.67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charts!$B$63</c:f>
              <c:strCache>
                <c:ptCount val="1"/>
                <c:pt idx="0">
                  <c:v>代码设计(Infusion检查)QDI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charts!$C$63:$E$63</c:f>
              <c:numCache>
                <c:formatCode>General</c:formatCode>
                <c:ptCount val="3"/>
                <c:pt idx="0">
                  <c:v>91.8</c:v>
                </c:pt>
                <c:pt idx="1">
                  <c:v>96.9</c:v>
                </c:pt>
                <c:pt idx="2">
                  <c:v>82.58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31360"/>
        <c:axId val="248931920"/>
      </c:lineChart>
      <c:catAx>
        <c:axId val="24893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931920"/>
        <c:crosses val="autoZero"/>
        <c:auto val="1"/>
        <c:lblAlgn val="ctr"/>
        <c:lblOffset val="100"/>
        <c:noMultiLvlLbl val="0"/>
      </c:catAx>
      <c:valAx>
        <c:axId val="24893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9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需求质量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charts!$B$34</c:f>
              <c:strCache>
                <c:ptCount val="1"/>
                <c:pt idx="0">
                  <c:v>项目需求稳定度(%)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charts!$C$34:$E$34</c:f>
              <c:numCache>
                <c:formatCode>0.00%</c:formatCode>
                <c:ptCount val="3"/>
                <c:pt idx="0">
                  <c:v>0.95799999999999996</c:v>
                </c:pt>
                <c:pt idx="1">
                  <c:v>0.95369999999999999</c:v>
                </c:pt>
                <c:pt idx="2">
                  <c:v>0.97760000000000002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charts!$B$35</c:f>
              <c:strCache>
                <c:ptCount val="1"/>
                <c:pt idx="0">
                  <c:v>规格评审缺陷密度(个/页)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charts!$C$35:$E$35</c:f>
              <c:numCache>
                <c:formatCode>General</c:formatCode>
                <c:ptCount val="3"/>
                <c:pt idx="0">
                  <c:v>0.54</c:v>
                </c:pt>
                <c:pt idx="1">
                  <c:v>0.5</c:v>
                </c:pt>
                <c:pt idx="2">
                  <c:v>0.49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charts!$B$36</c:f>
              <c:strCache>
                <c:ptCount val="1"/>
                <c:pt idx="0">
                  <c:v>需求评审缺陷密度(个/页)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charts!$C$36:$E$36</c:f>
              <c:numCache>
                <c:formatCode>General</c:formatCode>
                <c:ptCount val="3"/>
                <c:pt idx="0">
                  <c:v>0.61</c:v>
                </c:pt>
                <c:pt idx="1">
                  <c:v>0.5</c:v>
                </c:pt>
                <c:pt idx="2">
                  <c:v>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935840"/>
        <c:axId val="248936400"/>
      </c:lineChart>
      <c:catAx>
        <c:axId val="24893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936400"/>
        <c:crosses val="autoZero"/>
        <c:auto val="1"/>
        <c:lblAlgn val="ctr"/>
        <c:lblOffset val="100"/>
        <c:noMultiLvlLbl val="0"/>
      </c:catAx>
      <c:valAx>
        <c:axId val="24893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93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开发质量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charts!$B$37</c:f>
              <c:strCache>
                <c:ptCount val="1"/>
                <c:pt idx="0">
                  <c:v>代码评审缺陷率(个/KLOC)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charts!$C$37:$E$37</c:f>
              <c:numCache>
                <c:formatCode>General</c:formatCode>
                <c:ptCount val="3"/>
                <c:pt idx="0">
                  <c:v>4.51</c:v>
                </c:pt>
                <c:pt idx="1">
                  <c:v>4.9000000000000004</c:v>
                </c:pt>
                <c:pt idx="2">
                  <c:v>6.6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charts!$B$38</c:f>
              <c:strCache>
                <c:ptCount val="1"/>
                <c:pt idx="0">
                  <c:v>开发者测试缺陷密度(个/KLOC)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charts!$C$38:$E$38</c:f>
              <c:numCache>
                <c:formatCode>General</c:formatCode>
                <c:ptCount val="3"/>
                <c:pt idx="0">
                  <c:v>2.91</c:v>
                </c:pt>
                <c:pt idx="1">
                  <c:v>1.8</c:v>
                </c:pt>
                <c:pt idx="2">
                  <c:v>2.2400000000000002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charts!$B$39</c:f>
              <c:strCache>
                <c:ptCount val="1"/>
                <c:pt idx="0">
                  <c:v>问题单回归不通过个数（个）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charts!$C$39:$E$39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0.08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charts!$B$40</c:f>
              <c:strCache>
                <c:ptCount val="1"/>
                <c:pt idx="0">
                  <c:v>转测试不通过次数（次）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charts!$C$40:$E$40</c:f>
              <c:numCache>
                <c:formatCode>0.00%</c:formatCode>
                <c:ptCount val="3"/>
                <c:pt idx="0" formatCode="General">
                  <c:v>0</c:v>
                </c:pt>
                <c:pt idx="1">
                  <c:v>1.6500000000000001E-2</c:v>
                </c:pt>
                <c:pt idx="2" formatCode="General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880816"/>
        <c:axId val="248881376"/>
      </c:lineChart>
      <c:catAx>
        <c:axId val="24888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881376"/>
        <c:crosses val="autoZero"/>
        <c:auto val="1"/>
        <c:lblAlgn val="ctr"/>
        <c:lblOffset val="100"/>
        <c:noMultiLvlLbl val="0"/>
      </c:catAx>
      <c:valAx>
        <c:axId val="2488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88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测试质量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测试方案评审缺陷密度(个/页)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charts!$C$41:$E$41</c:f>
              <c:numCache>
                <c:formatCode>General</c:formatCode>
                <c:ptCount val="3"/>
                <c:pt idx="0">
                  <c:v>0.76</c:v>
                </c:pt>
                <c:pt idx="1">
                  <c:v>0.6</c:v>
                </c:pt>
                <c:pt idx="2">
                  <c:v>0.88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charts!$B$42</c:f>
              <c:strCache>
                <c:ptCount val="1"/>
                <c:pt idx="0">
                  <c:v>测试用例评审缺陷密度(个/个)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charts!$C$42:$E$42</c:f>
              <c:numCache>
                <c:formatCode>General</c:formatCode>
                <c:ptCount val="3"/>
                <c:pt idx="0">
                  <c:v>7.0000000000000007E-2</c:v>
                </c:pt>
                <c:pt idx="1">
                  <c:v>0.1</c:v>
                </c:pt>
                <c:pt idx="2">
                  <c:v>0.26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charts!$B$43</c:f>
              <c:strCache>
                <c:ptCount val="1"/>
                <c:pt idx="0">
                  <c:v>SDV测试缺陷密度（个/KLOC）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charts!$C$43:$E$43</c:f>
              <c:numCache>
                <c:formatCode>General</c:formatCode>
                <c:ptCount val="3"/>
                <c:pt idx="0">
                  <c:v>2.0699999999999998</c:v>
                </c:pt>
                <c:pt idx="1">
                  <c:v>3</c:v>
                </c:pt>
                <c:pt idx="2">
                  <c:v>2.29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charts!$B$47</c:f>
              <c:strCache>
                <c:ptCount val="1"/>
                <c:pt idx="0">
                  <c:v>测试用例评审缺陷密度（个/个）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charts!$C$47:$E$47</c:f>
              <c:numCache>
                <c:formatCode>General</c:formatCode>
                <c:ptCount val="3"/>
                <c:pt idx="0">
                  <c:v>0.05</c:v>
                </c:pt>
                <c:pt idx="1">
                  <c:v>0.18</c:v>
                </c:pt>
                <c:pt idx="2">
                  <c:v>0.06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charts!$B$50</c:f>
              <c:strCache>
                <c:ptCount val="1"/>
                <c:pt idx="0">
                  <c:v>用例发现的问题占比（%）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charts!$C$50:$E$50</c:f>
              <c:numCache>
                <c:formatCode>0.00%</c:formatCode>
                <c:ptCount val="3"/>
                <c:pt idx="0">
                  <c:v>0.9103</c:v>
                </c:pt>
                <c:pt idx="1">
                  <c:v>0.8871</c:v>
                </c:pt>
                <c:pt idx="2">
                  <c:v>0.88170000000000004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charts!$B$51</c:f>
              <c:strCache>
                <c:ptCount val="1"/>
                <c:pt idx="0">
                  <c:v>漏测率(%)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charts!$C$51:$E$51</c:f>
              <c:numCache>
                <c:formatCode>0.00%</c:formatCode>
                <c:ptCount val="3"/>
                <c:pt idx="0" formatCode="General">
                  <c:v>0</c:v>
                </c:pt>
                <c:pt idx="1">
                  <c:v>6.6E-3</c:v>
                </c:pt>
                <c:pt idx="2">
                  <c:v>1.6999999999999999E-3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635840"/>
        <c:axId val="249636400"/>
      </c:lineChart>
      <c:catAx>
        <c:axId val="24963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636400"/>
        <c:crosses val="autoZero"/>
        <c:auto val="1"/>
        <c:lblAlgn val="ctr"/>
        <c:lblOffset val="100"/>
        <c:noMultiLvlLbl val="0"/>
      </c:catAx>
      <c:valAx>
        <c:axId val="24963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63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自动化质量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charts!$B$44</c:f>
              <c:strCache>
                <c:ptCount val="1"/>
                <c:pt idx="0">
                  <c:v>自动化脚本检视缺陷密度（个/每个）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charts!$C$44:$E$44</c:f>
              <c:numCache>
                <c:formatCode>General</c:formatCode>
                <c:ptCount val="3"/>
                <c:pt idx="0">
                  <c:v>0.4</c:v>
                </c:pt>
                <c:pt idx="1">
                  <c:v>0.2</c:v>
                </c:pt>
                <c:pt idx="2">
                  <c:v>0.34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charts!$B$45</c:f>
              <c:strCache>
                <c:ptCount val="1"/>
                <c:pt idx="0">
                  <c:v>自动化脚本与用例忠实度（%）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charts!$C$45:$E$45</c:f>
              <c:numCache>
                <c:formatCode>0.00%</c:formatCode>
                <c:ptCount val="3"/>
                <c:pt idx="0">
                  <c:v>0.99619999999999997</c:v>
                </c:pt>
                <c:pt idx="1">
                  <c:v>0.99690000000000001</c:v>
                </c:pt>
                <c:pt idx="2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charts!$B$46</c:f>
              <c:strCache>
                <c:ptCount val="1"/>
                <c:pt idx="0">
                  <c:v>CI脚本通过率(%)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charts!$C$46:$E$46</c:f>
              <c:numCache>
                <c:formatCode>0.00%</c:formatCode>
                <c:ptCount val="3"/>
                <c:pt idx="0">
                  <c:v>0.99390000000000001</c:v>
                </c:pt>
                <c:pt idx="1">
                  <c:v>0.96589999999999998</c:v>
                </c:pt>
                <c:pt idx="2">
                  <c:v>0.97889999999999999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charts!$B$48</c:f>
              <c:strCache>
                <c:ptCount val="1"/>
                <c:pt idx="0">
                  <c:v>自动化用例比例(%)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charts!$C$48:$E$48</c:f>
              <c:numCache>
                <c:formatCode>0.00%</c:formatCode>
                <c:ptCount val="3"/>
                <c:pt idx="0">
                  <c:v>0.31940000000000002</c:v>
                </c:pt>
                <c:pt idx="1">
                  <c:v>0.30840000000000001</c:v>
                </c:pt>
                <c:pt idx="2">
                  <c:v>0.55769999999999997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charts!$B$49</c:f>
              <c:strCache>
                <c:ptCount val="1"/>
                <c:pt idx="0">
                  <c:v>自动化用例连跑通过率（%）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charts!$C$49:$E$49</c:f>
              <c:numCache>
                <c:formatCode>0.00%</c:formatCode>
                <c:ptCount val="3"/>
                <c:pt idx="0">
                  <c:v>0.86990000000000001</c:v>
                </c:pt>
                <c:pt idx="1">
                  <c:v>0.64780000000000004</c:v>
                </c:pt>
                <c:pt idx="2">
                  <c:v>0.89090000000000003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610048"/>
        <c:axId val="249610608"/>
      </c:lineChart>
      <c:catAx>
        <c:axId val="24961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610608"/>
        <c:crosses val="autoZero"/>
        <c:auto val="1"/>
        <c:lblAlgn val="ctr"/>
        <c:lblOffset val="100"/>
        <c:noMultiLvlLbl val="0"/>
      </c:catAx>
      <c:valAx>
        <c:axId val="24961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61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charts!$B$63</c:f>
              <c:strCache>
                <c:ptCount val="1"/>
                <c:pt idx="0">
                  <c:v>代码设计(Infusion检查)QDI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charts!$C$63:$E$63</c:f>
              <c:numCache>
                <c:formatCode>General</c:formatCode>
                <c:ptCount val="3"/>
                <c:pt idx="0">
                  <c:v>91.8</c:v>
                </c:pt>
                <c:pt idx="1">
                  <c:v>96.9</c:v>
                </c:pt>
                <c:pt idx="2">
                  <c:v>82.58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613408"/>
        <c:axId val="249613968"/>
      </c:lineChart>
      <c:catAx>
        <c:axId val="24961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613968"/>
        <c:crosses val="autoZero"/>
        <c:auto val="1"/>
        <c:lblAlgn val="ctr"/>
        <c:lblOffset val="100"/>
        <c:noMultiLvlLbl val="0"/>
      </c:catAx>
      <c:valAx>
        <c:axId val="24961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61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代码质量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charts!$B$58</c:f>
              <c:strCache>
                <c:ptCount val="1"/>
                <c:pt idx="0">
                  <c:v>ICP-静态检查告警数(个)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charts!$C$58:$E$58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charts!$B$60</c:f>
              <c:strCache>
                <c:ptCount val="1"/>
                <c:pt idx="0">
                  <c:v>ICP-代码重复率(%)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charts!$C$60:$E$60</c:f>
              <c:numCache>
                <c:formatCode>0.00%</c:formatCode>
                <c:ptCount val="3"/>
                <c:pt idx="0" formatCode="0%">
                  <c:v>7.0000000000000007E-2</c:v>
                </c:pt>
                <c:pt idx="1">
                  <c:v>6.7599999999999993E-2</c:v>
                </c:pt>
                <c:pt idx="2">
                  <c:v>5.5100000000000003E-2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charts!$B$61</c:f>
              <c:strCache>
                <c:ptCount val="1"/>
                <c:pt idx="0">
                  <c:v>Coverity告警数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rgbClr val="FFFF00"/>
                </a:solidFill>
                <a:round/>
              </a:ln>
              <a:effectLst/>
            </c:spPr>
          </c:dPt>
          <c:dLbls>
            <c:dLbl>
              <c:idx val="2"/>
              <c:tx>
                <c:rich>
                  <a:bodyPr/>
                  <a:lstStyle/>
                  <a:p>
                    <a:fld id="{32D20E90-07C5-45BC-BA0D-D482D3AF9E3D}" type="SERIESNAME">
                      <a:rPr lang="zh-CN" altLang="en-US" sz="1050"/>
                      <a:pPr/>
                      <a:t>[系列名称]</a:t>
                    </a:fld>
                    <a:r>
                      <a:rPr lang="en-US" altLang="zh-CN" baseline="0"/>
                      <a:t>, </a:t>
                    </a:r>
                    <a:fld id="{5BEB0D71-8C3E-4827-A1E5-4D86E2D2FED1}" type="VALUE">
                      <a:rPr lang="en-US" altLang="zh-CN" baseline="0"/>
                      <a:pPr/>
                      <a:t>[值]</a:t>
                    </a:fld>
                    <a:endParaRPr lang="en-US" altLang="zh-CN" baseline="0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charts!$C$61:$E$61</c:f>
              <c:numCache>
                <c:formatCode>General</c:formatCode>
                <c:ptCount val="3"/>
                <c:pt idx="0">
                  <c:v>0</c:v>
                </c:pt>
                <c:pt idx="1">
                  <c:v>0.3</c:v>
                </c:pt>
                <c:pt idx="2">
                  <c:v>1.22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charts!$B$62</c:f>
              <c:strCache>
                <c:ptCount val="1"/>
                <c:pt idx="0">
                  <c:v>Fortify告警数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5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84A5560-6BD5-4FD3-9F0F-FF7139E767CB}" type="SERIESNAME">
                      <a:rPr lang="zh-CN" altLang="en-US" sz="1050"/>
                      <a:pPr>
                        <a:defRPr sz="1050"/>
                      </a:pPr>
                      <a:t>[系列名称]</a:t>
                    </a:fld>
                    <a:r>
                      <a:rPr lang="en-US" altLang="zh-CN" sz="1050" baseline="0"/>
                      <a:t>, </a:t>
                    </a:r>
                    <a:fld id="{3E36D5E3-0E4A-4FE8-9455-A6FA95E86714}" type="VALUE">
                      <a:rPr lang="en-US" altLang="zh-CN" sz="1050" baseline="0"/>
                      <a:pPr>
                        <a:defRPr sz="1050"/>
                      </a:pPr>
                      <a:t>[值]</a:t>
                    </a:fld>
                    <a:endParaRPr lang="en-US" altLang="zh-CN" sz="105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charts!$C$62:$E$62</c:f>
              <c:numCache>
                <c:formatCode>General</c:formatCode>
                <c:ptCount val="3"/>
                <c:pt idx="0">
                  <c:v>0</c:v>
                </c:pt>
                <c:pt idx="1">
                  <c:v>0.2</c:v>
                </c:pt>
                <c:pt idx="2">
                  <c:v>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486096"/>
        <c:axId val="249486656"/>
      </c:lineChart>
      <c:catAx>
        <c:axId val="24948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486656"/>
        <c:crosses val="autoZero"/>
        <c:auto val="1"/>
        <c:lblAlgn val="ctr"/>
        <c:lblOffset val="100"/>
        <c:noMultiLvlLbl val="0"/>
      </c:catAx>
      <c:valAx>
        <c:axId val="2494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48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charts!$B$73</c:f>
              <c:strCache>
                <c:ptCount val="1"/>
                <c:pt idx="0">
                  <c:v>项目构建时长(分钟)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charts!$C$73:$E$73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15.5</c:v>
                </c:pt>
                <c:pt idx="2" formatCode="0.00_ ">
                  <c:v>14.109086538461536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489456"/>
        <c:axId val="249490016"/>
      </c:lineChart>
      <c:catAx>
        <c:axId val="24948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490016"/>
        <c:crosses val="autoZero"/>
        <c:auto val="1"/>
        <c:lblAlgn val="ctr"/>
        <c:lblOffset val="100"/>
        <c:noMultiLvlLbl val="0"/>
      </c:catAx>
      <c:valAx>
        <c:axId val="24949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948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404812</xdr:colOff>
      <xdr:row>9</xdr:row>
      <xdr:rowOff>109537</xdr:rowOff>
    </xdr:from>
    <xdr:to>
      <xdr:col>3</xdr:col>
      <xdr:colOff>376237</xdr:colOff>
      <xdr:row>25</xdr:row>
      <xdr:rowOff>109537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157163</xdr:colOff>
      <xdr:row>8</xdr:row>
      <xdr:rowOff>157162</xdr:rowOff>
    </xdr:from>
    <xdr:to>
      <xdr:col>8</xdr:col>
      <xdr:colOff>257176</xdr:colOff>
      <xdr:row>21</xdr:row>
      <xdr:rowOff>66675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138112</xdr:colOff>
      <xdr:row>16</xdr:row>
      <xdr:rowOff>4762</xdr:rowOff>
    </xdr:from>
    <xdr:to>
      <xdr:col>13</xdr:col>
      <xdr:colOff>595312</xdr:colOff>
      <xdr:row>32</xdr:row>
      <xdr:rowOff>4762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666750</xdr:colOff>
      <xdr:row>5</xdr:row>
      <xdr:rowOff>9525</xdr:rowOff>
    </xdr:from>
    <xdr:to>
      <xdr:col>15</xdr:col>
      <xdr:colOff>404812</xdr:colOff>
      <xdr:row>16</xdr:row>
      <xdr:rowOff>109537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223837</xdr:colOff>
      <xdr:row>54</xdr:row>
      <xdr:rowOff>171449</xdr:rowOff>
    </xdr:from>
    <xdr:to>
      <xdr:col>12</xdr:col>
      <xdr:colOff>681037</xdr:colOff>
      <xdr:row>66</xdr:row>
      <xdr:rowOff>71436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433387</xdr:colOff>
      <xdr:row>66</xdr:row>
      <xdr:rowOff>119062</xdr:rowOff>
    </xdr:from>
    <xdr:to>
      <xdr:col>12</xdr:col>
      <xdr:colOff>204787</xdr:colOff>
      <xdr:row>82</xdr:row>
      <xdr:rowOff>80962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1685925</xdr:colOff>
      <xdr:row>43</xdr:row>
      <xdr:rowOff>123825</xdr:rowOff>
    </xdr:from>
    <xdr:to>
      <xdr:col>5</xdr:col>
      <xdr:colOff>171450</xdr:colOff>
      <xdr:row>54</xdr:row>
      <xdr:rowOff>147637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476250</xdr:colOff>
      <xdr:row>50</xdr:row>
      <xdr:rowOff>119062</xdr:rowOff>
    </xdr:from>
    <xdr:to>
      <xdr:col>16</xdr:col>
      <xdr:colOff>247650</xdr:colOff>
      <xdr:row>66</xdr:row>
      <xdr:rowOff>147637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628650</xdr:colOff>
      <xdr:row>44</xdr:row>
      <xdr:rowOff>71437</xdr:rowOff>
    </xdr:from>
    <xdr:to>
      <xdr:col>17</xdr:col>
      <xdr:colOff>400050</xdr:colOff>
      <xdr:row>60</xdr:row>
      <xdr:rowOff>33337</xdr:rowOff>
    </xdr:to>
    <xdr:graphicFrame macro="">
      <xdr:nvGraphicFramePr>
        <xdr:cNvPr id="20" name="图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114300</xdr:colOff>
      <xdr:row>32</xdr:row>
      <xdr:rowOff>142875</xdr:rowOff>
    </xdr:from>
    <xdr:to>
      <xdr:col>12</xdr:col>
      <xdr:colOff>161925</xdr:colOff>
      <xdr:row>43</xdr:row>
      <xdr:rowOff>104775</xdr:rowOff>
    </xdr:to>
    <xdr:graphicFrame macro="">
      <xdr:nvGraphicFramePr>
        <xdr:cNvPr id="18" name="图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171450</xdr:colOff>
      <xdr:row>32</xdr:row>
      <xdr:rowOff>142875</xdr:rowOff>
    </xdr:from>
    <xdr:to>
      <xdr:col>19</xdr:col>
      <xdr:colOff>628650</xdr:colOff>
      <xdr:row>48</xdr:row>
      <xdr:rowOff>104775</xdr:rowOff>
    </xdr:to>
    <xdr:graphicFrame macro="">
      <xdr:nvGraphicFramePr>
        <xdr:cNvPr id="21" name="图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447675</xdr:colOff>
      <xdr:row>34</xdr:row>
      <xdr:rowOff>85725</xdr:rowOff>
    </xdr:from>
    <xdr:to>
      <xdr:col>14</xdr:col>
      <xdr:colOff>219075</xdr:colOff>
      <xdr:row>50</xdr:row>
      <xdr:rowOff>85725</xdr:rowOff>
    </xdr:to>
    <xdr:graphicFrame macro="">
      <xdr:nvGraphicFramePr>
        <xdr:cNvPr id="22" name="图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523875</xdr:colOff>
      <xdr:row>37</xdr:row>
      <xdr:rowOff>9525</xdr:rowOff>
    </xdr:from>
    <xdr:to>
      <xdr:col>12</xdr:col>
      <xdr:colOff>295275</xdr:colOff>
      <xdr:row>53</xdr:row>
      <xdr:rowOff>9525</xdr:rowOff>
    </xdr:to>
    <xdr:graphicFrame macro="">
      <xdr:nvGraphicFramePr>
        <xdr:cNvPr id="23" name="图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852487</xdr:colOff>
      <xdr:row>54</xdr:row>
      <xdr:rowOff>76200</xdr:rowOff>
    </xdr:from>
    <xdr:to>
      <xdr:col>7</xdr:col>
      <xdr:colOff>295275</xdr:colOff>
      <xdr:row>66</xdr:row>
      <xdr:rowOff>76200</xdr:rowOff>
    </xdr:to>
    <xdr:graphicFrame macro="">
      <xdr:nvGraphicFramePr>
        <xdr:cNvPr id="24" name="图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862012</xdr:colOff>
      <xdr:row>44</xdr:row>
      <xdr:rowOff>161925</xdr:rowOff>
    </xdr:from>
    <xdr:to>
      <xdr:col>9</xdr:col>
      <xdr:colOff>176212</xdr:colOff>
      <xdr:row>60</xdr:row>
      <xdr:rowOff>123825</xdr:rowOff>
    </xdr:to>
    <xdr:graphicFrame macro="">
      <xdr:nvGraphicFramePr>
        <xdr:cNvPr id="25" name="图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795337</xdr:colOff>
      <xdr:row>57</xdr:row>
      <xdr:rowOff>9525</xdr:rowOff>
    </xdr:from>
    <xdr:to>
      <xdr:col>10</xdr:col>
      <xdr:colOff>309562</xdr:colOff>
      <xdr:row>72</xdr:row>
      <xdr:rowOff>123825</xdr:rowOff>
    </xdr:to>
    <xdr:graphicFrame macro="">
      <xdr:nvGraphicFramePr>
        <xdr:cNvPr id="26" name="图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WX158~1\AppData\Local\Temp\notes93623C\&#27494;&#27721;\ONT%20&#23450;&#21046;%20&#24230;&#37327;&#34920;&#21333;2015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  <sheetName val="交付度量"/>
      <sheetName val="201504（运维大数据平台）"/>
      <sheetName val="201505（ONT WEB仿真平台二期优化）"/>
      <sheetName val="201506（预配置优化）"/>
      <sheetName val="TimeSheet_Test"/>
      <sheetName val="持续集成"/>
      <sheetName val="201507（预配置优化）"/>
      <sheetName val="201508（ONT Web仿真迭代开发）"/>
      <sheetName val="201509（预配置新特性迭代开发）"/>
      <sheetName val="度量"/>
      <sheetName val="PCB数据收集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J2">
            <v>0</v>
          </cell>
        </row>
        <row r="9">
          <cell r="D9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ables/table1.xml><?xml version="1.0" encoding="utf-8"?>
<table xmlns="http://schemas.openxmlformats.org/spreadsheetml/2006/main" id="1" name="表1" displayName="表1" ref="B3:AX46" totalsRowShown="0">
  <autoFilter ref="B3:AX46"/>
  <tableColumns count="49">
    <tableColumn id="1" name="列1" dataDxfId="179" dataCellStyle="常规 3"/>
    <tableColumn id="2" name="列2" dataDxfId="178" dataCellStyle="常规 3"/>
    <tableColumn id="3" name="列3" dataDxfId="177" dataCellStyle="常规 3"/>
    <tableColumn id="4" name="列4" dataDxfId="176" dataCellStyle="常规 3"/>
    <tableColumn id="5" name="列5" dataDxfId="175" dataCellStyle="常规 3"/>
    <tableColumn id="6" name="列6" dataDxfId="174" dataCellStyle="常规 3"/>
    <tableColumn id="7" name="列7" dataDxfId="173" dataCellStyle="常规 3"/>
    <tableColumn id="8" name="列8" dataDxfId="172" dataCellStyle="常规 3"/>
    <tableColumn id="9" name="列9" dataDxfId="171" dataCellStyle="常规 3"/>
    <tableColumn id="10" name="列10" dataDxfId="170" dataCellStyle="常规 3"/>
    <tableColumn id="11" name="列11" dataDxfId="169" dataCellStyle="常规 3"/>
    <tableColumn id="12" name="列166" dataDxfId="168" dataCellStyle="常规 3"/>
    <tableColumn id="13" name="列165" dataDxfId="167" dataCellStyle="常规 3"/>
    <tableColumn id="14" name="列164" dataDxfId="166" dataCellStyle="常规 3"/>
    <tableColumn id="15" name="列163" dataDxfId="165" dataCellStyle="常规 3"/>
    <tableColumn id="16" name="列162" dataDxfId="164" dataCellStyle="常规 3"/>
    <tableColumn id="17" name="列1626" dataDxfId="163"/>
    <tableColumn id="18" name="列1625" dataDxfId="162" dataCellStyle="百分比"/>
    <tableColumn id="19" name="列1624" dataDxfId="161" dataCellStyle="百分比"/>
    <tableColumn id="20" name="列1623" dataDxfId="160" dataCellStyle="百分比"/>
    <tableColumn id="21" name="列1622" dataDxfId="159" dataCellStyle="百分比"/>
    <tableColumn id="32" name="列1685" dataDxfId="158" dataCellStyle="百分比"/>
    <tableColumn id="33" name="列1684" dataDxfId="157" dataCellStyle="百分比"/>
    <tableColumn id="34" name="列1683" dataDxfId="156" dataCellStyle="百分比"/>
    <tableColumn id="35" name="列1682" dataDxfId="155" dataCellStyle="百分比"/>
    <tableColumn id="43" name="列16825" dataDxfId="154" dataCellStyle="百分比"/>
    <tableColumn id="42" name="列16824" dataDxfId="153" dataCellStyle="百分比"/>
    <tableColumn id="41" name="列16823" dataDxfId="152" dataCellStyle="百分比"/>
    <tableColumn id="40" name="列16822" dataDxfId="151" dataCellStyle="百分比"/>
    <tableColumn id="22" name="列122" dataDxfId="150" dataCellStyle="常规 3"/>
    <tableColumn id="23" name="列133" dataDxfId="149" dataCellStyle="常规 3"/>
    <tableColumn id="25" name="列155" dataDxfId="148" dataCellStyle="常规 3"/>
    <tableColumn id="26" name="列167" dataDxfId="147" dataCellStyle="常规 3"/>
    <tableColumn id="28" name="列1674" dataDxfId="146" dataCellStyle="常规 3"/>
    <tableColumn id="47" name="列168224" dataDxfId="145" dataCellStyle="百分比"/>
    <tableColumn id="39" name="列1682243" dataDxfId="116" dataCellStyle="百分比"/>
    <tableColumn id="52" name="列16822254" dataDxfId="115"/>
    <tableColumn id="46" name="列16822255" dataDxfId="144">
      <calculatedColumnFormula>(表1[[#This Row],[列1682243]]+AL4)/2</calculatedColumnFormula>
    </tableColumn>
    <tableColumn id="48" name="列1725" dataDxfId="117" dataCellStyle="RowLevel_8"/>
    <tableColumn id="36" name="列17" dataDxfId="143" dataCellStyle="常规 3"/>
    <tableColumn id="27" name="列172" dataDxfId="142" dataCellStyle="常规 3"/>
    <tableColumn id="29" name="列173" dataDxfId="141" dataCellStyle="常规 3"/>
    <tableColumn id="37" name="列18" dataDxfId="140"/>
    <tableColumn id="38" name="列19" dataDxfId="139"/>
    <tableColumn id="53" name="列193" dataDxfId="114" dataCellStyle="RowLevel_8">
      <calculatedColumnFormula>表1[[#This Row],[列172]]*1.1</calculatedColumnFormula>
    </tableColumn>
    <tableColumn id="51" name="列192" dataDxfId="113" dataCellStyle="RowLevel_8">
      <calculatedColumnFormula>表1[[#This Row],[列18]]*1.1</calculatedColumnFormula>
    </tableColumn>
    <tableColumn id="50" name="列20" dataDxfId="112" dataCellStyle="RowLevel_8">
      <calculatedColumnFormula>表1[[#This Row],[列19]]*1.1</calculatedColumnFormula>
    </tableColumn>
    <tableColumn id="44" name="列23" dataDxfId="138"/>
    <tableColumn id="45" name="列24" dataDxfId="137">
      <calculatedColumnFormula>IF(AP4&gt;=AM4,"Up","Down")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B3:AM18" totalsRowShown="0">
  <autoFilter ref="B3:AM18"/>
  <tableColumns count="38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16"/>
    <tableColumn id="13" name="列115"/>
    <tableColumn id="14" name="列114"/>
    <tableColumn id="15" name="列113"/>
    <tableColumn id="16" name="列112"/>
    <tableColumn id="17" name="列1125"/>
    <tableColumn id="18" name="列1124"/>
    <tableColumn id="19" name="列1123"/>
    <tableColumn id="20" name="列1122"/>
    <tableColumn id="21" name="列11225"/>
    <tableColumn id="22" name="列11224"/>
    <tableColumn id="23" name="列11223"/>
    <tableColumn id="24" name="列11222"/>
    <tableColumn id="25" name="列112225"/>
    <tableColumn id="26" name="列112224"/>
    <tableColumn id="27" name="列112223"/>
    <tableColumn id="28" name="列112222"/>
    <tableColumn id="34" name="列1122226">
      <calculatedColumnFormula>(R4*S4+V4*W4+Z4*AA4)/(R4+V4+Z4)</calculatedColumnFormula>
    </tableColumn>
    <tableColumn id="33" name="列1122225" dataDxfId="136"/>
    <tableColumn id="32" name="列1122224"/>
    <tableColumn id="31" name="列1122223"/>
    <tableColumn id="30" name="列1122222"/>
    <tableColumn id="40" name="列11222228"/>
    <tableColumn id="39" name="列11222227"/>
    <tableColumn id="38" name="列11222226"/>
    <tableColumn id="37" name="列11222225"/>
    <tableColumn id="29" name="列112222252">
      <calculatedColumnFormula>(AE4*AF4+AI4*AJ4)/(AE4+AI4)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B3:BA17" totalsRowShown="0">
  <autoFilter ref="B3:BA17"/>
  <tableColumns count="52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2"/>
    <tableColumn id="13" name="列13"/>
    <tableColumn id="14" name="列14"/>
    <tableColumn id="15" name="列15"/>
    <tableColumn id="16" name="列16"/>
    <tableColumn id="17" name="列122"/>
    <tableColumn id="18" name="列133"/>
    <tableColumn id="19" name="列144"/>
    <tableColumn id="20" name="列155"/>
    <tableColumn id="21" name="列166"/>
    <tableColumn id="22" name="列1665"/>
    <tableColumn id="23" name="列1664"/>
    <tableColumn id="24" name="列1663"/>
    <tableColumn id="25" name="列1662"/>
    <tableColumn id="26" name="列167"/>
    <tableColumn id="27" name="列1674"/>
    <tableColumn id="28" name="列1673"/>
    <tableColumn id="29" name="列1672"/>
    <tableColumn id="30" name="列168"/>
    <tableColumn id="31" name="列1684"/>
    <tableColumn id="32" name="列1683"/>
    <tableColumn id="33" name="列1682"/>
    <tableColumn id="34" name="列169"/>
    <tableColumn id="35" name="列1694"/>
    <tableColumn id="36" name="列1693"/>
    <tableColumn id="37" name="列1692"/>
    <tableColumn id="38" name="列170"/>
    <tableColumn id="39" name="列1704"/>
    <tableColumn id="40" name="列1703"/>
    <tableColumn id="41" name="列1702"/>
    <tableColumn id="42" name="列171"/>
    <tableColumn id="44" name="列1714">
      <calculatedColumnFormula>(AF4*AG4+AJ4*AK4+AN4*AO4)/(AF4+AJ4+AN4)</calculatedColumnFormula>
    </tableColumn>
    <tableColumn id="52" name="列1712" dataDxfId="135"/>
    <tableColumn id="56" name="列17122" dataDxfId="134"/>
    <tableColumn id="55" name="列1713" dataDxfId="133"/>
    <tableColumn id="51" name="列172" dataDxfId="132"/>
    <tableColumn id="50" name="列1724" dataDxfId="131"/>
    <tableColumn id="49" name="列1723" dataDxfId="130"/>
    <tableColumn id="48" name="列1722" dataDxfId="129"/>
    <tableColumn id="47" name="列173" dataDxfId="128"/>
    <tableColumn id="43" name="列174" dataDxfId="127">
      <calculatedColumnFormula>(AS4*AT4+AW4*AX4)/(AS4+AW4)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表7" displayName="表7" ref="B3:Y15" totalsRowShown="0">
  <autoFilter ref="B3:Y15"/>
  <tableColumns count="24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15"/>
    <tableColumn id="13" name="列114"/>
    <tableColumn id="14" name="列113"/>
    <tableColumn id="15" name="列112"/>
    <tableColumn id="26" name="列1125" dataDxfId="126"/>
    <tableColumn id="25" name="列1124" dataDxfId="125"/>
    <tableColumn id="24" name="列1123" dataDxfId="124"/>
    <tableColumn id="23" name="列1122" dataDxfId="123"/>
    <tableColumn id="30" name="列11225" dataDxfId="122"/>
    <tableColumn id="29" name="列11224" dataDxfId="121"/>
    <tableColumn id="28" name="列11223" dataDxfId="120"/>
    <tableColumn id="27" name="列11222" dataDxfId="119"/>
    <tableColumn id="16" name="列112222" dataDxfId="118">
      <calculatedColumnFormula>(Q4*R4+U4*V4)/(Q4+U4)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7"/>
  <sheetViews>
    <sheetView workbookViewId="0">
      <selection activeCell="B31" sqref="B31"/>
    </sheetView>
  </sheetViews>
  <sheetFormatPr defaultRowHeight="13.5"/>
  <cols>
    <col min="1" max="1" width="9" style="196"/>
    <col min="2" max="2" width="39.75" customWidth="1"/>
    <col min="3" max="3" width="11.625" customWidth="1"/>
    <col min="4" max="4" width="10.5" customWidth="1"/>
    <col min="5" max="5" width="10.875" customWidth="1"/>
  </cols>
  <sheetData>
    <row r="1" spans="1:6" ht="16.5">
      <c r="A1" s="192" t="s">
        <v>431</v>
      </c>
      <c r="B1" s="192" t="s">
        <v>432</v>
      </c>
      <c r="C1" s="192" t="s">
        <v>433</v>
      </c>
      <c r="D1" s="192" t="s">
        <v>434</v>
      </c>
      <c r="E1" s="192" t="s">
        <v>435</v>
      </c>
    </row>
    <row r="2" spans="1:6" ht="16.5">
      <c r="A2" s="195" t="s">
        <v>436</v>
      </c>
      <c r="B2" s="193" t="s">
        <v>438</v>
      </c>
      <c r="C2" s="194">
        <v>45.8</v>
      </c>
      <c r="D2" s="194">
        <v>37.299999999999997</v>
      </c>
      <c r="E2" s="194">
        <v>36.83</v>
      </c>
    </row>
    <row r="3" spans="1:6" ht="16.5">
      <c r="A3" s="195" t="s">
        <v>437</v>
      </c>
      <c r="B3" s="193" t="s">
        <v>439</v>
      </c>
      <c r="C3" s="194">
        <v>20.5</v>
      </c>
      <c r="D3" s="194">
        <v>43</v>
      </c>
      <c r="E3" s="194">
        <v>36.590000000000003</v>
      </c>
    </row>
    <row r="4" spans="1:6" ht="16.5">
      <c r="A4" s="195" t="s">
        <v>437</v>
      </c>
      <c r="B4" s="193" t="s">
        <v>440</v>
      </c>
      <c r="C4" s="194">
        <v>2.7</v>
      </c>
      <c r="D4" s="194">
        <v>1.5</v>
      </c>
      <c r="E4" s="194">
        <v>1.79</v>
      </c>
    </row>
    <row r="5" spans="1:6">
      <c r="A5" s="198" t="s">
        <v>441</v>
      </c>
      <c r="B5" s="197" t="s">
        <v>152</v>
      </c>
      <c r="C5" s="191">
        <v>3.8</v>
      </c>
      <c r="D5" s="191">
        <v>3</v>
      </c>
      <c r="E5" s="191">
        <v>4.3</v>
      </c>
    </row>
    <row r="6" spans="1:6">
      <c r="A6" s="198" t="s">
        <v>441</v>
      </c>
      <c r="B6" s="197" t="s">
        <v>154</v>
      </c>
      <c r="C6" s="191">
        <v>13.1</v>
      </c>
      <c r="D6" s="191">
        <v>18</v>
      </c>
      <c r="E6" s="191">
        <v>13.98</v>
      </c>
    </row>
    <row r="7" spans="1:6">
      <c r="A7" s="198" t="s">
        <v>441</v>
      </c>
      <c r="B7" s="197" t="s">
        <v>155</v>
      </c>
      <c r="C7" s="191">
        <v>12.3</v>
      </c>
      <c r="D7" s="191">
        <v>17.2</v>
      </c>
      <c r="E7" s="191">
        <v>21.49</v>
      </c>
    </row>
    <row r="8" spans="1:6">
      <c r="A8" s="198" t="s">
        <v>446</v>
      </c>
      <c r="B8" s="190" t="s">
        <v>124</v>
      </c>
      <c r="C8" s="191">
        <v>5.2</v>
      </c>
      <c r="D8" s="191">
        <v>3.1</v>
      </c>
      <c r="E8" s="191">
        <v>4.53</v>
      </c>
    </row>
    <row r="9" spans="1:6">
      <c r="A9" s="198" t="s">
        <v>443</v>
      </c>
      <c r="B9" s="191" t="s">
        <v>451</v>
      </c>
      <c r="C9" s="211">
        <v>3.15</v>
      </c>
      <c r="D9" s="211">
        <v>0.71</v>
      </c>
      <c r="E9" s="211">
        <v>1.03</v>
      </c>
      <c r="F9" s="212" t="s">
        <v>447</v>
      </c>
    </row>
    <row r="33" spans="1:6" ht="16.5">
      <c r="B33" s="192" t="s">
        <v>432</v>
      </c>
      <c r="C33" s="192" t="s">
        <v>433</v>
      </c>
      <c r="D33" s="192" t="s">
        <v>434</v>
      </c>
      <c r="E33" s="192" t="s">
        <v>435</v>
      </c>
    </row>
    <row r="34" spans="1:6">
      <c r="A34" s="1" t="s">
        <v>68</v>
      </c>
      <c r="B34" s="190" t="s">
        <v>69</v>
      </c>
      <c r="C34" s="200">
        <v>0.95799999999999996</v>
      </c>
      <c r="D34" s="200">
        <v>0.95369999999999999</v>
      </c>
      <c r="E34" s="200">
        <v>0.97760000000000002</v>
      </c>
      <c r="F34" s="201" t="s">
        <v>444</v>
      </c>
    </row>
    <row r="35" spans="1:6">
      <c r="A35" s="325"/>
      <c r="B35" s="190" t="s">
        <v>70</v>
      </c>
      <c r="C35" s="191">
        <v>0.54</v>
      </c>
      <c r="D35" s="191">
        <v>0.5</v>
      </c>
      <c r="E35" s="191">
        <v>0.49</v>
      </c>
      <c r="F35" s="201" t="s">
        <v>444</v>
      </c>
    </row>
    <row r="36" spans="1:6">
      <c r="A36" s="326"/>
      <c r="B36" s="190" t="s">
        <v>71</v>
      </c>
      <c r="C36" s="191">
        <v>0.61</v>
      </c>
      <c r="D36" s="191">
        <v>0.5</v>
      </c>
      <c r="E36" s="191">
        <v>0.61</v>
      </c>
      <c r="F36" s="201" t="s">
        <v>444</v>
      </c>
    </row>
    <row r="37" spans="1:6">
      <c r="A37" s="1" t="s">
        <v>72</v>
      </c>
      <c r="B37" s="190" t="s">
        <v>73</v>
      </c>
      <c r="C37" s="191">
        <v>4.51</v>
      </c>
      <c r="D37" s="191">
        <v>4.9000000000000004</v>
      </c>
      <c r="E37" s="191">
        <v>6.6</v>
      </c>
      <c r="F37" s="201" t="s">
        <v>444</v>
      </c>
    </row>
    <row r="38" spans="1:6">
      <c r="A38" s="325"/>
      <c r="B38" s="190" t="s">
        <v>74</v>
      </c>
      <c r="C38" s="191">
        <v>2.91</v>
      </c>
      <c r="D38" s="191">
        <v>1.8</v>
      </c>
      <c r="E38" s="191">
        <v>2.2400000000000002</v>
      </c>
      <c r="F38" s="201" t="s">
        <v>444</v>
      </c>
    </row>
    <row r="39" spans="1:6">
      <c r="A39" s="325"/>
      <c r="B39" s="190" t="s">
        <v>76</v>
      </c>
      <c r="C39" s="191">
        <v>0.2</v>
      </c>
      <c r="D39" s="191">
        <v>0.4</v>
      </c>
      <c r="E39" s="191">
        <v>0.08</v>
      </c>
      <c r="F39" s="201" t="s">
        <v>444</v>
      </c>
    </row>
    <row r="40" spans="1:6">
      <c r="A40" s="326"/>
      <c r="B40" s="190" t="s">
        <v>77</v>
      </c>
      <c r="C40" s="191">
        <v>0</v>
      </c>
      <c r="D40" s="200">
        <v>1.6500000000000001E-2</v>
      </c>
      <c r="E40" s="191">
        <v>0</v>
      </c>
      <c r="F40" s="201" t="s">
        <v>444</v>
      </c>
    </row>
    <row r="41" spans="1:6">
      <c r="A41" s="1" t="s">
        <v>75</v>
      </c>
      <c r="B41" s="190" t="s">
        <v>78</v>
      </c>
      <c r="C41" s="191">
        <v>0.76</v>
      </c>
      <c r="D41" s="191">
        <v>0.6</v>
      </c>
      <c r="E41" s="191">
        <v>0.88</v>
      </c>
      <c r="F41" s="201" t="s">
        <v>444</v>
      </c>
    </row>
    <row r="42" spans="1:6">
      <c r="A42" s="325"/>
      <c r="B42" s="190" t="s">
        <v>79</v>
      </c>
      <c r="C42" s="191">
        <v>7.0000000000000007E-2</v>
      </c>
      <c r="D42" s="191">
        <v>0.1</v>
      </c>
      <c r="E42" s="191">
        <v>0.26</v>
      </c>
      <c r="F42" s="201" t="s">
        <v>444</v>
      </c>
    </row>
    <row r="43" spans="1:6">
      <c r="A43" s="326"/>
      <c r="B43" s="190" t="s">
        <v>82</v>
      </c>
      <c r="C43" s="191">
        <v>2.0699999999999998</v>
      </c>
      <c r="D43" s="191">
        <v>3</v>
      </c>
      <c r="E43" s="191">
        <v>2.29</v>
      </c>
      <c r="F43" s="202" t="s">
        <v>445</v>
      </c>
    </row>
    <row r="44" spans="1:6">
      <c r="A44" s="1" t="s">
        <v>449</v>
      </c>
      <c r="B44" s="190" t="s">
        <v>126</v>
      </c>
      <c r="C44" s="191">
        <v>0.4</v>
      </c>
      <c r="D44" s="191">
        <v>0.2</v>
      </c>
      <c r="E44" s="191">
        <v>0.34</v>
      </c>
      <c r="F44" s="201" t="s">
        <v>444</v>
      </c>
    </row>
    <row r="45" spans="1:6">
      <c r="A45" s="325"/>
      <c r="B45" s="190" t="s">
        <v>127</v>
      </c>
      <c r="C45" s="200">
        <v>0.99619999999999997</v>
      </c>
      <c r="D45" s="200">
        <v>0.99690000000000001</v>
      </c>
      <c r="E45" s="200">
        <v>1</v>
      </c>
      <c r="F45" s="201" t="s">
        <v>444</v>
      </c>
    </row>
    <row r="46" spans="1:6">
      <c r="A46" s="326"/>
      <c r="B46" s="190" t="s">
        <v>172</v>
      </c>
      <c r="C46" s="200">
        <v>0.99390000000000001</v>
      </c>
      <c r="D46" s="200">
        <v>0.96589999999999998</v>
      </c>
      <c r="E46" s="200">
        <v>0.97889999999999999</v>
      </c>
      <c r="F46" s="201" t="s">
        <v>444</v>
      </c>
    </row>
    <row r="47" spans="1:6">
      <c r="A47" s="1" t="s">
        <v>452</v>
      </c>
      <c r="B47" s="197" t="s">
        <v>156</v>
      </c>
      <c r="C47" s="191">
        <v>0.05</v>
      </c>
      <c r="D47" s="191">
        <v>0.18</v>
      </c>
      <c r="E47" s="191">
        <v>0.06</v>
      </c>
      <c r="F47" s="201" t="s">
        <v>444</v>
      </c>
    </row>
    <row r="48" spans="1:6">
      <c r="A48" s="325"/>
      <c r="B48" s="197" t="s">
        <v>157</v>
      </c>
      <c r="C48" s="200">
        <v>0.31940000000000002</v>
      </c>
      <c r="D48" s="200">
        <v>0.30840000000000001</v>
      </c>
      <c r="E48" s="200">
        <v>0.55769999999999997</v>
      </c>
      <c r="F48" s="201" t="s">
        <v>444</v>
      </c>
    </row>
    <row r="49" spans="1:6">
      <c r="A49" s="325"/>
      <c r="B49" s="197" t="s">
        <v>158</v>
      </c>
      <c r="C49" s="200">
        <v>0.86990000000000001</v>
      </c>
      <c r="D49" s="200">
        <v>0.64780000000000004</v>
      </c>
      <c r="E49" s="200">
        <v>0.89090000000000003</v>
      </c>
      <c r="F49" s="201" t="s">
        <v>444</v>
      </c>
    </row>
    <row r="50" spans="1:6">
      <c r="A50" s="325"/>
      <c r="B50" s="197" t="s">
        <v>334</v>
      </c>
      <c r="C50" s="200">
        <v>0.9103</v>
      </c>
      <c r="D50" s="200">
        <v>0.8871</v>
      </c>
      <c r="E50" s="200">
        <v>0.88170000000000004</v>
      </c>
      <c r="F50" s="202" t="s">
        <v>445</v>
      </c>
    </row>
    <row r="51" spans="1:6">
      <c r="A51" s="326"/>
      <c r="B51" s="197" t="s">
        <v>335</v>
      </c>
      <c r="C51" s="191">
        <v>0</v>
      </c>
      <c r="D51" s="200">
        <v>6.6E-3</v>
      </c>
      <c r="E51" s="200">
        <v>1.6999999999999999E-3</v>
      </c>
      <c r="F51" s="201" t="s">
        <v>444</v>
      </c>
    </row>
    <row r="52" spans="1:6">
      <c r="A52" s="210" t="s">
        <v>450</v>
      </c>
      <c r="B52" s="191" t="s">
        <v>442</v>
      </c>
      <c r="C52" s="199">
        <v>0.99560000000000004</v>
      </c>
      <c r="D52" s="199">
        <v>0.97309999999999997</v>
      </c>
      <c r="E52" s="199">
        <v>0.97799999999999998</v>
      </c>
      <c r="F52" s="213" t="s">
        <v>444</v>
      </c>
    </row>
    <row r="53" spans="1:6">
      <c r="A53" s="205"/>
      <c r="B53" s="207"/>
      <c r="C53" s="206"/>
      <c r="D53" s="208"/>
      <c r="E53" s="208"/>
      <c r="F53" s="209"/>
    </row>
    <row r="54" spans="1:6">
      <c r="A54" s="205"/>
      <c r="B54" s="207"/>
      <c r="C54" s="206"/>
      <c r="D54" s="208"/>
      <c r="E54" s="208"/>
      <c r="F54" s="209"/>
    </row>
    <row r="57" spans="1:6" ht="16.5">
      <c r="B57" s="192" t="s">
        <v>432</v>
      </c>
      <c r="C57" s="192" t="s">
        <v>433</v>
      </c>
      <c r="D57" s="192" t="s">
        <v>434</v>
      </c>
      <c r="E57" s="192" t="s">
        <v>435</v>
      </c>
    </row>
    <row r="58" spans="1:6">
      <c r="A58" s="1" t="s">
        <v>14</v>
      </c>
      <c r="B58" s="190" t="s">
        <v>326</v>
      </c>
      <c r="C58" s="191">
        <v>0</v>
      </c>
      <c r="D58" s="191">
        <v>0.5</v>
      </c>
      <c r="E58" s="191">
        <v>0</v>
      </c>
      <c r="F58" s="201" t="s">
        <v>444</v>
      </c>
    </row>
    <row r="59" spans="1:6">
      <c r="A59" s="325"/>
      <c r="B59" s="190" t="s">
        <v>92</v>
      </c>
      <c r="C59" s="191">
        <v>5.7</v>
      </c>
      <c r="D59" s="191">
        <v>6.5</v>
      </c>
      <c r="E59" s="191">
        <v>5.01</v>
      </c>
      <c r="F59" s="201" t="s">
        <v>444</v>
      </c>
    </row>
    <row r="60" spans="1:6">
      <c r="A60" s="325"/>
      <c r="B60" s="190" t="s">
        <v>93</v>
      </c>
      <c r="C60" s="203">
        <v>7.0000000000000007E-2</v>
      </c>
      <c r="D60" s="200">
        <v>6.7599999999999993E-2</v>
      </c>
      <c r="E60" s="200">
        <v>5.5100000000000003E-2</v>
      </c>
      <c r="F60" s="201" t="s">
        <v>444</v>
      </c>
    </row>
    <row r="61" spans="1:6">
      <c r="A61" s="325"/>
      <c r="B61" s="190" t="s">
        <v>454</v>
      </c>
      <c r="C61" s="191">
        <v>0</v>
      </c>
      <c r="D61" s="191">
        <v>0.3</v>
      </c>
      <c r="E61" s="191">
        <v>1.22</v>
      </c>
      <c r="F61" s="204" t="s">
        <v>447</v>
      </c>
    </row>
    <row r="62" spans="1:6">
      <c r="A62" s="325"/>
      <c r="B62" s="190" t="s">
        <v>453</v>
      </c>
      <c r="C62" s="191">
        <v>0</v>
      </c>
      <c r="D62" s="191">
        <v>0.2</v>
      </c>
      <c r="E62" s="191">
        <v>1.67</v>
      </c>
      <c r="F62" s="204" t="s">
        <v>447</v>
      </c>
    </row>
    <row r="63" spans="1:6">
      <c r="A63" s="326"/>
      <c r="B63" s="190" t="s">
        <v>327</v>
      </c>
      <c r="C63" s="191">
        <v>91.8</v>
      </c>
      <c r="D63" s="191">
        <v>96.9</v>
      </c>
      <c r="E63" s="191">
        <v>82.58</v>
      </c>
      <c r="F63" s="201" t="s">
        <v>444</v>
      </c>
    </row>
    <row r="70" spans="1:6" ht="16.5">
      <c r="B70" s="192" t="s">
        <v>432</v>
      </c>
      <c r="C70" s="192" t="s">
        <v>433</v>
      </c>
      <c r="D70" s="192" t="s">
        <v>434</v>
      </c>
      <c r="E70" s="192" t="s">
        <v>435</v>
      </c>
    </row>
    <row r="71" spans="1:6" ht="14.25">
      <c r="A71" s="1" t="s">
        <v>448</v>
      </c>
      <c r="B71" s="190" t="s">
        <v>95</v>
      </c>
      <c r="C71" s="200">
        <v>0.96799999999999997</v>
      </c>
      <c r="D71" s="200">
        <v>0.97189999999999999</v>
      </c>
      <c r="E71" s="134">
        <f>IFERROR(VLOOKUP($B71,'2019开发'!$B:$Q,3,0),0)</f>
        <v>0.97762259445073807</v>
      </c>
      <c r="F71" s="201" t="s">
        <v>444</v>
      </c>
    </row>
    <row r="72" spans="1:6" ht="14.25">
      <c r="A72" s="325"/>
      <c r="B72" s="190" t="s">
        <v>323</v>
      </c>
      <c r="C72" s="191">
        <v>4.9000000000000004</v>
      </c>
      <c r="D72" s="191">
        <v>3.8</v>
      </c>
      <c r="E72" s="217">
        <f>IFERROR(VLOOKUP($B72,'2019开发'!$B:$Q,3,0),0)</f>
        <v>5.1625167829119434</v>
      </c>
      <c r="F72" s="201" t="s">
        <v>444</v>
      </c>
    </row>
    <row r="73" spans="1:6" ht="14.25">
      <c r="A73" s="325"/>
      <c r="B73" s="190" t="s">
        <v>324</v>
      </c>
      <c r="C73" s="191">
        <v>18.899999999999999</v>
      </c>
      <c r="D73" s="191">
        <v>15.5</v>
      </c>
      <c r="E73" s="218">
        <f>IFERROR(VLOOKUP($B73,'2019开发'!$B:$Q,3,0),0)</f>
        <v>14.109086538461536</v>
      </c>
      <c r="F73" s="201" t="s">
        <v>444</v>
      </c>
    </row>
    <row r="74" spans="1:6" ht="14.25">
      <c r="A74" s="325"/>
      <c r="B74" s="190" t="s">
        <v>325</v>
      </c>
      <c r="C74" s="191">
        <v>1.6</v>
      </c>
      <c r="D74" s="191">
        <v>2.1</v>
      </c>
      <c r="E74" s="217">
        <f>IFERROR(VLOOKUP($B74,'2019开发'!$B:$Q,3,0),0)</f>
        <v>1.5920812807881777</v>
      </c>
      <c r="F74" s="201" t="s">
        <v>444</v>
      </c>
    </row>
    <row r="75" spans="1:6" ht="14.25">
      <c r="A75" s="325"/>
      <c r="B75" s="190" t="s">
        <v>17</v>
      </c>
      <c r="C75" s="191">
        <v>1.8</v>
      </c>
      <c r="D75" s="191">
        <v>2</v>
      </c>
      <c r="E75" s="218">
        <f>IFERROR(VLOOKUP($B75,'2019开发'!$B:$Q,3,0),0)</f>
        <v>1.4690156898656901</v>
      </c>
      <c r="F75" s="201" t="s">
        <v>444</v>
      </c>
    </row>
    <row r="76" spans="1:6" ht="14.25">
      <c r="A76" s="325"/>
      <c r="B76" s="190" t="s">
        <v>18</v>
      </c>
      <c r="C76" s="191">
        <v>1.1000000000000001</v>
      </c>
      <c r="D76" s="191">
        <v>1.1000000000000001</v>
      </c>
      <c r="E76" s="217">
        <f>IFERROR(VLOOKUP($B76,'2019开发'!$B:$Q,3,0),0)</f>
        <v>1.0779439252336447</v>
      </c>
      <c r="F76" s="201" t="s">
        <v>444</v>
      </c>
    </row>
    <row r="77" spans="1:6" ht="14.25">
      <c r="A77" s="326"/>
      <c r="B77" s="190" t="s">
        <v>19</v>
      </c>
      <c r="C77" s="191">
        <v>1.3</v>
      </c>
      <c r="D77" s="191">
        <v>1.4</v>
      </c>
      <c r="E77" s="218">
        <f>IFERROR(VLOOKUP($B77,'2019开发'!$B:$Q,3,0),0)</f>
        <v>1.2893555840821569</v>
      </c>
      <c r="F77" s="201" t="s">
        <v>444</v>
      </c>
    </row>
  </sheetData>
  <mergeCells count="7">
    <mergeCell ref="A34:A36"/>
    <mergeCell ref="A37:A40"/>
    <mergeCell ref="A71:A77"/>
    <mergeCell ref="A44:A46"/>
    <mergeCell ref="A47:A51"/>
    <mergeCell ref="A41:A43"/>
    <mergeCell ref="A58:A63"/>
  </mergeCells>
  <phoneticPr fontId="2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00000"/>
  </sheetPr>
  <dimension ref="A1:CB46"/>
  <sheetViews>
    <sheetView tabSelected="1" workbookViewId="0">
      <pane xSplit="2" ySplit="2" topLeftCell="C33" activePane="bottomRight" state="frozen"/>
      <selection pane="topRight"/>
      <selection pane="bottomLeft"/>
      <selection pane="bottomRight" activeCell="B42" sqref="B42"/>
    </sheetView>
  </sheetViews>
  <sheetFormatPr defaultColWidth="9" defaultRowHeight="17.25"/>
  <cols>
    <col min="1" max="1" width="17.875" style="37" customWidth="1"/>
    <col min="2" max="2" width="39.125" style="37" customWidth="1"/>
    <col min="3" max="35" width="6.875" style="37" hidden="1" customWidth="1"/>
    <col min="36" max="38" width="9" hidden="1" customWidth="1"/>
    <col min="39" max="39" width="9" customWidth="1"/>
    <col min="40" max="40" width="10.125" style="403" bestFit="1" customWidth="1"/>
    <col min="41" max="41" width="9.125" style="151" bestFit="1" customWidth="1"/>
    <col min="42" max="43" width="10.125" bestFit="1" customWidth="1"/>
    <col min="44" max="44" width="7.5" customWidth="1"/>
    <col min="45" max="45" width="8.125" customWidth="1"/>
    <col min="46" max="48" width="8.125" style="403" customWidth="1"/>
    <col min="54" max="55" width="6" customWidth="1"/>
    <col min="56" max="63" width="5.625" style="37" customWidth="1"/>
    <col min="64" max="67" width="5.625" style="37" hidden="1" customWidth="1"/>
    <col min="68" max="69" width="5.625" style="37" customWidth="1"/>
    <col min="70" max="71" width="5.625" style="37" hidden="1" customWidth="1"/>
    <col min="72" max="75" width="5.625" style="37" customWidth="1"/>
    <col min="76" max="77" width="5.625" style="37" hidden="1" customWidth="1"/>
    <col min="78" max="78" width="5.625" style="37" customWidth="1"/>
    <col min="79" max="79" width="41.25" style="37" customWidth="1"/>
    <col min="80" max="83" width="5.625" style="37" customWidth="1"/>
    <col min="84" max="16384" width="9" style="37"/>
  </cols>
  <sheetData>
    <row r="1" spans="1:79" s="54" customFormat="1" ht="16.5" customHeight="1">
      <c r="A1" s="332" t="s">
        <v>23</v>
      </c>
      <c r="B1" s="332" t="s">
        <v>402</v>
      </c>
      <c r="C1" s="330" t="s">
        <v>24</v>
      </c>
      <c r="D1" s="330"/>
      <c r="E1" s="330"/>
      <c r="F1" s="330"/>
      <c r="G1" s="330"/>
      <c r="H1" s="327" t="s">
        <v>25</v>
      </c>
      <c r="I1" s="338"/>
      <c r="J1" s="338"/>
      <c r="K1" s="338"/>
      <c r="L1" s="339"/>
      <c r="M1" s="327" t="s">
        <v>26</v>
      </c>
      <c r="N1" s="338"/>
      <c r="O1" s="338"/>
      <c r="P1" s="338"/>
      <c r="Q1" s="339"/>
      <c r="R1" s="327" t="s">
        <v>27</v>
      </c>
      <c r="S1" s="338"/>
      <c r="T1" s="338"/>
      <c r="U1" s="338"/>
      <c r="V1" s="339"/>
      <c r="W1" s="327" t="s">
        <v>171</v>
      </c>
      <c r="X1" s="338"/>
      <c r="Y1" s="338"/>
      <c r="Z1" s="338"/>
      <c r="AA1" s="327" t="s">
        <v>169</v>
      </c>
      <c r="AB1" s="338"/>
      <c r="AC1" s="338"/>
      <c r="AD1" s="338"/>
      <c r="AE1" s="327" t="s">
        <v>28</v>
      </c>
      <c r="AF1" s="338"/>
      <c r="AG1" s="338"/>
      <c r="AH1" s="339"/>
      <c r="AI1" s="100">
        <v>2015</v>
      </c>
      <c r="AJ1" s="315" t="s">
        <v>430</v>
      </c>
      <c r="AK1" s="315" t="s">
        <v>176</v>
      </c>
      <c r="AL1" s="315" t="s">
        <v>230</v>
      </c>
      <c r="AM1" s="315" t="s">
        <v>421</v>
      </c>
      <c r="AN1" s="315" t="s">
        <v>567</v>
      </c>
      <c r="AO1" s="330" t="s">
        <v>568</v>
      </c>
      <c r="AP1" s="330"/>
      <c r="AQ1" s="330"/>
      <c r="AR1" s="330"/>
      <c r="AS1" s="330"/>
      <c r="AT1" s="327" t="s">
        <v>569</v>
      </c>
      <c r="AU1" s="404"/>
      <c r="AV1" s="405"/>
      <c r="AW1" s="176" t="s">
        <v>410</v>
      </c>
      <c r="AX1" s="176" t="s">
        <v>418</v>
      </c>
      <c r="AY1" s="330">
        <v>2012</v>
      </c>
      <c r="AZ1" s="330"/>
      <c r="BA1" s="330" t="s">
        <v>365</v>
      </c>
      <c r="BB1" s="330"/>
      <c r="BC1" s="330" t="s">
        <v>366</v>
      </c>
      <c r="BD1" s="330"/>
      <c r="BE1" s="330" t="s">
        <v>367</v>
      </c>
      <c r="BF1" s="330"/>
      <c r="BG1" s="330" t="s">
        <v>368</v>
      </c>
      <c r="BH1" s="330"/>
      <c r="BI1" s="330" t="s">
        <v>369</v>
      </c>
      <c r="BJ1" s="330"/>
      <c r="BK1" s="330" t="s">
        <v>370</v>
      </c>
      <c r="BL1" s="330"/>
      <c r="BM1" s="330" t="s">
        <v>371</v>
      </c>
      <c r="BN1" s="330"/>
      <c r="BO1" s="330" t="s">
        <v>372</v>
      </c>
      <c r="BP1" s="330"/>
      <c r="BQ1" s="330" t="s">
        <v>373</v>
      </c>
      <c r="BR1" s="330"/>
      <c r="BS1" s="330" t="s">
        <v>374</v>
      </c>
      <c r="BT1" s="330"/>
      <c r="BU1" s="330" t="s">
        <v>375</v>
      </c>
      <c r="BV1" s="330"/>
      <c r="BW1" s="330" t="s">
        <v>376</v>
      </c>
      <c r="BX1" s="330"/>
      <c r="BY1" s="330" t="s">
        <v>377</v>
      </c>
      <c r="BZ1" s="330"/>
    </row>
    <row r="2" spans="1:79" s="36" customFormat="1" ht="14.25" customHeight="1">
      <c r="A2" s="332"/>
      <c r="B2" s="332"/>
      <c r="C2" s="18" t="s">
        <v>0</v>
      </c>
      <c r="D2" s="18" t="s">
        <v>1</v>
      </c>
      <c r="E2" s="18" t="s">
        <v>29</v>
      </c>
      <c r="F2" s="18" t="s">
        <v>2</v>
      </c>
      <c r="G2" s="18" t="s">
        <v>3</v>
      </c>
      <c r="H2" s="18" t="s">
        <v>0</v>
      </c>
      <c r="I2" s="18" t="s">
        <v>1</v>
      </c>
      <c r="J2" s="18" t="s">
        <v>29</v>
      </c>
      <c r="K2" s="18" t="s">
        <v>2</v>
      </c>
      <c r="L2" s="18" t="s">
        <v>3</v>
      </c>
      <c r="M2" s="18" t="s">
        <v>0</v>
      </c>
      <c r="N2" s="18" t="s">
        <v>1</v>
      </c>
      <c r="O2" s="18" t="s">
        <v>29</v>
      </c>
      <c r="P2" s="18" t="s">
        <v>2</v>
      </c>
      <c r="Q2" s="18" t="s">
        <v>3</v>
      </c>
      <c r="R2" s="18" t="s">
        <v>0</v>
      </c>
      <c r="S2" s="18" t="s">
        <v>1</v>
      </c>
      <c r="T2" s="18" t="s">
        <v>29</v>
      </c>
      <c r="U2" s="18" t="s">
        <v>2</v>
      </c>
      <c r="V2" s="18" t="s">
        <v>3</v>
      </c>
      <c r="W2" s="18" t="s">
        <v>0</v>
      </c>
      <c r="X2" s="18" t="s">
        <v>1</v>
      </c>
      <c r="Y2" s="18" t="s">
        <v>2</v>
      </c>
      <c r="Z2" s="18" t="s">
        <v>3</v>
      </c>
      <c r="AA2" s="18" t="s">
        <v>0</v>
      </c>
      <c r="AB2" s="18" t="s">
        <v>1</v>
      </c>
      <c r="AC2" s="18" t="s">
        <v>2</v>
      </c>
      <c r="AD2" s="18" t="s">
        <v>3</v>
      </c>
      <c r="AE2" s="18" t="s">
        <v>0</v>
      </c>
      <c r="AF2" s="18" t="s">
        <v>1</v>
      </c>
      <c r="AG2" s="18" t="s">
        <v>2</v>
      </c>
      <c r="AH2" s="18" t="s">
        <v>3</v>
      </c>
      <c r="AI2" s="18" t="s">
        <v>1</v>
      </c>
      <c r="AJ2" s="18" t="s">
        <v>1</v>
      </c>
      <c r="AK2" s="69" t="s">
        <v>1</v>
      </c>
      <c r="AL2" s="83" t="s">
        <v>1</v>
      </c>
      <c r="AM2" s="175" t="s">
        <v>1</v>
      </c>
      <c r="AN2" s="316" t="s">
        <v>364</v>
      </c>
      <c r="AO2" s="149" t="s">
        <v>341</v>
      </c>
      <c r="AP2" s="122" t="s">
        <v>364</v>
      </c>
      <c r="AQ2" s="122" t="s">
        <v>363</v>
      </c>
      <c r="AR2" s="18" t="s">
        <v>2</v>
      </c>
      <c r="AS2" s="18" t="s">
        <v>3</v>
      </c>
      <c r="AT2" s="316"/>
      <c r="AU2" s="316"/>
      <c r="AV2" s="316"/>
      <c r="AW2" s="169"/>
      <c r="AX2" s="169"/>
      <c r="AY2" s="122" t="s">
        <v>341</v>
      </c>
      <c r="AZ2" s="122" t="s">
        <v>364</v>
      </c>
      <c r="BA2" s="122" t="s">
        <v>341</v>
      </c>
      <c r="BB2" s="122" t="s">
        <v>364</v>
      </c>
      <c r="BC2" s="122" t="s">
        <v>341</v>
      </c>
      <c r="BD2" s="122" t="s">
        <v>364</v>
      </c>
      <c r="BE2" s="122" t="s">
        <v>341</v>
      </c>
      <c r="BF2" s="122" t="s">
        <v>364</v>
      </c>
      <c r="BG2" s="122" t="s">
        <v>341</v>
      </c>
      <c r="BH2" s="122" t="s">
        <v>364</v>
      </c>
      <c r="BI2" s="122" t="s">
        <v>341</v>
      </c>
      <c r="BJ2" s="122" t="s">
        <v>364</v>
      </c>
      <c r="BK2" s="122" t="s">
        <v>341</v>
      </c>
      <c r="BL2" s="122" t="s">
        <v>364</v>
      </c>
      <c r="BM2" s="122" t="s">
        <v>341</v>
      </c>
      <c r="BN2" s="122" t="s">
        <v>364</v>
      </c>
      <c r="BO2" s="122" t="s">
        <v>341</v>
      </c>
      <c r="BP2" s="122" t="s">
        <v>364</v>
      </c>
      <c r="BQ2" s="122" t="s">
        <v>341</v>
      </c>
      <c r="BR2" s="122" t="s">
        <v>364</v>
      </c>
      <c r="BS2" s="122" t="s">
        <v>341</v>
      </c>
      <c r="BT2" s="122" t="s">
        <v>364</v>
      </c>
      <c r="BU2" s="122" t="s">
        <v>341</v>
      </c>
      <c r="BV2" s="122" t="s">
        <v>364</v>
      </c>
      <c r="BW2" s="122" t="s">
        <v>341</v>
      </c>
      <c r="BX2" s="122" t="s">
        <v>364</v>
      </c>
      <c r="BY2" s="122" t="s">
        <v>341</v>
      </c>
      <c r="BZ2" s="122" t="s">
        <v>364</v>
      </c>
    </row>
    <row r="3" spans="1:79" s="36" customFormat="1" ht="14.25" customHeight="1">
      <c r="A3" s="333" t="s">
        <v>398</v>
      </c>
      <c r="B3" s="57" t="s">
        <v>4</v>
      </c>
      <c r="C3" s="62" t="s">
        <v>5</v>
      </c>
      <c r="D3" s="63" t="s">
        <v>6</v>
      </c>
      <c r="E3" s="63" t="s">
        <v>7</v>
      </c>
      <c r="F3" s="63" t="s">
        <v>8</v>
      </c>
      <c r="G3" s="63" t="s">
        <v>9</v>
      </c>
      <c r="H3" s="58" t="s">
        <v>10</v>
      </c>
      <c r="I3" s="19" t="s">
        <v>11</v>
      </c>
      <c r="J3" s="19" t="s">
        <v>12</v>
      </c>
      <c r="K3" s="19" t="s">
        <v>13</v>
      </c>
      <c r="L3" s="19" t="s">
        <v>20</v>
      </c>
      <c r="M3" s="19" t="s">
        <v>30</v>
      </c>
      <c r="N3" s="19" t="s">
        <v>31</v>
      </c>
      <c r="O3" s="19" t="s">
        <v>32</v>
      </c>
      <c r="P3" s="19" t="s">
        <v>33</v>
      </c>
      <c r="Q3" s="19" t="s">
        <v>34</v>
      </c>
      <c r="R3" s="19" t="s">
        <v>35</v>
      </c>
      <c r="S3" s="19" t="s">
        <v>36</v>
      </c>
      <c r="T3" s="19" t="s">
        <v>37</v>
      </c>
      <c r="U3" s="19" t="s">
        <v>38</v>
      </c>
      <c r="V3" s="19" t="s">
        <v>39</v>
      </c>
      <c r="W3" s="19" t="s">
        <v>49</v>
      </c>
      <c r="X3" s="19" t="s">
        <v>50</v>
      </c>
      <c r="Y3" s="19" t="s">
        <v>51</v>
      </c>
      <c r="Z3" s="19" t="s">
        <v>52</v>
      </c>
      <c r="AA3" s="19" t="s">
        <v>168</v>
      </c>
      <c r="AB3" s="19" t="s">
        <v>167</v>
      </c>
      <c r="AC3" s="19" t="s">
        <v>166</v>
      </c>
      <c r="AD3" s="19" t="s">
        <v>165</v>
      </c>
      <c r="AE3" s="58" t="s">
        <v>40</v>
      </c>
      <c r="AF3" s="19" t="s">
        <v>41</v>
      </c>
      <c r="AG3" s="19" t="s">
        <v>43</v>
      </c>
      <c r="AH3" s="19" t="s">
        <v>44</v>
      </c>
      <c r="AI3" s="19" t="s">
        <v>45</v>
      </c>
      <c r="AJ3" s="19" t="s">
        <v>170</v>
      </c>
      <c r="AK3" s="19" t="s">
        <v>175</v>
      </c>
      <c r="AL3" s="19" t="s">
        <v>229</v>
      </c>
      <c r="AM3" s="19" t="s">
        <v>420</v>
      </c>
      <c r="AN3" s="20" t="s">
        <v>566</v>
      </c>
      <c r="AO3" s="150" t="s">
        <v>53</v>
      </c>
      <c r="AP3" s="20" t="s">
        <v>164</v>
      </c>
      <c r="AQ3" s="20" t="s">
        <v>246</v>
      </c>
      <c r="AR3" s="20" t="s">
        <v>54</v>
      </c>
      <c r="AS3" s="20" t="s">
        <v>55</v>
      </c>
      <c r="AT3" s="20" t="s">
        <v>565</v>
      </c>
      <c r="AU3" s="20" t="s">
        <v>564</v>
      </c>
      <c r="AV3" s="20" t="s">
        <v>563</v>
      </c>
      <c r="AW3" s="20" t="s">
        <v>412</v>
      </c>
      <c r="AX3" s="20" t="s">
        <v>419</v>
      </c>
      <c r="AY3" s="20" t="s">
        <v>53</v>
      </c>
      <c r="AZ3" s="20" t="s">
        <v>164</v>
      </c>
      <c r="BA3" s="20" t="s">
        <v>53</v>
      </c>
      <c r="BB3" s="20" t="s">
        <v>164</v>
      </c>
      <c r="BC3" s="20" t="s">
        <v>53</v>
      </c>
      <c r="BD3" s="20" t="s">
        <v>164</v>
      </c>
      <c r="BE3" s="20" t="s">
        <v>53</v>
      </c>
      <c r="BF3" s="20" t="s">
        <v>164</v>
      </c>
      <c r="BG3" s="20" t="s">
        <v>53</v>
      </c>
      <c r="BH3" s="20" t="s">
        <v>164</v>
      </c>
      <c r="BI3" s="20" t="s">
        <v>53</v>
      </c>
      <c r="BJ3" s="20" t="s">
        <v>164</v>
      </c>
      <c r="BK3" s="20" t="s">
        <v>53</v>
      </c>
      <c r="BL3" s="20" t="s">
        <v>164</v>
      </c>
      <c r="BM3" s="20" t="s">
        <v>53</v>
      </c>
      <c r="BN3" s="20" t="s">
        <v>164</v>
      </c>
      <c r="BO3" s="20" t="s">
        <v>53</v>
      </c>
      <c r="BP3" s="20" t="s">
        <v>164</v>
      </c>
      <c r="BQ3" s="20" t="s">
        <v>53</v>
      </c>
      <c r="BR3" s="20" t="s">
        <v>164</v>
      </c>
      <c r="BS3" s="20" t="s">
        <v>53</v>
      </c>
      <c r="BT3" s="20" t="s">
        <v>164</v>
      </c>
      <c r="BU3" s="20" t="s">
        <v>53</v>
      </c>
      <c r="BV3" s="20" t="s">
        <v>164</v>
      </c>
      <c r="BW3" s="20" t="s">
        <v>53</v>
      </c>
      <c r="BX3" s="20" t="s">
        <v>164</v>
      </c>
      <c r="BY3" s="20" t="s">
        <v>53</v>
      </c>
      <c r="BZ3" s="20" t="s">
        <v>164</v>
      </c>
    </row>
    <row r="4" spans="1:79" s="36" customFormat="1" ht="16.5">
      <c r="A4" s="333"/>
      <c r="B4" s="167" t="s">
        <v>56</v>
      </c>
      <c r="C4" s="3">
        <v>99</v>
      </c>
      <c r="D4" s="4">
        <v>42.898949410169003</v>
      </c>
      <c r="E4" s="4">
        <v>12.0438903313051</v>
      </c>
      <c r="F4" s="4">
        <v>54.942839741474103</v>
      </c>
      <c r="G4" s="4">
        <v>30.855059078863899</v>
      </c>
      <c r="H4" s="3">
        <v>116</v>
      </c>
      <c r="I4" s="4">
        <v>43.371293833516702</v>
      </c>
      <c r="J4" s="4">
        <v>14.4941942983579</v>
      </c>
      <c r="K4" s="4">
        <v>57.865488131874599</v>
      </c>
      <c r="L4" s="4">
        <v>28.877099535158798</v>
      </c>
      <c r="M4" s="3">
        <v>155</v>
      </c>
      <c r="N4" s="4">
        <v>42.644264321503002</v>
      </c>
      <c r="O4" s="4">
        <v>15.354458945650199</v>
      </c>
      <c r="P4" s="4">
        <v>57.998723267153302</v>
      </c>
      <c r="Q4" s="4">
        <v>27.289805375852801</v>
      </c>
      <c r="R4" s="3">
        <v>128</v>
      </c>
      <c r="S4" s="4">
        <v>44.897512466097098</v>
      </c>
      <c r="T4" s="4">
        <v>14.946301765645</v>
      </c>
      <c r="U4" s="4">
        <v>59.843814231742002</v>
      </c>
      <c r="V4" s="4">
        <v>29.951210700452101</v>
      </c>
      <c r="W4" s="3">
        <v>192</v>
      </c>
      <c r="X4" s="4">
        <v>46.377280161139304</v>
      </c>
      <c r="Y4" s="4">
        <v>66.330201973237294</v>
      </c>
      <c r="Z4" s="4">
        <v>26.424358349041299</v>
      </c>
      <c r="AA4" s="3">
        <v>224</v>
      </c>
      <c r="AB4" s="4">
        <v>45.331685907370698</v>
      </c>
      <c r="AC4" s="4">
        <v>55.091745004371859</v>
      </c>
      <c r="AD4" s="4">
        <v>35.571626810369537</v>
      </c>
      <c r="AE4" s="3">
        <v>215</v>
      </c>
      <c r="AF4" s="4">
        <v>43.153795703696098</v>
      </c>
      <c r="AG4" s="4">
        <v>56.5469743013808</v>
      </c>
      <c r="AH4" s="4">
        <v>29.760617106011399</v>
      </c>
      <c r="AI4" s="4">
        <f t="shared" ref="AI4:AI29" si="0">SUM(N4*$M4,S4*$R4)/SUM($M4,$R4)</f>
        <v>43.663401291496093</v>
      </c>
      <c r="AJ4" s="4">
        <v>45.814267870648514</v>
      </c>
      <c r="AK4" s="4">
        <v>35.226084775310419</v>
      </c>
      <c r="AL4" s="4">
        <v>39.436427738950606</v>
      </c>
      <c r="AM4" s="223">
        <f>(表1[[#This Row],[列1682243]]+AL4)/2</f>
        <v>37.331256257130512</v>
      </c>
      <c r="AN4" s="132">
        <v>36.827056462960918</v>
      </c>
      <c r="AO4" s="15">
        <f>IFERROR(VLOOKUP($B4,'2019开发'!$B:$Q,2,0),0)</f>
        <v>0</v>
      </c>
      <c r="AP4" s="6">
        <f>IFERROR(VLOOKUP($B4,'2019开发'!$B:$Q,3,0),0)</f>
        <v>0</v>
      </c>
      <c r="AQ4" s="132">
        <f>IFERROR(VLOOKUP($B4,'2019开发'!$B:$Q,4,0),0)</f>
        <v>0</v>
      </c>
      <c r="AR4" s="132">
        <f>IFERROR(VLOOKUP($B4,'2019开发'!$B:$Q,5,0),0)</f>
        <v>0</v>
      </c>
      <c r="AS4" s="132">
        <f>IFERROR(VLOOKUP($B4,'2019开发'!$B:$Q,6,0),0)</f>
        <v>0</v>
      </c>
      <c r="AT4" s="132">
        <f>表1[[#This Row],[列172]]*1.1</f>
        <v>0</v>
      </c>
      <c r="AU4" s="132">
        <f>表1[[#This Row],[列18]]*1.1</f>
        <v>0</v>
      </c>
      <c r="AV4" s="132">
        <f>表1[[#This Row],[列19]]*1.1</f>
        <v>0</v>
      </c>
      <c r="AW4" s="4" t="s">
        <v>411</v>
      </c>
      <c r="AX4" s="4" t="str">
        <f>IF(AP4&gt;=AM4,"Up","Down")</f>
        <v>Down</v>
      </c>
      <c r="AY4" s="17">
        <v>29</v>
      </c>
      <c r="AZ4" s="219">
        <v>26.091034482758619</v>
      </c>
      <c r="BA4" s="17">
        <v>175</v>
      </c>
      <c r="BB4" s="219">
        <v>34.285576933570596</v>
      </c>
      <c r="BC4" s="17">
        <v>7</v>
      </c>
      <c r="BD4" s="219">
        <v>50.214285714285715</v>
      </c>
      <c r="BE4" s="17">
        <v>164</v>
      </c>
      <c r="BF4" s="219">
        <v>31.688746016161055</v>
      </c>
      <c r="BG4" s="17"/>
      <c r="BH4" s="145"/>
      <c r="BI4" s="17"/>
      <c r="BJ4" s="145"/>
      <c r="BK4" s="17">
        <v>59</v>
      </c>
      <c r="BL4" s="219">
        <v>34.74</v>
      </c>
      <c r="BM4" s="145"/>
      <c r="BN4" s="145"/>
      <c r="BO4" s="17"/>
      <c r="BP4" s="219"/>
      <c r="BQ4" s="17">
        <v>53</v>
      </c>
      <c r="BR4" s="219">
        <v>55.308849248931075</v>
      </c>
      <c r="BS4" s="17"/>
      <c r="BT4" s="219"/>
      <c r="BU4" s="17">
        <v>40</v>
      </c>
      <c r="BV4" s="219">
        <v>65.99570929589386</v>
      </c>
      <c r="BW4" s="17"/>
      <c r="BX4" s="219"/>
      <c r="BY4" s="17">
        <v>52</v>
      </c>
      <c r="BZ4" s="219">
        <v>26.86419230769231</v>
      </c>
    </row>
    <row r="5" spans="1:79" s="36" customFormat="1" ht="16.5">
      <c r="A5" s="333"/>
      <c r="B5" s="152" t="s">
        <v>57</v>
      </c>
      <c r="C5" s="3">
        <v>89</v>
      </c>
      <c r="D5" s="4">
        <v>65.155946416951906</v>
      </c>
      <c r="E5" s="4">
        <v>15.9939511264431</v>
      </c>
      <c r="F5" s="4">
        <v>81.1498975433949</v>
      </c>
      <c r="G5" s="4">
        <v>49.161995290508798</v>
      </c>
      <c r="H5" s="3">
        <v>29</v>
      </c>
      <c r="I5" s="4">
        <v>75.329196007140595</v>
      </c>
      <c r="J5" s="4">
        <v>29.007588505685501</v>
      </c>
      <c r="K5" s="4">
        <v>104.336784512826</v>
      </c>
      <c r="L5" s="4">
        <v>46.321607501455098</v>
      </c>
      <c r="M5" s="3">
        <v>103</v>
      </c>
      <c r="N5" s="4">
        <v>69.020248824368807</v>
      </c>
      <c r="O5" s="4">
        <v>24.051410485448301</v>
      </c>
      <c r="P5" s="4">
        <v>93.071659309817093</v>
      </c>
      <c r="Q5" s="4">
        <v>44.968838338920499</v>
      </c>
      <c r="R5" s="3">
        <v>81</v>
      </c>
      <c r="S5" s="4">
        <v>76.770499371647603</v>
      </c>
      <c r="T5" s="4">
        <v>43.357964123907003</v>
      </c>
      <c r="U5" s="4">
        <v>120.128463495555</v>
      </c>
      <c r="V5" s="4">
        <v>33.4125352477406</v>
      </c>
      <c r="W5" s="3">
        <v>137</v>
      </c>
      <c r="X5" s="4">
        <v>76.562794039076707</v>
      </c>
      <c r="Y5" s="4">
        <v>113.097069932579</v>
      </c>
      <c r="Z5" s="4">
        <v>40.028518145574502</v>
      </c>
      <c r="AA5" s="3">
        <v>149</v>
      </c>
      <c r="AB5" s="4">
        <v>73.45927836148249</v>
      </c>
      <c r="AC5" s="4">
        <v>92.221451205805252</v>
      </c>
      <c r="AD5" s="4">
        <v>54.697105517159727</v>
      </c>
      <c r="AE5" s="3">
        <v>118</v>
      </c>
      <c r="AF5" s="4">
        <v>67.656151824710093</v>
      </c>
      <c r="AG5" s="4">
        <v>87.981503127160195</v>
      </c>
      <c r="AH5" s="4">
        <v>47.330800522259899</v>
      </c>
      <c r="AI5" s="4">
        <f t="shared" si="0"/>
        <v>72.432043902246974</v>
      </c>
      <c r="AJ5" s="4">
        <v>74.945927479770617</v>
      </c>
      <c r="AK5" s="4">
        <v>60.441495099219281</v>
      </c>
      <c r="AL5" s="4">
        <v>46.640802843443758</v>
      </c>
      <c r="AM5" s="223">
        <f>(表1[[#This Row],[列1682243]]+AL5)/2</f>
        <v>53.541148971331523</v>
      </c>
      <c r="AN5" s="132">
        <v>58.483800822120088</v>
      </c>
      <c r="AO5" s="15">
        <f>IFERROR(VLOOKUP($B5,'2019开发'!$B:$Q,2,0),0)</f>
        <v>0</v>
      </c>
      <c r="AP5" s="6">
        <f>IFERROR(VLOOKUP($B5,'2019开发'!$B:$Q,3,0),0)</f>
        <v>0</v>
      </c>
      <c r="AQ5" s="132">
        <f>IFERROR(VLOOKUP($B5,'2019开发'!$B:$Q,4,0),0)</f>
        <v>0</v>
      </c>
      <c r="AR5" s="132">
        <f>IFERROR(VLOOKUP($B5,'2019开发'!$B:$Q,5,0),0)</f>
        <v>0</v>
      </c>
      <c r="AS5" s="132">
        <f>IFERROR(VLOOKUP($B5,'2019开发'!$B:$Q,6,0),0)</f>
        <v>0</v>
      </c>
      <c r="AT5" s="132">
        <f>表1[[#This Row],[列172]]*1.1</f>
        <v>0</v>
      </c>
      <c r="AU5" s="132">
        <f>表1[[#This Row],[列18]]*1.1</f>
        <v>0</v>
      </c>
      <c r="AV5" s="132">
        <f>表1[[#This Row],[列19]]*1.1</f>
        <v>0</v>
      </c>
      <c r="AW5" s="4"/>
      <c r="AX5" s="4" t="str">
        <f>IF(AP5&gt;=AM5,"Up","Down")</f>
        <v>Down</v>
      </c>
      <c r="AY5" s="17">
        <v>7</v>
      </c>
      <c r="AZ5" s="219">
        <v>61.134673385948886</v>
      </c>
      <c r="BA5" s="17">
        <v>108</v>
      </c>
      <c r="BB5" s="219">
        <v>57.331417364961688</v>
      </c>
      <c r="BC5" s="17"/>
      <c r="BD5" s="219"/>
      <c r="BE5" s="17">
        <v>162</v>
      </c>
      <c r="BF5" s="219">
        <v>44.34578180834265</v>
      </c>
      <c r="BG5" s="17"/>
      <c r="BH5" s="145"/>
      <c r="BI5" s="17"/>
      <c r="BJ5" s="145"/>
      <c r="BK5" s="17"/>
      <c r="BL5" s="219"/>
      <c r="BM5" s="145"/>
      <c r="BN5" s="145"/>
      <c r="BO5" s="17"/>
      <c r="BP5" s="219"/>
      <c r="BQ5" s="17">
        <v>52</v>
      </c>
      <c r="BR5" s="219">
        <v>68.376677169632075</v>
      </c>
      <c r="BS5" s="17"/>
      <c r="BT5" s="219"/>
      <c r="BU5" s="17">
        <v>40</v>
      </c>
      <c r="BV5" s="219">
        <v>105.5295712118108</v>
      </c>
      <c r="BW5" s="17"/>
      <c r="BX5" s="219"/>
      <c r="BY5" s="17"/>
      <c r="BZ5" s="219"/>
    </row>
    <row r="6" spans="1:79" s="36" customFormat="1" ht="16.5">
      <c r="A6" s="333"/>
      <c r="B6" s="168" t="s">
        <v>58</v>
      </c>
      <c r="C6" s="3"/>
      <c r="D6" s="4"/>
      <c r="E6" s="4"/>
      <c r="F6" s="4"/>
      <c r="G6" s="4"/>
      <c r="H6" s="3">
        <v>24</v>
      </c>
      <c r="I6" s="4">
        <v>32.256158382678699</v>
      </c>
      <c r="J6" s="4">
        <v>9.2756810851419704</v>
      </c>
      <c r="K6" s="4">
        <v>41.531839467820603</v>
      </c>
      <c r="L6" s="4">
        <v>22.980477297536702</v>
      </c>
      <c r="M6" s="3">
        <v>25</v>
      </c>
      <c r="N6" s="4">
        <v>34.715921645361597</v>
      </c>
      <c r="O6" s="4">
        <v>11.230732761326299</v>
      </c>
      <c r="P6" s="4">
        <v>45.946654406687799</v>
      </c>
      <c r="Q6" s="4">
        <v>23.485188884035299</v>
      </c>
      <c r="R6" s="3">
        <v>55</v>
      </c>
      <c r="S6" s="4">
        <v>38.802854777863402</v>
      </c>
      <c r="T6" s="4">
        <v>8</v>
      </c>
      <c r="U6" s="4">
        <v>54.489186863394401</v>
      </c>
      <c r="V6" s="4">
        <v>23.0892499650597</v>
      </c>
      <c r="W6" s="3">
        <v>68</v>
      </c>
      <c r="X6" s="4">
        <v>40.313051821470701</v>
      </c>
      <c r="Y6" s="4">
        <v>58.223252387335997</v>
      </c>
      <c r="Z6" s="4">
        <v>22.402851255605501</v>
      </c>
      <c r="AA6" s="3">
        <v>75</v>
      </c>
      <c r="AB6" s="4">
        <v>40.313051821470701</v>
      </c>
      <c r="AC6" s="4">
        <v>58.223252387335997</v>
      </c>
      <c r="AD6" s="4">
        <v>22.402851255605501</v>
      </c>
      <c r="AE6" s="3">
        <v>24</v>
      </c>
      <c r="AF6" s="4">
        <v>32.256158382678699</v>
      </c>
      <c r="AG6" s="4">
        <v>41.531839467820603</v>
      </c>
      <c r="AH6" s="4">
        <v>22.980477297536702</v>
      </c>
      <c r="AI6" s="4">
        <f t="shared" si="0"/>
        <v>37.525688173956588</v>
      </c>
      <c r="AJ6" s="4">
        <v>20.5</v>
      </c>
      <c r="AK6" s="4">
        <v>43.502901994990268</v>
      </c>
      <c r="AL6" s="4">
        <v>42.587090464612743</v>
      </c>
      <c r="AM6" s="223">
        <f>(表1[[#This Row],[列1682243]]+AL6)/2</f>
        <v>43.044996229801505</v>
      </c>
      <c r="AN6" s="132">
        <v>36.590616211941111</v>
      </c>
      <c r="AO6" s="15">
        <v>615</v>
      </c>
      <c r="AP6" s="6">
        <v>37.551501741902861</v>
      </c>
      <c r="AQ6" s="132">
        <v>13.172284119113808</v>
      </c>
      <c r="AR6" s="132">
        <v>50.723785861016665</v>
      </c>
      <c r="AS6" s="132">
        <v>24.379217622789053</v>
      </c>
      <c r="AT6" s="132">
        <f>表1[[#This Row],[列172]]*1.1</f>
        <v>41.306651916093152</v>
      </c>
      <c r="AU6" s="132">
        <f>表1[[#This Row],[列18]]*1.1</f>
        <v>55.796164447118336</v>
      </c>
      <c r="AV6" s="132">
        <f>表1[[#This Row],[列19]]*1.1</f>
        <v>26.817139385067961</v>
      </c>
      <c r="AW6" s="4" t="s">
        <v>413</v>
      </c>
      <c r="AX6" s="4" t="str">
        <f>IF(AP6&gt;=AM6,"Up","Down")</f>
        <v>Down</v>
      </c>
      <c r="AY6" s="17"/>
      <c r="AZ6" s="219"/>
      <c r="BA6" s="17"/>
      <c r="BB6" s="219"/>
      <c r="BC6" s="17"/>
      <c r="BD6" s="219"/>
      <c r="BE6" s="17"/>
      <c r="BF6" s="219"/>
      <c r="BG6" s="17"/>
      <c r="BH6" s="145"/>
      <c r="BI6" s="17"/>
      <c r="BJ6" s="145"/>
      <c r="BK6" s="17"/>
      <c r="BL6" s="219"/>
      <c r="BM6" s="17"/>
      <c r="BN6" s="145"/>
      <c r="BO6" s="17">
        <v>22</v>
      </c>
      <c r="BP6" s="219">
        <v>29.497363636363637</v>
      </c>
      <c r="BQ6" s="17">
        <v>55</v>
      </c>
      <c r="BR6" s="219">
        <v>43.831144636908888</v>
      </c>
      <c r="BS6" s="17"/>
      <c r="BT6" s="219"/>
      <c r="BU6" s="17"/>
      <c r="BV6" s="219"/>
      <c r="BW6" s="17">
        <v>93</v>
      </c>
      <c r="BX6" s="219">
        <v>33.986556999999998</v>
      </c>
      <c r="BY6" s="17"/>
      <c r="BZ6" s="219"/>
      <c r="CA6" s="139" t="s">
        <v>573</v>
      </c>
    </row>
    <row r="7" spans="1:79" s="36" customFormat="1" ht="16.5">
      <c r="A7" s="333"/>
      <c r="B7" s="153" t="s">
        <v>59</v>
      </c>
      <c r="C7" s="3"/>
      <c r="D7" s="4"/>
      <c r="E7" s="4"/>
      <c r="F7" s="4"/>
      <c r="G7" s="4"/>
      <c r="H7" s="3"/>
      <c r="I7" s="4"/>
      <c r="J7" s="4"/>
      <c r="K7" s="4"/>
      <c r="L7" s="4"/>
      <c r="M7" s="3">
        <v>22</v>
      </c>
      <c r="N7" s="4">
        <v>51.613886093164403</v>
      </c>
      <c r="O7" s="4">
        <v>21.406814672799399</v>
      </c>
      <c r="P7" s="4">
        <v>73.020700765963795</v>
      </c>
      <c r="Q7" s="4">
        <v>30.207071420365001</v>
      </c>
      <c r="R7" s="3">
        <v>19</v>
      </c>
      <c r="S7" s="4">
        <v>55.7</v>
      </c>
      <c r="T7" s="4">
        <v>20.3</v>
      </c>
      <c r="U7" s="4">
        <v>75.2</v>
      </c>
      <c r="V7" s="4">
        <v>30.5</v>
      </c>
      <c r="W7" s="3"/>
      <c r="X7" s="4"/>
      <c r="Y7" s="4"/>
      <c r="Z7" s="4"/>
      <c r="AA7" s="3"/>
      <c r="AB7" s="4"/>
      <c r="AC7" s="4"/>
      <c r="AD7" s="4"/>
      <c r="AE7" s="3"/>
      <c r="AF7" s="4"/>
      <c r="AG7" s="4"/>
      <c r="AH7" s="4"/>
      <c r="AI7" s="4">
        <f t="shared" si="0"/>
        <v>53.507451074380896</v>
      </c>
      <c r="AJ7" s="4"/>
      <c r="AK7" s="4"/>
      <c r="AL7" s="4">
        <v>60.699973995184891</v>
      </c>
      <c r="AM7" s="223">
        <f>AL7</f>
        <v>60.699973995184891</v>
      </c>
      <c r="AN7" s="132">
        <v>49.027059820035667</v>
      </c>
      <c r="AO7" s="15">
        <v>458</v>
      </c>
      <c r="AP7" s="6">
        <v>55.0455404309307</v>
      </c>
      <c r="AQ7" s="132">
        <v>19.656418989602606</v>
      </c>
      <c r="AR7" s="132">
        <v>74.701959420533314</v>
      </c>
      <c r="AS7" s="132">
        <v>35.389121441328093</v>
      </c>
      <c r="AT7" s="132">
        <f>表1[[#This Row],[列172]]*1.1</f>
        <v>60.550094474023773</v>
      </c>
      <c r="AU7" s="132">
        <f>表1[[#This Row],[列18]]*1.1</f>
        <v>82.172155362586651</v>
      </c>
      <c r="AV7" s="132">
        <f>表1[[#This Row],[列19]]*1.1</f>
        <v>38.928033585460909</v>
      </c>
      <c r="AW7" s="4"/>
      <c r="AX7" s="4" t="str">
        <f>IF(AP7&gt;=AM7,"Up","Down")</f>
        <v>Down</v>
      </c>
      <c r="AY7" s="17"/>
      <c r="AZ7" s="219"/>
      <c r="BA7" s="17"/>
      <c r="BB7" s="219"/>
      <c r="BC7" s="17"/>
      <c r="BD7" s="219"/>
      <c r="BE7" s="17"/>
      <c r="BF7" s="219"/>
      <c r="BG7" s="17"/>
      <c r="BH7" s="145"/>
      <c r="BI7" s="17"/>
      <c r="BJ7" s="145"/>
      <c r="BK7" s="17"/>
      <c r="BL7" s="219"/>
      <c r="BM7" s="17"/>
      <c r="BN7" s="145"/>
      <c r="BO7" s="17"/>
      <c r="BP7" s="219"/>
      <c r="BQ7" s="17">
        <v>67</v>
      </c>
      <c r="BR7" s="219">
        <v>53.707874350812816</v>
      </c>
      <c r="BS7" s="17"/>
      <c r="BT7" s="219"/>
      <c r="BU7" s="17"/>
      <c r="BV7" s="219"/>
      <c r="BW7" s="17">
        <v>58</v>
      </c>
      <c r="BX7" s="219">
        <v>43.619911999999999</v>
      </c>
      <c r="BY7" s="17"/>
      <c r="BZ7" s="219"/>
      <c r="CA7" s="140" t="s">
        <v>378</v>
      </c>
    </row>
    <row r="8" spans="1:79" s="36" customFormat="1" ht="16.5">
      <c r="A8" s="333"/>
      <c r="B8" s="153" t="s">
        <v>60</v>
      </c>
      <c r="C8" s="3"/>
      <c r="D8" s="4"/>
      <c r="E8" s="4"/>
      <c r="F8" s="4"/>
      <c r="G8" s="4"/>
      <c r="H8" s="3"/>
      <c r="I8" s="4"/>
      <c r="J8" s="4"/>
      <c r="K8" s="4"/>
      <c r="L8" s="4"/>
      <c r="M8" s="3">
        <v>60</v>
      </c>
      <c r="N8" s="4">
        <v>2.58775754228146</v>
      </c>
      <c r="O8" s="4">
        <v>1.88210768197804</v>
      </c>
      <c r="P8" s="4">
        <v>4.4698652242595003</v>
      </c>
      <c r="Q8" s="4">
        <v>0.70564986030341903</v>
      </c>
      <c r="R8" s="3">
        <v>74</v>
      </c>
      <c r="S8" s="4">
        <v>2.63010555259374</v>
      </c>
      <c r="T8" s="4">
        <v>3.1051521417640799</v>
      </c>
      <c r="U8" s="4">
        <v>5.73525769435782</v>
      </c>
      <c r="V8" s="4">
        <v>0</v>
      </c>
      <c r="W8" s="3">
        <v>129</v>
      </c>
      <c r="X8" s="4">
        <v>2.8124822293559499</v>
      </c>
      <c r="Y8" s="4">
        <v>4.6557247067573204</v>
      </c>
      <c r="Z8" s="4">
        <v>0.969239751954587</v>
      </c>
      <c r="AA8" s="3">
        <v>75</v>
      </c>
      <c r="AB8" s="4">
        <v>2.5686977560046942</v>
      </c>
      <c r="AC8" s="4">
        <v>4.2008331956005618</v>
      </c>
      <c r="AD8" s="4">
        <v>0.93656231640882659</v>
      </c>
      <c r="AE8" s="3"/>
      <c r="AF8" s="4"/>
      <c r="AG8" s="4"/>
      <c r="AH8" s="4"/>
      <c r="AI8" s="4">
        <f t="shared" si="0"/>
        <v>2.6111437569315252</v>
      </c>
      <c r="AJ8" s="4">
        <v>2.7228555847415175</v>
      </c>
      <c r="AK8" s="4"/>
      <c r="AL8" s="4">
        <v>1.541006602006761</v>
      </c>
      <c r="AM8" s="223">
        <f>AL8</f>
        <v>1.541006602006761</v>
      </c>
      <c r="AN8" s="132">
        <v>1.7904614527593563</v>
      </c>
      <c r="AO8" s="15">
        <v>365</v>
      </c>
      <c r="AP8" s="6">
        <v>2.0752878549320637</v>
      </c>
      <c r="AQ8" s="132">
        <v>2.5171960220021306</v>
      </c>
      <c r="AR8" s="132">
        <v>4.5924838769341942</v>
      </c>
      <c r="AS8" s="132">
        <v>0</v>
      </c>
      <c r="AT8" s="132">
        <f>表1[[#This Row],[列172]]*1.1</f>
        <v>2.2828166404252701</v>
      </c>
      <c r="AU8" s="132">
        <f>表1[[#This Row],[列18]]*1.1</f>
        <v>5.0517322646276144</v>
      </c>
      <c r="AV8" s="132">
        <f>表1[[#This Row],[列19]]*1.1</f>
        <v>0</v>
      </c>
      <c r="AW8" s="4" t="s">
        <v>413</v>
      </c>
      <c r="AX8" s="4" t="str">
        <f>IF(AP8&gt;=AM8,"Up","Down")</f>
        <v>Up</v>
      </c>
      <c r="AY8" s="4"/>
      <c r="AZ8" s="219"/>
      <c r="BA8" s="4"/>
      <c r="BB8" s="219"/>
      <c r="BC8" s="4"/>
      <c r="BD8" s="219"/>
      <c r="BE8" s="4"/>
      <c r="BF8" s="219"/>
      <c r="BG8" s="4"/>
      <c r="BH8" s="145"/>
      <c r="BI8" s="4"/>
      <c r="BJ8" s="145"/>
      <c r="BK8" s="4"/>
      <c r="BL8" s="219"/>
      <c r="BM8" s="4"/>
      <c r="BN8" s="145"/>
      <c r="BO8" s="4"/>
      <c r="BP8" s="219"/>
      <c r="BQ8" s="4"/>
      <c r="BR8" s="219"/>
      <c r="BS8" s="4"/>
      <c r="BT8" s="219"/>
      <c r="BU8" s="4"/>
      <c r="BV8" s="219"/>
      <c r="BW8" s="4"/>
      <c r="BX8" s="219"/>
      <c r="BY8" s="4"/>
      <c r="BZ8" s="219"/>
      <c r="CA8" s="140" t="s">
        <v>524</v>
      </c>
    </row>
    <row r="9" spans="1:79" s="36" customFormat="1" ht="16.5">
      <c r="A9" s="333"/>
      <c r="B9" s="153" t="s">
        <v>455</v>
      </c>
      <c r="C9" s="8"/>
      <c r="D9" s="9"/>
      <c r="E9" s="9"/>
      <c r="F9" s="9"/>
      <c r="G9" s="9"/>
      <c r="H9" s="8"/>
      <c r="I9" s="9"/>
      <c r="J9" s="9"/>
      <c r="K9" s="9"/>
      <c r="L9" s="9"/>
      <c r="M9" s="8"/>
      <c r="N9" s="9"/>
      <c r="O9" s="9"/>
      <c r="P9" s="9"/>
      <c r="Q9" s="9"/>
      <c r="R9" s="3"/>
      <c r="S9" s="7"/>
      <c r="T9" s="7"/>
      <c r="U9" s="7"/>
      <c r="V9" s="7"/>
      <c r="W9" s="10"/>
      <c r="X9" s="7"/>
      <c r="Y9" s="7"/>
      <c r="Z9" s="7"/>
      <c r="AA9" s="10"/>
      <c r="AB9" s="7"/>
      <c r="AC9" s="7"/>
      <c r="AD9" s="7"/>
      <c r="AE9" s="8"/>
      <c r="AF9" s="9"/>
      <c r="AG9" s="9"/>
      <c r="AH9" s="9"/>
      <c r="AI9" s="9"/>
      <c r="AJ9" s="7"/>
      <c r="AK9" s="7"/>
      <c r="AL9" s="224"/>
      <c r="AM9" s="224">
        <f>(表1[[#This Row],[列1682243]]+AL9)/2</f>
        <v>0</v>
      </c>
      <c r="AN9" s="222">
        <v>3.6386548460832193</v>
      </c>
      <c r="AO9" s="15">
        <v>217</v>
      </c>
      <c r="AP9" s="6">
        <v>2.624227326860014</v>
      </c>
      <c r="AQ9" s="132">
        <v>1.7419834473196636</v>
      </c>
      <c r="AR9" s="132">
        <v>4.3662107741796774</v>
      </c>
      <c r="AS9" s="132">
        <v>0.88224387954035044</v>
      </c>
      <c r="AT9" s="132">
        <f>表1[[#This Row],[列172]]*1.1</f>
        <v>2.8866500595460156</v>
      </c>
      <c r="AU9" s="132">
        <f>表1[[#This Row],[列18]]*1.1</f>
        <v>4.8028318515976451</v>
      </c>
      <c r="AV9" s="132">
        <f>表1[[#This Row],[列19]]*1.1</f>
        <v>0.97046826749438553</v>
      </c>
      <c r="AW9" s="4"/>
      <c r="AX9" s="4" t="str">
        <f>IF(AP9&gt;=AM9,"Up","Down")</f>
        <v>Up</v>
      </c>
      <c r="AY9" s="4"/>
      <c r="AZ9" s="219"/>
      <c r="BA9" s="4"/>
      <c r="BB9" s="219"/>
      <c r="BC9" s="4"/>
      <c r="BD9" s="219"/>
      <c r="BE9" s="4"/>
      <c r="BF9" s="219"/>
      <c r="BG9" s="4"/>
      <c r="BH9" s="145"/>
      <c r="BI9" s="4"/>
      <c r="BJ9" s="145"/>
      <c r="BK9" s="4"/>
      <c r="BL9" s="219"/>
      <c r="BM9" s="4"/>
      <c r="BN9" s="145"/>
      <c r="BO9" s="4"/>
      <c r="BP9" s="219"/>
      <c r="BQ9" s="4"/>
      <c r="BR9" s="219"/>
      <c r="BS9" s="4"/>
      <c r="BT9" s="219"/>
      <c r="BU9" s="4"/>
      <c r="BV9" s="219"/>
      <c r="BW9" s="4"/>
      <c r="BX9" s="219"/>
      <c r="BY9" s="4"/>
      <c r="BZ9" s="219"/>
      <c r="CA9" s="140" t="s">
        <v>233</v>
      </c>
    </row>
    <row r="10" spans="1:79" s="36" customFormat="1" ht="16.5">
      <c r="A10" s="333"/>
      <c r="B10" s="153" t="s">
        <v>61</v>
      </c>
      <c r="C10" s="3"/>
      <c r="D10" s="5"/>
      <c r="E10" s="5"/>
      <c r="F10" s="5"/>
      <c r="G10" s="5"/>
      <c r="H10" s="3">
        <v>49</v>
      </c>
      <c r="I10" s="4">
        <v>17.661255766597399</v>
      </c>
      <c r="J10" s="4">
        <v>12.736488669137</v>
      </c>
      <c r="K10" s="4">
        <v>30.3977444357343</v>
      </c>
      <c r="L10" s="4">
        <v>4.9247670974604203</v>
      </c>
      <c r="M10" s="3">
        <v>67</v>
      </c>
      <c r="N10" s="4">
        <v>12.186039178521</v>
      </c>
      <c r="O10" s="4">
        <v>11.2443486112192</v>
      </c>
      <c r="P10" s="4">
        <v>23.430387789740202</v>
      </c>
      <c r="Q10" s="4">
        <v>0.94169056730180001</v>
      </c>
      <c r="R10" s="3">
        <v>89</v>
      </c>
      <c r="S10" s="4">
        <v>12.901284452443701</v>
      </c>
      <c r="T10" s="4">
        <v>11.2708498547732</v>
      </c>
      <c r="U10" s="4">
        <v>24.172134307216801</v>
      </c>
      <c r="V10" s="4">
        <v>1.6304345976704999</v>
      </c>
      <c r="W10" s="3">
        <v>154</v>
      </c>
      <c r="X10" s="4">
        <v>20.289723455549101</v>
      </c>
      <c r="Y10" s="4">
        <v>36.8622537367307</v>
      </c>
      <c r="Z10" s="4">
        <v>3.7171931743675901</v>
      </c>
      <c r="AA10" s="3">
        <v>93</v>
      </c>
      <c r="AB10" s="4">
        <v>21.840147256654888</v>
      </c>
      <c r="AC10" s="4">
        <v>35.241312009155578</v>
      </c>
      <c r="AD10" s="4">
        <v>8.4389825041541986</v>
      </c>
      <c r="AE10" s="3">
        <v>49</v>
      </c>
      <c r="AF10" s="4">
        <v>17.661255766597399</v>
      </c>
      <c r="AG10" s="4">
        <v>30.3977444357343</v>
      </c>
      <c r="AH10" s="4">
        <v>4.9247670974604203</v>
      </c>
      <c r="AI10" s="4">
        <f t="shared" si="0"/>
        <v>12.594095777105105</v>
      </c>
      <c r="AJ10" s="4">
        <v>20.8734862632529</v>
      </c>
      <c r="AK10" s="4">
        <v>17.901068934210009</v>
      </c>
      <c r="AL10" s="133">
        <v>19.12322114688946</v>
      </c>
      <c r="AM10" s="178">
        <f>(表1[[#This Row],[列1682243]]+AL10)/2</f>
        <v>18.512145040549733</v>
      </c>
      <c r="AN10" s="6">
        <v>13.817497759346647</v>
      </c>
      <c r="AO10" s="15">
        <f>IFERROR(VLOOKUP($B10,'2019开发'!$B:$Q,2,0),0)</f>
        <v>323</v>
      </c>
      <c r="AP10" s="6">
        <f>IFERROR(VLOOKUP($B10,'2019开发'!$B:$Q,3,0),0)</f>
        <v>13.817497759346647</v>
      </c>
      <c r="AQ10" s="132">
        <f>IFERROR(VLOOKUP($B10,'2019开发'!$B:$Q,4,0),0)</f>
        <v>6.5379569483557498</v>
      </c>
      <c r="AR10" s="132">
        <f>IFERROR(VLOOKUP($B10,'2019开发'!$B:$Q,5,0),0)</f>
        <v>20.355454707702396</v>
      </c>
      <c r="AS10" s="132">
        <f>IFERROR(VLOOKUP($B10,'2019开发'!$B:$Q,6,0),0)</f>
        <v>7.2795408109908974</v>
      </c>
      <c r="AT10" s="132">
        <f>表1[[#This Row],[列172]]*1.1</f>
        <v>15.199247535281312</v>
      </c>
      <c r="AU10" s="132">
        <f>表1[[#This Row],[列18]]*1.1</f>
        <v>22.391000178472638</v>
      </c>
      <c r="AV10" s="132">
        <f>表1[[#This Row],[列19]]*1.1</f>
        <v>8.0074948920899871</v>
      </c>
      <c r="AW10" s="4"/>
      <c r="AX10" s="4" t="str">
        <f>IF(AP10&gt;=AM10,"Up","Down")</f>
        <v>Down</v>
      </c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140" t="s">
        <v>203</v>
      </c>
    </row>
    <row r="11" spans="1:79" s="36" customFormat="1" ht="16.5">
      <c r="A11" s="333"/>
      <c r="B11" s="153" t="s">
        <v>62</v>
      </c>
      <c r="C11" s="3"/>
      <c r="D11" s="5"/>
      <c r="E11" s="5"/>
      <c r="F11" s="5"/>
      <c r="G11" s="5"/>
      <c r="H11" s="3">
        <v>55</v>
      </c>
      <c r="I11" s="4">
        <v>24.014113161955901</v>
      </c>
      <c r="J11" s="4">
        <v>14.009605109508</v>
      </c>
      <c r="K11" s="4">
        <v>38.023718271463899</v>
      </c>
      <c r="L11" s="4">
        <v>10.0045080524479</v>
      </c>
      <c r="M11" s="3">
        <v>85</v>
      </c>
      <c r="N11" s="4">
        <v>19.2643142435812</v>
      </c>
      <c r="O11" s="4">
        <v>13.7374917806659</v>
      </c>
      <c r="P11" s="4">
        <v>33.001806024247003</v>
      </c>
      <c r="Q11" s="4">
        <v>5.5268224629152796</v>
      </c>
      <c r="R11" s="3">
        <v>91</v>
      </c>
      <c r="S11" s="4">
        <v>14.035683084459</v>
      </c>
      <c r="T11" s="4">
        <v>13.035128867825801</v>
      </c>
      <c r="U11" s="4">
        <v>27.070811952284799</v>
      </c>
      <c r="V11" s="4">
        <v>1.00055421663318</v>
      </c>
      <c r="W11" s="3">
        <v>147</v>
      </c>
      <c r="X11" s="4">
        <v>15.190203100900399</v>
      </c>
      <c r="Y11" s="4">
        <v>25.593416995200101</v>
      </c>
      <c r="Z11" s="4">
        <v>4.78698920660071</v>
      </c>
      <c r="AA11" s="3">
        <v>115</v>
      </c>
      <c r="AB11" s="4">
        <v>18.791764610823989</v>
      </c>
      <c r="AC11" s="4">
        <v>31.614084742698338</v>
      </c>
      <c r="AD11" s="4">
        <v>5.9694444789496384</v>
      </c>
      <c r="AE11" s="3">
        <v>55</v>
      </c>
      <c r="AF11" s="4">
        <v>24.014113161955901</v>
      </c>
      <c r="AG11" s="4">
        <v>38.023718271463899</v>
      </c>
      <c r="AH11" s="4">
        <v>10.0045080524479</v>
      </c>
      <c r="AI11" s="4">
        <f t="shared" si="0"/>
        <v>16.560874269262339</v>
      </c>
      <c r="AJ11" s="4">
        <v>16.771041168233271</v>
      </c>
      <c r="AK11" s="4">
        <v>16.889873403151128</v>
      </c>
      <c r="AL11" s="133">
        <v>11.476459163781174</v>
      </c>
      <c r="AM11" s="178">
        <f>(表1[[#This Row],[列1682243]]+AL11)/2</f>
        <v>14.18316628346615</v>
      </c>
      <c r="AN11" s="6">
        <v>18.504803427406475</v>
      </c>
      <c r="AO11" s="15">
        <f>IFERROR(VLOOKUP($B11,'2019开发'!$B:$Q,2,0),0)</f>
        <v>382</v>
      </c>
      <c r="AP11" s="6">
        <f>IFERROR(VLOOKUP($B11,'2019开发'!$B:$Q,3,0),0)</f>
        <v>18.504803427406475</v>
      </c>
      <c r="AQ11" s="132">
        <f>IFERROR(VLOOKUP($B11,'2019开发'!$B:$Q,4,0),0)</f>
        <v>22.705345727043202</v>
      </c>
      <c r="AR11" s="132">
        <f>IFERROR(VLOOKUP($B11,'2019开发'!$B:$Q,5,0),0)</f>
        <v>41.210149154449681</v>
      </c>
      <c r="AS11" s="132">
        <f>IFERROR(VLOOKUP($B11,'2019开发'!$B:$Q,6,0),0)</f>
        <v>0</v>
      </c>
      <c r="AT11" s="132">
        <f>表1[[#This Row],[列172]]*1.1</f>
        <v>20.355283770147125</v>
      </c>
      <c r="AU11" s="132">
        <f>表1[[#This Row],[列18]]*1.1</f>
        <v>45.331164069894655</v>
      </c>
      <c r="AV11" s="132">
        <f>表1[[#This Row],[列19]]*1.1</f>
        <v>0</v>
      </c>
      <c r="AW11" s="4"/>
      <c r="AX11" s="4" t="str">
        <f>IF(AP11&gt;=AM11,"Up","Down")</f>
        <v>Up</v>
      </c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140" t="s">
        <v>205</v>
      </c>
    </row>
    <row r="12" spans="1:79" s="36" customFormat="1" ht="16.5">
      <c r="A12" s="333"/>
      <c r="B12" s="153" t="s">
        <v>63</v>
      </c>
      <c r="C12" s="3">
        <v>64</v>
      </c>
      <c r="D12" s="12">
        <v>129.66340271608399</v>
      </c>
      <c r="E12" s="12">
        <v>43.765730697250497</v>
      </c>
      <c r="F12" s="12">
        <v>173.42913341333499</v>
      </c>
      <c r="G12" s="12">
        <v>85.897672018833802</v>
      </c>
      <c r="H12" s="3">
        <v>82</v>
      </c>
      <c r="I12" s="4">
        <v>145.30370717931299</v>
      </c>
      <c r="J12" s="4">
        <v>71.405184699943405</v>
      </c>
      <c r="K12" s="4">
        <v>216.70889187925599</v>
      </c>
      <c r="L12" s="4">
        <v>73.898522479369504</v>
      </c>
      <c r="M12" s="3">
        <v>103</v>
      </c>
      <c r="N12" s="4">
        <v>110.857325930484</v>
      </c>
      <c r="O12" s="4">
        <v>52.546757138837798</v>
      </c>
      <c r="P12" s="4">
        <v>163.40408306932201</v>
      </c>
      <c r="Q12" s="4">
        <v>58.310568791646403</v>
      </c>
      <c r="R12" s="3">
        <v>97</v>
      </c>
      <c r="S12" s="4">
        <v>123.967531579244</v>
      </c>
      <c r="T12" s="4">
        <v>55.471333452571102</v>
      </c>
      <c r="U12" s="4">
        <v>179.438865031815</v>
      </c>
      <c r="V12" s="4">
        <v>68.496198126672894</v>
      </c>
      <c r="W12" s="3">
        <v>161</v>
      </c>
      <c r="X12" s="4">
        <v>113.53733260889101</v>
      </c>
      <c r="Y12" s="4">
        <v>166.12999775969899</v>
      </c>
      <c r="Z12" s="4">
        <v>60.944667458082698</v>
      </c>
      <c r="AA12" s="3">
        <v>162</v>
      </c>
      <c r="AB12" s="4">
        <v>115.30344479957012</v>
      </c>
      <c r="AC12" s="4">
        <v>171.71767867341811</v>
      </c>
      <c r="AD12" s="4">
        <v>58.889210925722139</v>
      </c>
      <c r="AE12" s="3">
        <v>147</v>
      </c>
      <c r="AF12" s="4">
        <v>139.77443375872801</v>
      </c>
      <c r="AG12" s="4">
        <v>202.81601229364199</v>
      </c>
      <c r="AH12" s="4">
        <v>76.732855223814497</v>
      </c>
      <c r="AI12" s="4">
        <f t="shared" si="0"/>
        <v>117.2157756701326</v>
      </c>
      <c r="AJ12" s="4">
        <v>114.42312262403038</v>
      </c>
      <c r="AK12" s="4">
        <v>102.80960166939926</v>
      </c>
      <c r="AL12" s="133">
        <v>164.2628783441811</v>
      </c>
      <c r="AM12" s="178">
        <f>(表1[[#This Row],[列1682243]]+AL12)/2</f>
        <v>133.53624000679019</v>
      </c>
      <c r="AN12" s="6">
        <v>163.62341715668146</v>
      </c>
      <c r="AO12" s="15">
        <f>IFERROR(VLOOKUP($B12,'2019开发'!$B:$Q,2,0),0)</f>
        <v>155</v>
      </c>
      <c r="AP12" s="6">
        <f>IFERROR(VLOOKUP($B12,'2019开发'!$B:$Q,3,0),0)</f>
        <v>163.62341715668146</v>
      </c>
      <c r="AQ12" s="132">
        <f>IFERROR(VLOOKUP($B12,'2019开发'!$B:$Q,4,0),0)</f>
        <v>84.094896390445939</v>
      </c>
      <c r="AR12" s="132">
        <f>IFERROR(VLOOKUP($B12,'2019开发'!$B:$Q,5,0),0)</f>
        <v>247.71831354712739</v>
      </c>
      <c r="AS12" s="132">
        <f>IFERROR(VLOOKUP($B12,'2019开发'!$B:$Q,6,0),0)</f>
        <v>79.528520766235516</v>
      </c>
      <c r="AT12" s="132">
        <f>表1[[#This Row],[列172]]*1.1</f>
        <v>179.98575887234961</v>
      </c>
      <c r="AU12" s="132">
        <f>表1[[#This Row],[列18]]*1.1</f>
        <v>272.49014490184015</v>
      </c>
      <c r="AV12" s="132">
        <f>表1[[#This Row],[列19]]*1.1</f>
        <v>87.481372842859074</v>
      </c>
      <c r="AW12" s="4"/>
      <c r="AX12" s="4" t="str">
        <f>IF(AP12&gt;=AM12,"Up","Down")</f>
        <v>Up</v>
      </c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140" t="s">
        <v>224</v>
      </c>
    </row>
    <row r="13" spans="1:79" s="55" customFormat="1" ht="14.25">
      <c r="A13" s="333"/>
      <c r="B13" s="153" t="s">
        <v>64</v>
      </c>
      <c r="C13" s="3"/>
      <c r="D13" s="5"/>
      <c r="E13" s="5"/>
      <c r="F13" s="5"/>
      <c r="G13" s="5"/>
      <c r="H13" s="3">
        <v>26</v>
      </c>
      <c r="I13" s="4">
        <v>3.7633304235699399</v>
      </c>
      <c r="J13" s="4">
        <v>3.5718242882541702</v>
      </c>
      <c r="K13" s="4">
        <v>7.3351547118241101</v>
      </c>
      <c r="L13" s="4">
        <v>0.19150613531576999</v>
      </c>
      <c r="M13" s="3">
        <v>43</v>
      </c>
      <c r="N13" s="4">
        <v>4.6523844945867596</v>
      </c>
      <c r="O13" s="4">
        <v>2.4644768476572101</v>
      </c>
      <c r="P13" s="4">
        <v>7.1168613422439604</v>
      </c>
      <c r="Q13" s="4">
        <v>2.18790764692955</v>
      </c>
      <c r="R13" s="3">
        <v>33</v>
      </c>
      <c r="S13" s="4">
        <v>7.0682427543131396</v>
      </c>
      <c r="T13" s="4">
        <v>7.77509647944997</v>
      </c>
      <c r="U13" s="4">
        <v>14.8433392337631</v>
      </c>
      <c r="V13" s="4">
        <v>0</v>
      </c>
      <c r="W13" s="3">
        <v>63</v>
      </c>
      <c r="X13" s="4">
        <v>8.9937657652897407</v>
      </c>
      <c r="Y13" s="4">
        <v>21.655284223339802</v>
      </c>
      <c r="Z13" s="4">
        <v>0</v>
      </c>
      <c r="AA13" s="3">
        <v>167</v>
      </c>
      <c r="AB13" s="4">
        <v>117.36933259576354</v>
      </c>
      <c r="AC13" s="4">
        <v>174.54029325286172</v>
      </c>
      <c r="AD13" s="4">
        <v>60.198371938665346</v>
      </c>
      <c r="AE13" s="3">
        <v>32</v>
      </c>
      <c r="AF13" s="4">
        <v>3.2987128144287898</v>
      </c>
      <c r="AG13" s="4">
        <v>6.6628181806191904</v>
      </c>
      <c r="AH13" s="4">
        <v>0</v>
      </c>
      <c r="AI13" s="4">
        <f t="shared" si="0"/>
        <v>5.7013755810468982</v>
      </c>
      <c r="AJ13" s="4">
        <v>87.683851246546809</v>
      </c>
      <c r="AK13" s="4">
        <v>5.2889461398686395</v>
      </c>
      <c r="AL13" s="133">
        <v>2.7429403617541581</v>
      </c>
      <c r="AM13" s="178">
        <f>(表1[[#This Row],[列1682243]]+AL13)/2</f>
        <v>4.0159432508113984</v>
      </c>
      <c r="AN13" s="6">
        <v>13.21470122629491</v>
      </c>
      <c r="AO13" s="15">
        <f>IFERROR(VLOOKUP($B13,'2019开发'!$B:$Q,2,0),0)</f>
        <v>107</v>
      </c>
      <c r="AP13" s="6">
        <f>IFERROR(VLOOKUP($B13,'2019开发'!$B:$Q,3,0),0)</f>
        <v>13.21470122629491</v>
      </c>
      <c r="AQ13" s="132">
        <f>IFERROR(VLOOKUP($B13,'2019开发'!$B:$Q,4,0),0)</f>
        <v>232.08874988237244</v>
      </c>
      <c r="AR13" s="132">
        <f>IFERROR(VLOOKUP($B13,'2019开发'!$B:$Q,5,0),0)</f>
        <v>245.30345110866736</v>
      </c>
      <c r="AS13" s="132">
        <f>IFERROR(VLOOKUP($B13,'2019开发'!$B:$Q,6,0),0)</f>
        <v>0</v>
      </c>
      <c r="AT13" s="17">
        <f>表1[[#This Row],[列172]]*1.1</f>
        <v>14.536171348924402</v>
      </c>
      <c r="AU13" s="17">
        <f>表1[[#This Row],[列18]]*1.1</f>
        <v>269.83379621953412</v>
      </c>
      <c r="AV13" s="17">
        <f>表1[[#This Row],[列19]]*1.1</f>
        <v>0</v>
      </c>
      <c r="AW13" s="4"/>
      <c r="AX13" s="4" t="str">
        <f>IF(AP13&gt;=AM13,"Up","Down")</f>
        <v>Up</v>
      </c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140" t="s">
        <v>234</v>
      </c>
    </row>
    <row r="14" spans="1:79" s="56" customFormat="1">
      <c r="A14" s="333"/>
      <c r="B14" s="153" t="s">
        <v>65</v>
      </c>
      <c r="C14" s="3">
        <v>90</v>
      </c>
      <c r="D14" s="5">
        <v>4.2844142770664097E-2</v>
      </c>
      <c r="E14" s="5">
        <v>0.14962595635783299</v>
      </c>
      <c r="F14" s="5">
        <v>0.192470099128497</v>
      </c>
      <c r="G14" s="5">
        <v>0</v>
      </c>
      <c r="H14" s="3">
        <v>123</v>
      </c>
      <c r="I14" s="5">
        <v>0.17108489179672701</v>
      </c>
      <c r="J14" s="5">
        <v>0.18067702460826901</v>
      </c>
      <c r="K14" s="5">
        <v>0.35176191640499599</v>
      </c>
      <c r="L14" s="5">
        <v>0</v>
      </c>
      <c r="M14" s="3">
        <v>182</v>
      </c>
      <c r="N14" s="5">
        <v>0.14491653216592201</v>
      </c>
      <c r="O14" s="5">
        <v>0.15878440460077001</v>
      </c>
      <c r="P14" s="5">
        <v>0.30370093676669202</v>
      </c>
      <c r="Q14" s="5">
        <v>0</v>
      </c>
      <c r="R14" s="3">
        <v>162</v>
      </c>
      <c r="S14" s="5">
        <v>7.1736213315939504E-2</v>
      </c>
      <c r="T14" s="5">
        <v>0.10769431136789499</v>
      </c>
      <c r="U14" s="5">
        <v>0.179430524683834</v>
      </c>
      <c r="V14" s="5">
        <v>0</v>
      </c>
      <c r="W14" s="3">
        <v>260</v>
      </c>
      <c r="X14" s="5">
        <v>2.6125903968631101E-2</v>
      </c>
      <c r="Y14" s="5">
        <v>7.6974195665772099E-2</v>
      </c>
      <c r="Z14" s="5">
        <v>0</v>
      </c>
      <c r="AA14" s="3">
        <v>287</v>
      </c>
      <c r="AB14" s="5">
        <v>4.4698924916664141E-2</v>
      </c>
      <c r="AC14" s="5">
        <v>0.20465071208970168</v>
      </c>
      <c r="AD14" s="5">
        <v>0</v>
      </c>
      <c r="AE14" s="3">
        <v>213</v>
      </c>
      <c r="AF14" s="5">
        <v>0.116898659813883</v>
      </c>
      <c r="AG14" s="5">
        <v>0.29638730629505899</v>
      </c>
      <c r="AH14" s="5">
        <v>0</v>
      </c>
      <c r="AI14" s="5">
        <f t="shared" si="0"/>
        <v>0.11045370759122095</v>
      </c>
      <c r="AJ14" s="5">
        <v>3.5870797957818452E-2</v>
      </c>
      <c r="AK14" s="5">
        <v>2.1231327599943211E-2</v>
      </c>
      <c r="AL14" s="225">
        <v>2.1919648368945232E-2</v>
      </c>
      <c r="AM14" s="179">
        <f>(表1[[#This Row],[列1682243]]+AL14)/2</f>
        <v>2.1575487984444221E-2</v>
      </c>
      <c r="AN14" s="23">
        <v>1.4831535930741095E-2</v>
      </c>
      <c r="AO14" s="15">
        <f>IFERROR(VLOOKUP($B14,'2019开发'!$B:$Q,2,0),0)</f>
        <v>328</v>
      </c>
      <c r="AP14" s="6">
        <f>IFERROR(VLOOKUP($B14,'2019开发'!$B:$Q,3,0),0)</f>
        <v>1.4831535930741095E-2</v>
      </c>
      <c r="AQ14" s="132">
        <f>IFERROR(VLOOKUP($B14,'2019开发'!$B:$Q,4,0),0)</f>
        <v>3.0197760072651566E-2</v>
      </c>
      <c r="AR14" s="132">
        <f>IFERROR(VLOOKUP($B14,'2019开发'!$B:$Q,5,0),0)</f>
        <v>4.5029296003392658E-2</v>
      </c>
      <c r="AS14" s="132">
        <f>IFERROR(VLOOKUP($B14,'2019开发'!$B:$Q,6,0),0)</f>
        <v>0</v>
      </c>
      <c r="AT14" s="110">
        <f>表1[[#This Row],[列172]]*1.1</f>
        <v>1.6314689523815207E-2</v>
      </c>
      <c r="AU14" s="110">
        <f>表1[[#This Row],[列18]]*1.1</f>
        <v>4.9532225603731925E-2</v>
      </c>
      <c r="AV14" s="110">
        <f>表1[[#This Row],[列19]]*1.1</f>
        <v>0</v>
      </c>
      <c r="AW14" s="23"/>
      <c r="AX14" s="4" t="str">
        <f>IF(AP14&lt;=AM14,"Good","Bad")</f>
        <v>Good</v>
      </c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140" t="s">
        <v>226</v>
      </c>
    </row>
    <row r="15" spans="1:79" s="36" customFormat="1" ht="16.5">
      <c r="A15" s="333"/>
      <c r="B15" s="153" t="s">
        <v>66</v>
      </c>
      <c r="C15" s="3">
        <v>83</v>
      </c>
      <c r="D15" s="5">
        <v>4.4535302924384301E-3</v>
      </c>
      <c r="E15" s="5">
        <v>2.3799220869513998E-2</v>
      </c>
      <c r="F15" s="5">
        <v>2.8252751161952399E-2</v>
      </c>
      <c r="G15" s="5">
        <v>-1.9345690577075601E-2</v>
      </c>
      <c r="H15" s="3">
        <v>132</v>
      </c>
      <c r="I15" s="5">
        <v>9.5640068934683801E-4</v>
      </c>
      <c r="J15" s="5">
        <v>3.0337623008340499E-2</v>
      </c>
      <c r="K15" s="5">
        <v>3.1294023697687301E-2</v>
      </c>
      <c r="L15" s="5">
        <v>-2.9381222318993701E-2</v>
      </c>
      <c r="M15" s="3">
        <v>174</v>
      </c>
      <c r="N15" s="5">
        <v>1.0066610967708001E-2</v>
      </c>
      <c r="O15" s="5">
        <v>8.5842272425821806E-2</v>
      </c>
      <c r="P15" s="5">
        <v>9.5908883393529903E-2</v>
      </c>
      <c r="Q15" s="5">
        <v>-7.5775661458113805E-2</v>
      </c>
      <c r="R15" s="3">
        <v>181</v>
      </c>
      <c r="S15" s="5">
        <v>2.68180639322244E-3</v>
      </c>
      <c r="T15" s="5">
        <v>1.6120145726139901E-2</v>
      </c>
      <c r="U15" s="5">
        <v>1.8801952119362399E-2</v>
      </c>
      <c r="V15" s="5">
        <v>-1.34383393329175E-2</v>
      </c>
      <c r="W15" s="3">
        <v>240</v>
      </c>
      <c r="X15" s="5">
        <v>1.00908512453392E-2</v>
      </c>
      <c r="Y15" s="5">
        <v>5.0500742078108903E-2</v>
      </c>
      <c r="Z15" s="5">
        <v>-3.0319039587430499E-2</v>
      </c>
      <c r="AA15" s="3">
        <v>257</v>
      </c>
      <c r="AB15" s="5">
        <v>7.80006291585752E-3</v>
      </c>
      <c r="AC15" s="5">
        <v>4.9383295255700434E-2</v>
      </c>
      <c r="AD15" s="5">
        <v>0</v>
      </c>
      <c r="AE15" s="3">
        <v>215</v>
      </c>
      <c r="AF15" s="5">
        <v>2.3064553733310299E-3</v>
      </c>
      <c r="AG15" s="5">
        <v>3.0294846001429301E-2</v>
      </c>
      <c r="AH15" s="5">
        <v>-2.56819352547672E-2</v>
      </c>
      <c r="AI15" s="5">
        <f t="shared" si="0"/>
        <v>6.3014007480407148E-3</v>
      </c>
      <c r="AJ15" s="5">
        <v>8.9062786081625551E-3</v>
      </c>
      <c r="AK15" s="5">
        <v>8.5497084983123493E-3</v>
      </c>
      <c r="AL15" s="226">
        <v>3.0141136746394703E-3</v>
      </c>
      <c r="AM15" s="179">
        <f>(表1[[#This Row],[列1682243]]+AL15)/2</f>
        <v>5.7819110864759096E-3</v>
      </c>
      <c r="AN15" s="23">
        <v>7.8784747757256607E-4</v>
      </c>
      <c r="AO15" s="15">
        <f>IFERROR(VLOOKUP($B15,'2019开发'!$B:$Q,2,0),0)</f>
        <v>850</v>
      </c>
      <c r="AP15" s="6">
        <f>IFERROR(VLOOKUP($B15,'2019开发'!$B:$Q,3,0),0)</f>
        <v>7.8784747757256607E-4</v>
      </c>
      <c r="AQ15" s="132">
        <f>IFERROR(VLOOKUP($B15,'2019开发'!$B:$Q,4,0),0)</f>
        <v>4.8781849506323244E-3</v>
      </c>
      <c r="AR15" s="132">
        <f>IFERROR(VLOOKUP($B15,'2019开发'!$B:$Q,5,0),0)</f>
        <v>5.6660324282048905E-3</v>
      </c>
      <c r="AS15" s="132">
        <f>IFERROR(VLOOKUP($B15,'2019开发'!$B:$Q,6,0),0)</f>
        <v>0</v>
      </c>
      <c r="AT15" s="110">
        <f>表1[[#This Row],[列172]]*1.1</f>
        <v>8.6663222532982272E-4</v>
      </c>
      <c r="AU15" s="110">
        <f>表1[[#This Row],[列18]]*1.1</f>
        <v>6.2326356710253796E-3</v>
      </c>
      <c r="AV15" s="110">
        <f>表1[[#This Row],[列19]]*1.1</f>
        <v>0</v>
      </c>
      <c r="AW15" s="4" t="s">
        <v>413</v>
      </c>
      <c r="AX15" s="4" t="str">
        <f>IF(AP15&lt;=AM15,"Good","Bad")</f>
        <v>Good</v>
      </c>
      <c r="AY15" s="4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140" t="s">
        <v>204</v>
      </c>
    </row>
    <row r="16" spans="1:79" s="55" customFormat="1" ht="14.25">
      <c r="A16" s="333"/>
      <c r="B16" s="153" t="s">
        <v>67</v>
      </c>
      <c r="C16" s="3">
        <v>32</v>
      </c>
      <c r="D16" s="5">
        <v>6.3831893165531894E-2</v>
      </c>
      <c r="E16" s="5">
        <v>0.17090672556767</v>
      </c>
      <c r="F16" s="5">
        <v>0.23473861873320201</v>
      </c>
      <c r="G16" s="5">
        <v>-0.107074832402138</v>
      </c>
      <c r="H16" s="3">
        <v>110</v>
      </c>
      <c r="I16" s="5">
        <v>7.6864163227807203E-2</v>
      </c>
      <c r="J16" s="5">
        <v>0.25243633803243998</v>
      </c>
      <c r="K16" s="5">
        <v>0.32930050126024701</v>
      </c>
      <c r="L16" s="5">
        <v>-0.175572174804633</v>
      </c>
      <c r="M16" s="3">
        <v>100</v>
      </c>
      <c r="N16" s="5">
        <v>3.3236834334308997E-2</v>
      </c>
      <c r="O16" s="5">
        <v>0.14994182625157401</v>
      </c>
      <c r="P16" s="5">
        <v>0.183178660585883</v>
      </c>
      <c r="Q16" s="5">
        <v>-0.11670499191726499</v>
      </c>
      <c r="R16" s="3">
        <v>90</v>
      </c>
      <c r="S16" s="5">
        <v>2.1973075956759298E-2</v>
      </c>
      <c r="T16" s="5">
        <v>8.8824797496374494E-2</v>
      </c>
      <c r="U16" s="5">
        <v>0.11079787345313399</v>
      </c>
      <c r="V16" s="5">
        <v>-6.6851721539615203E-2</v>
      </c>
      <c r="W16" s="3">
        <v>200</v>
      </c>
      <c r="X16" s="5">
        <v>1.40507503312344E-2</v>
      </c>
      <c r="Y16" s="5">
        <v>0.107320049641005</v>
      </c>
      <c r="Z16" s="5">
        <v>-7.92185489785356E-2</v>
      </c>
      <c r="AA16" s="3">
        <v>210</v>
      </c>
      <c r="AB16" s="5">
        <v>7.9528547016396566E-3</v>
      </c>
      <c r="AC16" s="5">
        <v>9.8006513489232075E-2</v>
      </c>
      <c r="AD16" s="5">
        <v>0</v>
      </c>
      <c r="AE16" s="3">
        <v>142</v>
      </c>
      <c r="AF16" s="5">
        <v>7.39273136363085E-2</v>
      </c>
      <c r="AG16" s="5">
        <v>0.30996463357285903</v>
      </c>
      <c r="AH16" s="5">
        <v>-0.162110006300242</v>
      </c>
      <c r="AI16" s="5">
        <f t="shared" si="0"/>
        <v>2.7901369839680192E-2</v>
      </c>
      <c r="AJ16" s="5">
        <v>1.0927437935588313E-2</v>
      </c>
      <c r="AK16" s="5">
        <v>-1.7029661634022821E-3</v>
      </c>
      <c r="AL16" s="225">
        <v>1.364082584840498E-2</v>
      </c>
      <c r="AM16" s="179">
        <f>(表1[[#This Row],[列1682243]]+AL16)/2</f>
        <v>5.9689298425013495E-3</v>
      </c>
      <c r="AN16" s="23">
        <v>1.4849709470802629E-2</v>
      </c>
      <c r="AO16" s="15">
        <f>IFERROR(VLOOKUP($B16,'2019开发'!$B:$Q,2,0),0)</f>
        <v>422</v>
      </c>
      <c r="AP16" s="6">
        <f>IFERROR(VLOOKUP($B16,'2019开发'!$B:$Q,3,0),0)</f>
        <v>1.4849709470802629E-2</v>
      </c>
      <c r="AQ16" s="132">
        <f>IFERROR(VLOOKUP($B16,'2019开发'!$B:$Q,4,0),0)</f>
        <v>1.1923450235354332E-2</v>
      </c>
      <c r="AR16" s="132">
        <f>IFERROR(VLOOKUP($B16,'2019开发'!$B:$Q,5,0),0)</f>
        <v>2.6773159706156961E-2</v>
      </c>
      <c r="AS16" s="132">
        <f>IFERROR(VLOOKUP($B16,'2019开发'!$B:$Q,6,0),0)</f>
        <v>2.9262592354482968E-3</v>
      </c>
      <c r="AT16" s="23">
        <f>表1[[#This Row],[列172]]*1.1</f>
        <v>1.6334680417882892E-2</v>
      </c>
      <c r="AU16" s="23">
        <f>表1[[#This Row],[列18]]*1.1</f>
        <v>2.9450475676772659E-2</v>
      </c>
      <c r="AV16" s="23">
        <f>表1[[#This Row],[列19]]*1.1</f>
        <v>3.2188851589931267E-3</v>
      </c>
      <c r="AW16" s="4" t="s">
        <v>413</v>
      </c>
      <c r="AX16" s="4" t="str">
        <f>IF(AP16&lt;=AM16,"Good","Bad")</f>
        <v>Bad</v>
      </c>
      <c r="AY16" s="4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140" t="s">
        <v>206</v>
      </c>
    </row>
    <row r="17" spans="1:79" s="36" customFormat="1" ht="16.5">
      <c r="A17" s="334" t="s">
        <v>68</v>
      </c>
      <c r="B17" s="153" t="s">
        <v>69</v>
      </c>
      <c r="C17" s="3">
        <v>132</v>
      </c>
      <c r="D17" s="5">
        <v>0.94831746189454902</v>
      </c>
      <c r="E17" s="5">
        <v>0.12506582396154101</v>
      </c>
      <c r="F17" s="5">
        <v>1</v>
      </c>
      <c r="G17" s="5">
        <v>0.82325163793300904</v>
      </c>
      <c r="H17" s="3">
        <v>99</v>
      </c>
      <c r="I17" s="5">
        <v>0.91506735117550497</v>
      </c>
      <c r="J17" s="5">
        <v>0.156607760759083</v>
      </c>
      <c r="K17" s="5">
        <v>1</v>
      </c>
      <c r="L17" s="5">
        <v>0.75845959041642197</v>
      </c>
      <c r="M17" s="3">
        <v>153</v>
      </c>
      <c r="N17" s="5">
        <v>0.889278895278793</v>
      </c>
      <c r="O17" s="5">
        <v>0.283273430735969</v>
      </c>
      <c r="P17" s="5">
        <v>1</v>
      </c>
      <c r="Q17" s="5">
        <v>0.606005464542825</v>
      </c>
      <c r="R17" s="3">
        <v>155</v>
      </c>
      <c r="S17" s="5">
        <v>0.935401156051061</v>
      </c>
      <c r="T17" s="5">
        <v>0.142407058296176</v>
      </c>
      <c r="U17" s="5">
        <v>1</v>
      </c>
      <c r="V17" s="5">
        <v>0.79299409775488505</v>
      </c>
      <c r="W17" s="3">
        <v>221</v>
      </c>
      <c r="X17" s="5">
        <v>0.95492377046189802</v>
      </c>
      <c r="Y17" s="5">
        <v>1</v>
      </c>
      <c r="Z17" s="5">
        <v>0.81984584940236804</v>
      </c>
      <c r="AA17" s="3">
        <v>246</v>
      </c>
      <c r="AB17" s="5">
        <v>0.96150071435667739</v>
      </c>
      <c r="AC17" s="5">
        <v>1.0907520499779555</v>
      </c>
      <c r="AD17" s="5">
        <v>0.83224937873539939</v>
      </c>
      <c r="AE17" s="3">
        <v>243</v>
      </c>
      <c r="AF17" s="5">
        <v>0.93312581373027004</v>
      </c>
      <c r="AG17" s="5">
        <v>1</v>
      </c>
      <c r="AH17" s="5">
        <v>0.79391360564090896</v>
      </c>
      <c r="AI17" s="5">
        <f t="shared" si="0"/>
        <v>0.91248977326483693</v>
      </c>
      <c r="AJ17" s="5">
        <v>0.95838828480475835</v>
      </c>
      <c r="AK17" s="5">
        <v>0.93076353479928509</v>
      </c>
      <c r="AL17" s="226">
        <v>0.97658526730860329</v>
      </c>
      <c r="AM17" s="179">
        <f>(表1[[#This Row],[列1682243]]+AL17)/2</f>
        <v>0.95367440105394419</v>
      </c>
      <c r="AN17" s="23">
        <v>0.94457460012340766</v>
      </c>
      <c r="AO17" s="15">
        <f>IFERROR(VLOOKUP($B17,'2019开发'!$B:$Q,2,0),0)</f>
        <v>600</v>
      </c>
      <c r="AP17" s="6">
        <f>IFERROR(VLOOKUP($B17,'2019开发'!$B:$Q,3,0),0)</f>
        <v>0.94457460012340766</v>
      </c>
      <c r="AQ17" s="132">
        <f>IFERROR(VLOOKUP($B17,'2019开发'!$B:$Q,4,0),0)</f>
        <v>5.1243738570987588E-2</v>
      </c>
      <c r="AR17" s="132">
        <f>IFERROR(VLOOKUP($B17,'2019开发'!$B:$Q,5,0),0)</f>
        <v>1.0983058158363703</v>
      </c>
      <c r="AS17" s="132">
        <f>IFERROR(VLOOKUP($B17,'2019开发'!$B:$Q,6,0),0)</f>
        <v>0.79084338441044488</v>
      </c>
      <c r="AT17" s="23">
        <v>1</v>
      </c>
      <c r="AU17" s="23">
        <v>1</v>
      </c>
      <c r="AV17" s="23">
        <f>表1[[#This Row],[列19]]*1.1</f>
        <v>0.86992772285148945</v>
      </c>
      <c r="AW17" s="4" t="s">
        <v>413</v>
      </c>
      <c r="AX17" s="4" t="str">
        <f>IF(AP17&gt;=AM17,"Up","Down")</f>
        <v>Down</v>
      </c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140" t="s">
        <v>207</v>
      </c>
    </row>
    <row r="18" spans="1:79" s="36" customFormat="1" ht="16.5">
      <c r="A18" s="334"/>
      <c r="B18" s="153" t="s">
        <v>70</v>
      </c>
      <c r="C18" s="3">
        <v>41</v>
      </c>
      <c r="D18" s="6">
        <v>0.68990246803539201</v>
      </c>
      <c r="E18" s="6">
        <v>0.56689927218341096</v>
      </c>
      <c r="F18" s="6">
        <v>1.2568017402188001</v>
      </c>
      <c r="G18" s="6">
        <v>0.123003195851981</v>
      </c>
      <c r="H18" s="3">
        <v>43</v>
      </c>
      <c r="I18" s="6">
        <v>0.58150153337719201</v>
      </c>
      <c r="J18" s="6">
        <v>0.44106421854133199</v>
      </c>
      <c r="K18" s="6">
        <v>1.0225657519185201</v>
      </c>
      <c r="L18" s="6">
        <v>0.14043731483586</v>
      </c>
      <c r="M18" s="3">
        <v>70</v>
      </c>
      <c r="N18" s="6">
        <v>0.43635532165378299</v>
      </c>
      <c r="O18" s="6">
        <v>0.31001770371623899</v>
      </c>
      <c r="P18" s="6">
        <v>0.74637302537002204</v>
      </c>
      <c r="Q18" s="6">
        <v>0.126337617937544</v>
      </c>
      <c r="R18" s="3">
        <v>54</v>
      </c>
      <c r="S18" s="6">
        <v>0.47482827368980701</v>
      </c>
      <c r="T18" s="6">
        <v>0.42217498996207797</v>
      </c>
      <c r="U18" s="6">
        <v>0.89700326365188499</v>
      </c>
      <c r="V18" s="6">
        <v>5.2653283727728102E-2</v>
      </c>
      <c r="W18" s="3">
        <v>124</v>
      </c>
      <c r="X18" s="6">
        <v>0.63004216998857399</v>
      </c>
      <c r="Y18" s="6">
        <v>1.5423000346695399</v>
      </c>
      <c r="Z18" s="6">
        <v>0</v>
      </c>
      <c r="AA18" s="3">
        <v>150</v>
      </c>
      <c r="AB18" s="6">
        <v>0.45900651493314581</v>
      </c>
      <c r="AC18" s="6">
        <v>0.77164041209655154</v>
      </c>
      <c r="AD18" s="6">
        <v>0.14637261776974009</v>
      </c>
      <c r="AE18" s="3">
        <v>84</v>
      </c>
      <c r="AF18" s="6">
        <v>0.63441151338893198</v>
      </c>
      <c r="AG18" s="6">
        <v>1.14066396960473</v>
      </c>
      <c r="AH18" s="6">
        <v>0.128159057173132</v>
      </c>
      <c r="AI18" s="6">
        <f t="shared" si="0"/>
        <v>0.45310967173398697</v>
      </c>
      <c r="AJ18" s="6">
        <v>0.53640951211151477</v>
      </c>
      <c r="AK18" s="6">
        <v>0.47354375062943743</v>
      </c>
      <c r="AL18" s="133">
        <v>0.45294439875318626</v>
      </c>
      <c r="AM18" s="219">
        <f>(表1[[#This Row],[列1682243]]+AL18)/2</f>
        <v>0.46324407469131185</v>
      </c>
      <c r="AN18" s="132">
        <v>0.55451688347448058</v>
      </c>
      <c r="AO18" s="15">
        <f>IFERROR(VLOOKUP($B18,'2019开发'!$B:$Q,2,0),0)</f>
        <v>250</v>
      </c>
      <c r="AP18" s="6">
        <f>IFERROR(VLOOKUP($B18,'2019开发'!$B:$Q,3,0),0)</f>
        <v>0.55451688347448058</v>
      </c>
      <c r="AQ18" s="132">
        <f>IFERROR(VLOOKUP($B18,'2019开发'!$B:$Q,4,0),0)</f>
        <v>0.18244386425470877</v>
      </c>
      <c r="AR18" s="132">
        <f>IFERROR(VLOOKUP($B18,'2019开发'!$B:$Q,5,0),0)</f>
        <v>0.73696074772918929</v>
      </c>
      <c r="AS18" s="132">
        <f>IFERROR(VLOOKUP($B18,'2019开发'!$B:$Q,6,0),0)</f>
        <v>0.37207301921977182</v>
      </c>
      <c r="AT18" s="132">
        <f>表1[[#This Row],[列172]]*1.1</f>
        <v>0.60996857182192865</v>
      </c>
      <c r="AU18" s="132">
        <f>表1[[#This Row],[列18]]*1.1</f>
        <v>0.81065682250210824</v>
      </c>
      <c r="AV18" s="132">
        <f>表1[[#This Row],[列19]]*1.1</f>
        <v>0.409280321141749</v>
      </c>
      <c r="AW18" s="4" t="s">
        <v>413</v>
      </c>
      <c r="AX18" s="4" t="str">
        <f>IF(AP18&gt;=AM18,"Up","Down")</f>
        <v>Up</v>
      </c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140" t="s">
        <v>213</v>
      </c>
    </row>
    <row r="19" spans="1:79" s="36" customFormat="1" ht="16.5">
      <c r="A19" s="334"/>
      <c r="B19" s="153" t="s">
        <v>71</v>
      </c>
      <c r="C19" s="3">
        <v>39</v>
      </c>
      <c r="D19" s="6">
        <v>0.71767041650984698</v>
      </c>
      <c r="E19" s="6">
        <v>0.53495826370633903</v>
      </c>
      <c r="F19" s="6">
        <v>1.2526286802161899</v>
      </c>
      <c r="G19" s="6">
        <v>0.182712152803508</v>
      </c>
      <c r="H19" s="3">
        <v>58</v>
      </c>
      <c r="I19" s="6">
        <v>0.59755090701564095</v>
      </c>
      <c r="J19" s="6">
        <v>0.345653380550144</v>
      </c>
      <c r="K19" s="6">
        <v>0.943204287565785</v>
      </c>
      <c r="L19" s="6">
        <v>0.25189752646549701</v>
      </c>
      <c r="M19" s="3">
        <v>89</v>
      </c>
      <c r="N19" s="6">
        <v>0.68279163628124395</v>
      </c>
      <c r="O19" s="6">
        <v>0.61353075714873395</v>
      </c>
      <c r="P19" s="6">
        <v>1.2963223934299799</v>
      </c>
      <c r="Q19" s="6">
        <v>6.9260879132510306E-2</v>
      </c>
      <c r="R19" s="3">
        <v>76</v>
      </c>
      <c r="S19" s="6">
        <v>0.86118681828668597</v>
      </c>
      <c r="T19" s="6">
        <v>0.872051530768157</v>
      </c>
      <c r="U19" s="6">
        <v>1.73323834905484</v>
      </c>
      <c r="V19" s="6">
        <v>0</v>
      </c>
      <c r="W19" s="3">
        <v>146</v>
      </c>
      <c r="X19" s="6">
        <v>0.65324619315146104</v>
      </c>
      <c r="Y19" s="6">
        <v>1.16781180203792</v>
      </c>
      <c r="Z19" s="6">
        <v>0.13868058426499999</v>
      </c>
      <c r="AA19" s="3">
        <v>107</v>
      </c>
      <c r="AB19" s="6">
        <v>0.54316528738420722</v>
      </c>
      <c r="AC19" s="6">
        <v>0.86473750620691447</v>
      </c>
      <c r="AD19" s="6">
        <v>0.22159306856150002</v>
      </c>
      <c r="AE19" s="3">
        <v>97</v>
      </c>
      <c r="AF19" s="6">
        <v>0.64584637990506399</v>
      </c>
      <c r="AG19" s="6">
        <v>1.0791172621798399</v>
      </c>
      <c r="AH19" s="6">
        <v>0.21257549763028899</v>
      </c>
      <c r="AI19" s="6">
        <f t="shared" si="0"/>
        <v>0.76496153829587177</v>
      </c>
      <c r="AJ19" s="6">
        <v>0.60669023695740509</v>
      </c>
      <c r="AK19" s="6">
        <v>0.7037823751316038</v>
      </c>
      <c r="AL19" s="133">
        <v>0.37463128973240839</v>
      </c>
      <c r="AM19" s="219">
        <f>(表1[[#This Row],[列1682243]]+AL19)/2</f>
        <v>0.53920683243200607</v>
      </c>
      <c r="AN19" s="132">
        <v>0.53525858364400869</v>
      </c>
      <c r="AO19" s="15">
        <f>IFERROR(VLOOKUP($B19,'2019开发'!$B:$Q,2,0),0)</f>
        <v>255</v>
      </c>
      <c r="AP19" s="6">
        <f>IFERROR(VLOOKUP($B19,'2019开发'!$B:$Q,3,0),0)</f>
        <v>0.53525858364400869</v>
      </c>
      <c r="AQ19" s="132">
        <f>IFERROR(VLOOKUP($B19,'2019开发'!$B:$Q,4,0),0)</f>
        <v>2.7351059114778666E-2</v>
      </c>
      <c r="AR19" s="132">
        <f>IFERROR(VLOOKUP($B19,'2019开发'!$B:$Q,5,0),0)</f>
        <v>0.61731176098834473</v>
      </c>
      <c r="AS19" s="132">
        <f>IFERROR(VLOOKUP($B19,'2019开发'!$B:$Q,6,0),0)</f>
        <v>0.45320540629967271</v>
      </c>
      <c r="AT19" s="132">
        <f>表1[[#This Row],[列172]]*1.1</f>
        <v>0.58878444200840963</v>
      </c>
      <c r="AU19" s="132">
        <f>表1[[#This Row],[列18]]*1.1</f>
        <v>0.67904293708717922</v>
      </c>
      <c r="AV19" s="132">
        <f>表1[[#This Row],[列19]]*1.1</f>
        <v>0.49852594692964003</v>
      </c>
      <c r="AW19" s="4" t="s">
        <v>413</v>
      </c>
      <c r="AX19" s="4" t="str">
        <f>IF(AP19&gt;=AM19,"Up","Down")</f>
        <v>Down</v>
      </c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140" t="s">
        <v>235</v>
      </c>
    </row>
    <row r="20" spans="1:79" s="36" customFormat="1" ht="16.5">
      <c r="A20" s="335" t="s">
        <v>72</v>
      </c>
      <c r="B20" s="153" t="s">
        <v>73</v>
      </c>
      <c r="C20" s="3">
        <v>78</v>
      </c>
      <c r="D20" s="6">
        <v>3.4786398879297198</v>
      </c>
      <c r="E20" s="6">
        <v>2.4261076471815501</v>
      </c>
      <c r="F20" s="6">
        <v>5.9047475351112704</v>
      </c>
      <c r="G20" s="6">
        <v>1.0525322407481701</v>
      </c>
      <c r="H20" s="3">
        <v>98</v>
      </c>
      <c r="I20" s="6">
        <v>4.0299976294748996</v>
      </c>
      <c r="J20" s="6">
        <v>2.6203189314986099</v>
      </c>
      <c r="K20" s="6">
        <v>6.6503165609735104</v>
      </c>
      <c r="L20" s="6">
        <v>1.4096786979763001</v>
      </c>
      <c r="M20" s="3">
        <v>131</v>
      </c>
      <c r="N20" s="6">
        <v>3.4943040188568402</v>
      </c>
      <c r="O20" s="6">
        <v>2.0464706169289699</v>
      </c>
      <c r="P20" s="6">
        <v>5.5407746357858096</v>
      </c>
      <c r="Q20" s="6">
        <v>1.44783340192787</v>
      </c>
      <c r="R20" s="3">
        <v>127</v>
      </c>
      <c r="S20" s="6">
        <v>4.8986454086843603</v>
      </c>
      <c r="T20" s="6">
        <v>3.3101828688380999</v>
      </c>
      <c r="U20" s="6">
        <v>8.2088282775224606</v>
      </c>
      <c r="V20" s="6">
        <v>1.58846253984626</v>
      </c>
      <c r="W20" s="3">
        <v>233</v>
      </c>
      <c r="X20" s="6">
        <v>5.3190581469491098</v>
      </c>
      <c r="Y20" s="6">
        <v>9.4073888010345108</v>
      </c>
      <c r="Z20" s="6">
        <v>1.2307274928637</v>
      </c>
      <c r="AA20" s="3">
        <v>222</v>
      </c>
      <c r="AB20" s="6">
        <v>3.6511100581259468</v>
      </c>
      <c r="AC20" s="6">
        <v>5.9886984703776012</v>
      </c>
      <c r="AD20" s="6">
        <v>1.313521645874292</v>
      </c>
      <c r="AE20" s="3">
        <v>177</v>
      </c>
      <c r="AF20" s="6">
        <v>3.7642580731472202</v>
      </c>
      <c r="AG20" s="6">
        <v>6.3167568555334697</v>
      </c>
      <c r="AH20" s="6">
        <v>1.21175929076098</v>
      </c>
      <c r="AI20" s="6">
        <f t="shared" si="0"/>
        <v>4.185588346407596</v>
      </c>
      <c r="AJ20" s="6">
        <v>4.5052461124024239</v>
      </c>
      <c r="AK20" s="6">
        <v>4.5189712758960843</v>
      </c>
      <c r="AL20" s="133">
        <v>5.1966565232894331</v>
      </c>
      <c r="AM20" s="219">
        <f>(表1[[#This Row],[列1682243]]+AL20)/2</f>
        <v>4.8578138995927587</v>
      </c>
      <c r="AN20" s="132">
        <v>6.3629894185769107</v>
      </c>
      <c r="AO20" s="15">
        <f>IFERROR(VLOOKUP($B20,'2019开发'!$B:$Q,2,0),0)</f>
        <v>701</v>
      </c>
      <c r="AP20" s="6">
        <f>IFERROR(VLOOKUP($B20,'2019开发'!$B:$Q,3,0),0)</f>
        <v>6.3629894185769107</v>
      </c>
      <c r="AQ20" s="132">
        <f>IFERROR(VLOOKUP($B20,'2019开发'!$B:$Q,4,0),0)</f>
        <v>2.2693536897168305</v>
      </c>
      <c r="AR20" s="132">
        <f>IFERROR(VLOOKUP($B20,'2019开发'!$B:$Q,5,0),0)</f>
        <v>8.6323431082937407</v>
      </c>
      <c r="AS20" s="132">
        <f>IFERROR(VLOOKUP($B20,'2019开发'!$B:$Q,6,0),0)</f>
        <v>4.0936357288600806</v>
      </c>
      <c r="AT20" s="132">
        <f>表1[[#This Row],[列172]]*1.1</f>
        <v>6.9992883604346021</v>
      </c>
      <c r="AU20" s="132">
        <f>表1[[#This Row],[列18]]*1.1</f>
        <v>9.4955774191231157</v>
      </c>
      <c r="AV20" s="132">
        <f>表1[[#This Row],[列19]]*1.1</f>
        <v>4.5029993017460894</v>
      </c>
      <c r="AW20" s="4" t="s">
        <v>413</v>
      </c>
      <c r="AX20" s="4" t="str">
        <f>IF(AP20&gt;=AM20,"Up","Down")</f>
        <v>Up</v>
      </c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140" t="s">
        <v>208</v>
      </c>
    </row>
    <row r="21" spans="1:79" s="54" customFormat="1">
      <c r="A21" s="336"/>
      <c r="B21" s="153" t="s">
        <v>74</v>
      </c>
      <c r="C21" s="3">
        <v>61</v>
      </c>
      <c r="D21" s="6">
        <v>2.41074625993505</v>
      </c>
      <c r="E21" s="6">
        <v>1.7805959852954301</v>
      </c>
      <c r="F21" s="6">
        <v>4.19134224523048</v>
      </c>
      <c r="G21" s="6">
        <v>0.63015027463962303</v>
      </c>
      <c r="H21" s="3">
        <v>85</v>
      </c>
      <c r="I21" s="6">
        <v>2.3131169707739998</v>
      </c>
      <c r="J21" s="6">
        <v>1.96115323152392</v>
      </c>
      <c r="K21" s="6">
        <v>4.2742702022979202</v>
      </c>
      <c r="L21" s="6">
        <v>0.35196373925008001</v>
      </c>
      <c r="M21" s="3">
        <v>124</v>
      </c>
      <c r="N21" s="6">
        <v>2.9958579467569102</v>
      </c>
      <c r="O21" s="6">
        <v>2.4400129122304302</v>
      </c>
      <c r="P21" s="6">
        <v>5.4358708589873297</v>
      </c>
      <c r="Q21" s="6">
        <v>0.55584503452648204</v>
      </c>
      <c r="R21" s="3">
        <v>93</v>
      </c>
      <c r="S21" s="6">
        <v>2.9736767395855899</v>
      </c>
      <c r="T21" s="6">
        <v>2.2834943469853601</v>
      </c>
      <c r="U21" s="6">
        <v>5.25717108657095</v>
      </c>
      <c r="V21" s="6">
        <v>0.69018239260023295</v>
      </c>
      <c r="W21" s="3">
        <v>146</v>
      </c>
      <c r="X21" s="6">
        <v>3.0151035785937501</v>
      </c>
      <c r="Y21" s="6">
        <v>6.1895128462361804</v>
      </c>
      <c r="Z21" s="6">
        <v>0</v>
      </c>
      <c r="AA21" s="3">
        <v>119</v>
      </c>
      <c r="AB21" s="6">
        <v>2.7878253746936346</v>
      </c>
      <c r="AC21" s="6">
        <v>5.7632588054898957</v>
      </c>
      <c r="AD21" s="6">
        <v>0</v>
      </c>
      <c r="AE21" s="3">
        <v>149</v>
      </c>
      <c r="AF21" s="6">
        <v>2.3065131837035402</v>
      </c>
      <c r="AG21" s="6">
        <v>4.1987662812352999</v>
      </c>
      <c r="AH21" s="6">
        <v>0.414260086171784</v>
      </c>
      <c r="AI21" s="6">
        <f t="shared" si="0"/>
        <v>2.9863517151120589</v>
      </c>
      <c r="AJ21" s="6">
        <v>2.9130428002386042</v>
      </c>
      <c r="AK21" s="6">
        <v>2.6385987412302923</v>
      </c>
      <c r="AL21" s="133">
        <v>0.89789193862041194</v>
      </c>
      <c r="AM21" s="219">
        <f>(表1[[#This Row],[列1682243]]+AL21)/2</f>
        <v>1.7682453399253522</v>
      </c>
      <c r="AN21" s="132">
        <v>1.8490602766606234</v>
      </c>
      <c r="AO21" s="15">
        <f>IFERROR(VLOOKUP($B21,'2019开发'!$B:$Q,2,0),0)</f>
        <v>448</v>
      </c>
      <c r="AP21" s="6">
        <f>IFERROR(VLOOKUP($B21,'2019开发'!$B:$Q,3,0),0)</f>
        <v>1.8490602766606234</v>
      </c>
      <c r="AQ21" s="132">
        <f>IFERROR(VLOOKUP($B21,'2019开发'!$B:$Q,4,0),0)</f>
        <v>1.3344454888016828</v>
      </c>
      <c r="AR21" s="132">
        <f>IFERROR(VLOOKUP($B21,'2019开发'!$B:$Q,5,0),0)</f>
        <v>3.1835057654623062</v>
      </c>
      <c r="AS21" s="132">
        <f>IFERROR(VLOOKUP($B21,'2019开发'!$B:$Q,6,0),0)</f>
        <v>0.51461478785894066</v>
      </c>
      <c r="AT21" s="132">
        <f>表1[[#This Row],[列172]]*1.1</f>
        <v>2.033966304326686</v>
      </c>
      <c r="AU21" s="132">
        <f>表1[[#This Row],[列18]]*1.1</f>
        <v>3.5018563420085371</v>
      </c>
      <c r="AV21" s="132">
        <f>表1[[#This Row],[列19]]*1.1</f>
        <v>0.56607626664483479</v>
      </c>
      <c r="AW21" s="4" t="s">
        <v>413</v>
      </c>
      <c r="AX21" s="4" t="str">
        <f>IF(AP21&gt;=AM21,"Up","Down")</f>
        <v>Up</v>
      </c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140" t="s">
        <v>236</v>
      </c>
    </row>
    <row r="22" spans="1:79" s="54" customFormat="1">
      <c r="A22" s="336"/>
      <c r="B22" s="153" t="s">
        <v>76</v>
      </c>
      <c r="C22" s="3">
        <v>110</v>
      </c>
      <c r="D22" s="6">
        <v>0.236363636363636</v>
      </c>
      <c r="E22" s="6">
        <v>0.83421415778616204</v>
      </c>
      <c r="F22" s="6">
        <v>1.0705777941498</v>
      </c>
      <c r="G22" s="6">
        <v>0</v>
      </c>
      <c r="H22" s="3">
        <v>109</v>
      </c>
      <c r="I22" s="6">
        <v>0.394495412844037</v>
      </c>
      <c r="J22" s="6">
        <v>1.83594938919922</v>
      </c>
      <c r="K22" s="6">
        <v>2.2304448020432601</v>
      </c>
      <c r="L22" s="6">
        <v>0</v>
      </c>
      <c r="M22" s="3">
        <v>146</v>
      </c>
      <c r="N22" s="6">
        <v>0.26027397260273999</v>
      </c>
      <c r="O22" s="6">
        <v>1.42419871976732</v>
      </c>
      <c r="P22" s="6">
        <v>1.6844726923700599</v>
      </c>
      <c r="Q22" s="6">
        <v>0</v>
      </c>
      <c r="R22" s="3">
        <v>156</v>
      </c>
      <c r="S22" s="6">
        <v>0.147435897435897</v>
      </c>
      <c r="T22" s="6">
        <v>0.71666330043258897</v>
      </c>
      <c r="U22" s="6">
        <v>0.86409919786848699</v>
      </c>
      <c r="V22" s="6">
        <v>0</v>
      </c>
      <c r="W22" s="3">
        <v>246</v>
      </c>
      <c r="X22" s="4">
        <v>0.105691056910569</v>
      </c>
      <c r="Y22" s="4">
        <v>0.58057893850259301</v>
      </c>
      <c r="Z22" s="4">
        <v>0</v>
      </c>
      <c r="AA22" s="3">
        <v>248</v>
      </c>
      <c r="AB22" s="4">
        <v>0.3911290322580645</v>
      </c>
      <c r="AC22" s="4">
        <v>2.5907429879633543</v>
      </c>
      <c r="AD22" s="4">
        <v>0</v>
      </c>
      <c r="AE22" s="3">
        <v>219</v>
      </c>
      <c r="AF22" s="6">
        <v>0.31506849315068503</v>
      </c>
      <c r="AG22" s="6">
        <v>1.7377876141025399</v>
      </c>
      <c r="AH22" s="6">
        <v>0</v>
      </c>
      <c r="AI22" s="6">
        <f t="shared" si="0"/>
        <v>0.20198675496688731</v>
      </c>
      <c r="AJ22" s="4">
        <v>0.24898785425101208</v>
      </c>
      <c r="AK22" s="4">
        <v>0.57228915662650603</v>
      </c>
      <c r="AL22" s="133">
        <v>0.13740458015267176</v>
      </c>
      <c r="AM22" s="219">
        <f>(表1[[#This Row],[列1682243]]+AL22)/2</f>
        <v>0.3548468683895889</v>
      </c>
      <c r="AN22" s="132">
        <v>0.10985748218527316</v>
      </c>
      <c r="AO22" s="15">
        <f>IFERROR(VLOOKUP($B22,'2019开发'!$B:$Q,2,0),0)</f>
        <v>842</v>
      </c>
      <c r="AP22" s="6">
        <f>IFERROR(VLOOKUP($B22,'2019开发'!$B:$Q,3,0),0)</f>
        <v>0.10985748218527316</v>
      </c>
      <c r="AQ22" s="132">
        <f>IFERROR(VLOOKUP($B22,'2019开发'!$B:$Q,4,0),0)</f>
        <v>0.28957167092196207</v>
      </c>
      <c r="AR22" s="132">
        <f>IFERROR(VLOOKUP($B22,'2019开发'!$B:$Q,5,0),0)</f>
        <v>0.39942915310723526</v>
      </c>
      <c r="AS22" s="132">
        <f>IFERROR(VLOOKUP($B22,'2019开发'!$B:$Q,6,0),0)</f>
        <v>0</v>
      </c>
      <c r="AT22" s="17">
        <f>表1[[#This Row],[列172]]*1.1</f>
        <v>0.12084323040380049</v>
      </c>
      <c r="AU22" s="17">
        <f>表1[[#This Row],[列18]]*1.1</f>
        <v>0.43937206841795884</v>
      </c>
      <c r="AV22" s="17">
        <f>表1[[#This Row],[列19]]*1.1</f>
        <v>0</v>
      </c>
      <c r="AW22" s="4" t="s">
        <v>413</v>
      </c>
      <c r="AX22" s="4" t="str">
        <f>IF(AP22&lt;=AM22,"Good","Bad")</f>
        <v>Good</v>
      </c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140" t="s">
        <v>237</v>
      </c>
    </row>
    <row r="23" spans="1:79" s="36" customFormat="1" ht="16.5">
      <c r="A23" s="337"/>
      <c r="B23" s="153" t="s">
        <v>77</v>
      </c>
      <c r="C23" s="3">
        <v>101</v>
      </c>
      <c r="D23" s="6">
        <v>2.9702970297029702E-2</v>
      </c>
      <c r="E23" s="6">
        <v>0.17061333737750101</v>
      </c>
      <c r="F23" s="6">
        <v>0.20031630767453101</v>
      </c>
      <c r="G23" s="6">
        <v>0</v>
      </c>
      <c r="H23" s="3">
        <v>109</v>
      </c>
      <c r="I23" s="6">
        <v>7.3394495412843999E-2</v>
      </c>
      <c r="J23" s="6">
        <v>0.35241027275008502</v>
      </c>
      <c r="K23" s="6">
        <v>0.425804768162929</v>
      </c>
      <c r="L23" s="6">
        <v>0</v>
      </c>
      <c r="M23" s="3">
        <v>149</v>
      </c>
      <c r="N23" s="6">
        <v>6.7114093959731502E-2</v>
      </c>
      <c r="O23" s="6">
        <v>0.36138677211095399</v>
      </c>
      <c r="P23" s="6">
        <v>0.42850086607068599</v>
      </c>
      <c r="Q23" s="6">
        <v>0</v>
      </c>
      <c r="R23" s="3">
        <v>155</v>
      </c>
      <c r="S23" s="6">
        <v>6.4516129032258099E-3</v>
      </c>
      <c r="T23" s="6">
        <v>8.03219328902499E-2</v>
      </c>
      <c r="U23" s="6">
        <v>8.6773545793475695E-2</v>
      </c>
      <c r="V23" s="6">
        <v>0</v>
      </c>
      <c r="W23" s="3">
        <v>229</v>
      </c>
      <c r="X23" s="4">
        <v>8.7336244541484694E-3</v>
      </c>
      <c r="Y23" s="4">
        <v>0.101982319263972</v>
      </c>
      <c r="Z23" s="4">
        <v>0</v>
      </c>
      <c r="AA23" s="3">
        <v>246</v>
      </c>
      <c r="AB23" s="4">
        <v>0</v>
      </c>
      <c r="AC23" s="4">
        <v>0</v>
      </c>
      <c r="AD23" s="4">
        <v>0</v>
      </c>
      <c r="AE23" s="3">
        <v>210</v>
      </c>
      <c r="AF23" s="6">
        <v>5.2380952380952403E-2</v>
      </c>
      <c r="AG23" s="6">
        <v>0.33270722779601902</v>
      </c>
      <c r="AH23" s="6">
        <v>0</v>
      </c>
      <c r="AI23" s="6">
        <f t="shared" si="0"/>
        <v>3.618421052631577E-2</v>
      </c>
      <c r="AJ23" s="4">
        <v>4.2105263157894727E-3</v>
      </c>
      <c r="AK23" s="4">
        <v>2.7863777089783281E-2</v>
      </c>
      <c r="AL23" s="133">
        <v>5.0377833753148613E-3</v>
      </c>
      <c r="AM23" s="219">
        <f>(表1[[#This Row],[列1682243]]+AL23)/2</f>
        <v>1.6450780232549072E-2</v>
      </c>
      <c r="AN23" s="17">
        <v>0</v>
      </c>
      <c r="AO23" s="15">
        <f>IFERROR(VLOOKUP($B23,'2019开发'!$B:$Q,2,0),0)</f>
        <v>847</v>
      </c>
      <c r="AP23" s="6">
        <f>IFERROR(VLOOKUP($B23,'2019开发'!$B:$Q,3,0),0)</f>
        <v>2.6269185360094451E-2</v>
      </c>
      <c r="AQ23" s="132">
        <f>IFERROR(VLOOKUP($B23,'2019开发'!$B:$Q,4,0),0)</f>
        <v>0.53249778432038797</v>
      </c>
      <c r="AR23" s="132">
        <f>IFERROR(VLOOKUP($B23,'2019开发'!$B:$Q,5,0),0)</f>
        <v>0.55876696968048245</v>
      </c>
      <c r="AS23" s="132">
        <f>IFERROR(VLOOKUP($B23,'2019开发'!$B:$Q,6,0),0)</f>
        <v>0</v>
      </c>
      <c r="AT23" s="17">
        <f>表1[[#This Row],[列172]]*1.1</f>
        <v>2.8896103896103899E-2</v>
      </c>
      <c r="AU23" s="17">
        <f>表1[[#This Row],[列18]]*1.1</f>
        <v>0.61464366664853076</v>
      </c>
      <c r="AV23" s="17">
        <f>表1[[#This Row],[列19]]*1.1</f>
        <v>0</v>
      </c>
      <c r="AW23" s="4" t="s">
        <v>413</v>
      </c>
      <c r="AX23" s="4" t="str">
        <f>IF(AP23&lt;=AM23,"Good","Bad")</f>
        <v>Bad</v>
      </c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140" t="s">
        <v>238</v>
      </c>
    </row>
    <row r="24" spans="1:79" s="36" customFormat="1" ht="16.5">
      <c r="A24" s="335" t="s">
        <v>75</v>
      </c>
      <c r="B24" s="153" t="s">
        <v>78</v>
      </c>
      <c r="C24" s="3">
        <v>33</v>
      </c>
      <c r="D24" s="6">
        <v>0.72771848969854902</v>
      </c>
      <c r="E24" s="6">
        <v>0.39794758199258701</v>
      </c>
      <c r="F24" s="6">
        <v>1.12566607169114</v>
      </c>
      <c r="G24" s="6">
        <v>0.32977090770596201</v>
      </c>
      <c r="H24" s="3">
        <v>65</v>
      </c>
      <c r="I24" s="6">
        <v>0.67075379962529402</v>
      </c>
      <c r="J24" s="6">
        <v>0.36509238411406802</v>
      </c>
      <c r="K24" s="6">
        <v>1.03584618373936</v>
      </c>
      <c r="L24" s="6">
        <v>0.305661415511226</v>
      </c>
      <c r="M24" s="3">
        <v>83</v>
      </c>
      <c r="N24" s="6">
        <v>0.75334728038115395</v>
      </c>
      <c r="O24" s="6">
        <v>0.56757945158455403</v>
      </c>
      <c r="P24" s="6">
        <v>1.3209267319657101</v>
      </c>
      <c r="Q24" s="6">
        <v>0.1857678287966</v>
      </c>
      <c r="R24" s="3">
        <v>57</v>
      </c>
      <c r="S24" s="6">
        <v>0.65787482912106898</v>
      </c>
      <c r="T24" s="6">
        <v>0.44556646894201102</v>
      </c>
      <c r="U24" s="6">
        <v>1.1034412980630799</v>
      </c>
      <c r="V24" s="6">
        <v>0.21230836017905799</v>
      </c>
      <c r="W24" s="3">
        <v>109</v>
      </c>
      <c r="X24" s="6">
        <v>0.75554980156387297</v>
      </c>
      <c r="Y24" s="6">
        <v>1.5270019650904001</v>
      </c>
      <c r="Z24" s="6">
        <v>0</v>
      </c>
      <c r="AA24" s="3">
        <v>120</v>
      </c>
      <c r="AB24" s="6">
        <v>0.76535915698072721</v>
      </c>
      <c r="AC24" s="6">
        <v>1.214408440572122</v>
      </c>
      <c r="AD24" s="6">
        <v>0.31630987338933236</v>
      </c>
      <c r="AE24" s="3">
        <v>98</v>
      </c>
      <c r="AF24" s="6">
        <v>0.68993578709894099</v>
      </c>
      <c r="AG24" s="6">
        <v>1.0653302170075301</v>
      </c>
      <c r="AH24" s="6">
        <v>0.31454135719034798</v>
      </c>
      <c r="AI24" s="6">
        <f t="shared" si="0"/>
        <v>0.71447635379669072</v>
      </c>
      <c r="AJ24" s="6">
        <v>0.76069007514475728</v>
      </c>
      <c r="AK24" s="6">
        <v>0.58010921653480818</v>
      </c>
      <c r="AL24" s="133">
        <v>0.71453986449812701</v>
      </c>
      <c r="AM24" s="219">
        <f>(表1[[#This Row],[列1682243]]+AL24)/2</f>
        <v>0.64732454051646759</v>
      </c>
      <c r="AN24" s="132">
        <v>0.55552445222381786</v>
      </c>
      <c r="AO24" s="15">
        <f>IFERROR(VLOOKUP($B24,'2019开发'!$B:$Q,2,0),0)</f>
        <v>249</v>
      </c>
      <c r="AP24" s="6">
        <f>IFERROR(VLOOKUP($B24,'2019开发'!$B:$Q,3,0),0)</f>
        <v>0.55552445222381786</v>
      </c>
      <c r="AQ24" s="132">
        <f>IFERROR(VLOOKUP($B24,'2019开发'!$B:$Q,4,0),0)</f>
        <v>0.20878179150902007</v>
      </c>
      <c r="AR24" s="132">
        <f>IFERROR(VLOOKUP($B24,'2019开发'!$B:$Q,5,0),0)</f>
        <v>0.76430624373283795</v>
      </c>
      <c r="AS24" s="132">
        <f>IFERROR(VLOOKUP($B24,'2019开发'!$B:$Q,6,0),0)</f>
        <v>0.34674266071479776</v>
      </c>
      <c r="AT24" s="132">
        <f>表1[[#This Row],[列172]]*1.1</f>
        <v>0.61107689744619964</v>
      </c>
      <c r="AU24" s="132">
        <f>表1[[#This Row],[列18]]*1.1</f>
        <v>0.8407368681061218</v>
      </c>
      <c r="AV24" s="132">
        <f>表1[[#This Row],[列19]]*1.1</f>
        <v>0.38141692678627759</v>
      </c>
      <c r="AW24" s="4" t="s">
        <v>413</v>
      </c>
      <c r="AX24" s="4" t="str">
        <f>IF(AP24&gt;=AM24,"Up","Down")</f>
        <v>Down</v>
      </c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140" t="s">
        <v>215</v>
      </c>
    </row>
    <row r="25" spans="1:79" s="36" customFormat="1" ht="16.5">
      <c r="A25" s="336"/>
      <c r="B25" s="153" t="s">
        <v>79</v>
      </c>
      <c r="C25" s="3">
        <v>29</v>
      </c>
      <c r="D25" s="4">
        <v>6.8388177210816997E-2</v>
      </c>
      <c r="E25" s="4">
        <v>6.8000831889321697E-2</v>
      </c>
      <c r="F25" s="4">
        <v>0.13638900910013901</v>
      </c>
      <c r="G25" s="4">
        <v>3.8734532149525803E-4</v>
      </c>
      <c r="H25" s="3">
        <v>66</v>
      </c>
      <c r="I25" s="4">
        <v>6.9004816984376396E-2</v>
      </c>
      <c r="J25" s="4">
        <v>8.1025738563746799E-2</v>
      </c>
      <c r="K25" s="4">
        <v>0.150030555548123</v>
      </c>
      <c r="L25" s="4">
        <v>0</v>
      </c>
      <c r="M25" s="3">
        <v>62</v>
      </c>
      <c r="N25" s="4">
        <v>0.117161769151919</v>
      </c>
      <c r="O25" s="4">
        <v>0.10792840376901899</v>
      </c>
      <c r="P25" s="4">
        <v>0.225090172920938</v>
      </c>
      <c r="Q25" s="4">
        <v>9.2333653828995006E-3</v>
      </c>
      <c r="R25" s="3">
        <v>120</v>
      </c>
      <c r="S25" s="4">
        <v>5.8399955952397102E-2</v>
      </c>
      <c r="T25" s="4">
        <v>0.100643732686322</v>
      </c>
      <c r="U25" s="4">
        <v>0.15904368863871901</v>
      </c>
      <c r="V25" s="4">
        <v>0</v>
      </c>
      <c r="W25" s="3">
        <v>186</v>
      </c>
      <c r="X25" s="6">
        <v>5.80013105999388E-2</v>
      </c>
      <c r="Y25" s="6">
        <v>0.26290134094979301</v>
      </c>
      <c r="Z25" s="6">
        <v>0</v>
      </c>
      <c r="AA25" s="3">
        <v>76</v>
      </c>
      <c r="AB25" s="6">
        <v>9.2929414821784406E-2</v>
      </c>
      <c r="AC25" s="6">
        <v>0.27214231614589551</v>
      </c>
      <c r="AD25" s="6">
        <v>0</v>
      </c>
      <c r="AE25" s="3">
        <v>95</v>
      </c>
      <c r="AF25" s="4">
        <v>6.8816579579816198E-2</v>
      </c>
      <c r="AG25" s="4">
        <v>0.14574006317831001</v>
      </c>
      <c r="AH25" s="4">
        <v>0</v>
      </c>
      <c r="AI25" s="4">
        <f t="shared" si="0"/>
        <v>7.8417716492893572E-2</v>
      </c>
      <c r="AJ25" s="6">
        <v>6.8133127091771883E-2</v>
      </c>
      <c r="AK25" s="6">
        <v>6.7169716625482254E-2</v>
      </c>
      <c r="AL25" s="133">
        <v>5.6974731371873262E-2</v>
      </c>
      <c r="AM25" s="219">
        <f>(表1[[#This Row],[列1682243]]+AL25)/2</f>
        <v>6.2072223998677761E-2</v>
      </c>
      <c r="AN25" s="132">
        <v>0.41306684816988298</v>
      </c>
      <c r="AO25" s="15">
        <f>IFERROR(VLOOKUP($B25,'2019开发'!$B:$Q,2,0),0)</f>
        <v>368</v>
      </c>
      <c r="AP25" s="6">
        <f>IFERROR(VLOOKUP($B25,'2019开发'!$B:$Q,3,0),0)</f>
        <v>0.41306684816988298</v>
      </c>
      <c r="AQ25" s="132">
        <f>IFERROR(VLOOKUP($B25,'2019开发'!$B:$Q,4,0),0)</f>
        <v>7.041040440381769</v>
      </c>
      <c r="AR25" s="132">
        <f>IFERROR(VLOOKUP($B25,'2019开发'!$B:$Q,5,0),0)</f>
        <v>7.4541072885516524</v>
      </c>
      <c r="AS25" s="132">
        <f>IFERROR(VLOOKUP($B25,'2019开发'!$B:$Q,6,0),0)</f>
        <v>0</v>
      </c>
      <c r="AT25" s="132">
        <f>表1[[#This Row],[列172]]*1.1</f>
        <v>0.45437353298687133</v>
      </c>
      <c r="AU25" s="132">
        <f>表1[[#This Row],[列18]]*1.1</f>
        <v>8.1995180174068185</v>
      </c>
      <c r="AV25" s="132">
        <f>表1[[#This Row],[列19]]*1.1</f>
        <v>0</v>
      </c>
      <c r="AW25" s="4" t="s">
        <v>413</v>
      </c>
      <c r="AX25" s="4" t="str">
        <f>IF(AP25&gt;=AM25,"Up","Down")</f>
        <v>Up</v>
      </c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140" t="s">
        <v>216</v>
      </c>
    </row>
    <row r="26" spans="1:79" s="36" customFormat="1" ht="16.5">
      <c r="A26" s="336"/>
      <c r="B26" s="153" t="s">
        <v>80</v>
      </c>
      <c r="C26" s="3">
        <v>99</v>
      </c>
      <c r="D26" s="4">
        <v>25.857490232399599</v>
      </c>
      <c r="E26" s="4">
        <v>15.7802341920085</v>
      </c>
      <c r="F26" s="4">
        <v>41.637724424408098</v>
      </c>
      <c r="G26" s="4">
        <v>10.077256040390999</v>
      </c>
      <c r="H26" s="3">
        <v>76</v>
      </c>
      <c r="I26" s="4">
        <v>24.314963607861401</v>
      </c>
      <c r="J26" s="4">
        <v>21.297943657988</v>
      </c>
      <c r="K26" s="4">
        <v>45.612907265849401</v>
      </c>
      <c r="L26" s="4">
        <v>3.01701994987341</v>
      </c>
      <c r="M26" s="3">
        <v>88</v>
      </c>
      <c r="N26" s="4">
        <v>30.395230701131901</v>
      </c>
      <c r="O26" s="4">
        <v>19.626424797560901</v>
      </c>
      <c r="P26" s="4">
        <v>50.021655498692802</v>
      </c>
      <c r="Q26" s="4">
        <v>10.768805903571</v>
      </c>
      <c r="R26" s="3">
        <v>137</v>
      </c>
      <c r="S26" s="4">
        <v>27.870710418463599</v>
      </c>
      <c r="T26" s="4">
        <v>33.175090746542601</v>
      </c>
      <c r="U26" s="4">
        <v>61.045801165006203</v>
      </c>
      <c r="V26" s="4">
        <v>0</v>
      </c>
      <c r="W26" s="3">
        <v>189</v>
      </c>
      <c r="X26" s="11">
        <v>40.420817300278003</v>
      </c>
      <c r="Y26" s="11">
        <v>78.819395706459005</v>
      </c>
      <c r="Z26" s="11">
        <v>2.0222388940969398</v>
      </c>
      <c r="AA26" s="3">
        <v>173</v>
      </c>
      <c r="AB26" s="11">
        <v>39.598813971181343</v>
      </c>
      <c r="AC26" s="11">
        <v>83.984177262041982</v>
      </c>
      <c r="AD26" s="11">
        <v>0</v>
      </c>
      <c r="AE26" s="3">
        <v>175</v>
      </c>
      <c r="AF26" s="4">
        <v>25.187592955457301</v>
      </c>
      <c r="AG26" s="4">
        <v>43.527617012793698</v>
      </c>
      <c r="AH26" s="4">
        <v>6.84756889812083</v>
      </c>
      <c r="AI26" s="4">
        <f t="shared" si="0"/>
        <v>28.858078351240536</v>
      </c>
      <c r="AJ26" s="11">
        <v>40.027981455157224</v>
      </c>
      <c r="AK26" s="11">
        <v>52.416123873831914</v>
      </c>
      <c r="AL26" s="133">
        <v>44.122206886651512</v>
      </c>
      <c r="AM26" s="178">
        <f>(表1[[#This Row],[列1682243]]+AL26)/2</f>
        <v>48.269165380241716</v>
      </c>
      <c r="AN26" s="6">
        <v>30.504012006008416</v>
      </c>
      <c r="AO26" s="15">
        <f>IFERROR(VLOOKUP($B26,'2019开发'!$B:$Q,2,0),0)</f>
        <v>452</v>
      </c>
      <c r="AP26" s="6">
        <f>IFERROR(VLOOKUP($B26,'2019开发'!$B:$Q,3,0),0)</f>
        <v>30.504012006008416</v>
      </c>
      <c r="AQ26" s="132">
        <f>IFERROR(VLOOKUP($B26,'2019开发'!$B:$Q,4,0),0)</f>
        <v>62.402067791408008</v>
      </c>
      <c r="AR26" s="132">
        <f>IFERROR(VLOOKUP($B26,'2019开发'!$B:$Q,5,0),0)</f>
        <v>92.906079797416425</v>
      </c>
      <c r="AS26" s="132">
        <f>IFERROR(VLOOKUP($B26,'2019开发'!$B:$Q,6,0),0)</f>
        <v>0</v>
      </c>
      <c r="AT26" s="17">
        <f>表1[[#This Row],[列172]]*1.1</f>
        <v>33.554413206609262</v>
      </c>
      <c r="AU26" s="17">
        <f>表1[[#This Row],[列18]]*1.1</f>
        <v>102.19668777715808</v>
      </c>
      <c r="AV26" s="17">
        <f>表1[[#This Row],[列19]]*1.1</f>
        <v>0</v>
      </c>
      <c r="AW26" s="4"/>
      <c r="AX26" s="4" t="str">
        <f>IF(AP26&gt;=AM26,"Up","Down")</f>
        <v>Down</v>
      </c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140" t="s">
        <v>227</v>
      </c>
    </row>
    <row r="27" spans="1:79" s="55" customFormat="1" ht="14.25">
      <c r="A27" s="336"/>
      <c r="B27" s="153" t="s">
        <v>81</v>
      </c>
      <c r="C27" s="3"/>
      <c r="D27" s="5"/>
      <c r="E27" s="5"/>
      <c r="F27" s="5"/>
      <c r="G27" s="5"/>
      <c r="H27" s="3">
        <v>70</v>
      </c>
      <c r="I27" s="5">
        <v>0.158459806871665</v>
      </c>
      <c r="J27" s="5">
        <v>0.26766434851975401</v>
      </c>
      <c r="K27" s="5">
        <v>0.42612415539141901</v>
      </c>
      <c r="L27" s="5">
        <v>0</v>
      </c>
      <c r="M27" s="3">
        <v>105</v>
      </c>
      <c r="N27" s="5">
        <v>0.162479283341292</v>
      </c>
      <c r="O27" s="5">
        <v>0.29735173526450198</v>
      </c>
      <c r="P27" s="5">
        <v>0.45983101860579401</v>
      </c>
      <c r="Q27" s="5">
        <v>0</v>
      </c>
      <c r="R27" s="3">
        <v>99</v>
      </c>
      <c r="S27" s="5">
        <v>0.27255515524972201</v>
      </c>
      <c r="T27" s="5">
        <v>0.35755595622111003</v>
      </c>
      <c r="U27" s="5">
        <v>0.63011111147083199</v>
      </c>
      <c r="V27" s="5">
        <v>0</v>
      </c>
      <c r="W27" s="3">
        <v>151</v>
      </c>
      <c r="X27" s="16">
        <v>0.30267685775550401</v>
      </c>
      <c r="Y27" s="16">
        <v>0.66891932450492197</v>
      </c>
      <c r="Z27" s="16">
        <v>0</v>
      </c>
      <c r="AA27" s="3">
        <v>82</v>
      </c>
      <c r="AB27" s="16">
        <v>0.67651414713380853</v>
      </c>
      <c r="AC27" s="16">
        <v>0.95581724036839932</v>
      </c>
      <c r="AD27" s="16">
        <v>0.39721105389921779</v>
      </c>
      <c r="AE27" s="3">
        <v>70</v>
      </c>
      <c r="AF27" s="5">
        <v>0.158459806871665</v>
      </c>
      <c r="AG27" s="5">
        <v>0.42612415539141901</v>
      </c>
      <c r="AH27" s="5">
        <v>0</v>
      </c>
      <c r="AI27" s="5">
        <f t="shared" si="0"/>
        <v>0.2158984564733242</v>
      </c>
      <c r="AJ27" s="16">
        <v>0.43424191238649534</v>
      </c>
      <c r="AK27" s="16">
        <v>0.62038419959817204</v>
      </c>
      <c r="AL27" s="225">
        <v>0.36596255592465327</v>
      </c>
      <c r="AM27" s="179">
        <f>(表1[[#This Row],[列1682243]]+AL27)/2</f>
        <v>0.49317337776141268</v>
      </c>
      <c r="AN27" s="23">
        <v>0.69960755219004511</v>
      </c>
      <c r="AO27" s="15">
        <f>IFERROR(VLOOKUP($B27,'2019开发'!$B:$Q,2,0),0)</f>
        <v>285</v>
      </c>
      <c r="AP27" s="6">
        <f>IFERROR(VLOOKUP($B27,'2019开发'!$B:$Q,3,0),0)</f>
        <v>0.69960755219004511</v>
      </c>
      <c r="AQ27" s="132">
        <f>IFERROR(VLOOKUP($B27,'2019开发'!$B:$Q,4,0),0)</f>
        <v>0.271360347427619</v>
      </c>
      <c r="AR27" s="132">
        <f>IFERROR(VLOOKUP($B27,'2019开发'!$B:$Q,5,0),0)</f>
        <v>0.97096789961766405</v>
      </c>
      <c r="AS27" s="132">
        <f>IFERROR(VLOOKUP($B27,'2019开发'!$B:$Q,6,0),0)</f>
        <v>0.42824720476242611</v>
      </c>
      <c r="AT27" s="23">
        <f>表1[[#This Row],[列172]]*1.1</f>
        <v>0.76956830740904969</v>
      </c>
      <c r="AU27" s="23">
        <v>1</v>
      </c>
      <c r="AV27" s="23">
        <f>表1[[#This Row],[列19]]*1.1</f>
        <v>0.47107192523866875</v>
      </c>
      <c r="AW27" s="23"/>
      <c r="AX27" s="4" t="str">
        <f>IF(AP27&gt;=AM27,"Up","Down")</f>
        <v>Up</v>
      </c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140" t="s">
        <v>239</v>
      </c>
    </row>
    <row r="28" spans="1:79" s="36" customFormat="1" ht="16.5">
      <c r="A28" s="337"/>
      <c r="B28" s="153" t="s">
        <v>82</v>
      </c>
      <c r="C28" s="3">
        <v>98</v>
      </c>
      <c r="D28" s="6">
        <v>2.6911001586628802</v>
      </c>
      <c r="E28" s="6">
        <v>2.0823637788500702</v>
      </c>
      <c r="F28" s="6">
        <v>4.7734639375129504</v>
      </c>
      <c r="G28" s="6">
        <v>0.60873637981280604</v>
      </c>
      <c r="H28" s="3">
        <v>104</v>
      </c>
      <c r="I28" s="6">
        <v>1.81230433220402</v>
      </c>
      <c r="J28" s="6">
        <v>2.03722219336212</v>
      </c>
      <c r="K28" s="6">
        <v>3.8495265255661399</v>
      </c>
      <c r="L28" s="6">
        <v>0</v>
      </c>
      <c r="M28" s="3">
        <v>136</v>
      </c>
      <c r="N28" s="6">
        <v>2.43408404443782</v>
      </c>
      <c r="O28" s="6">
        <v>2.9622808490638999</v>
      </c>
      <c r="P28" s="6">
        <v>5.3963648935017199</v>
      </c>
      <c r="Q28" s="6">
        <v>0</v>
      </c>
      <c r="R28" s="3">
        <v>113</v>
      </c>
      <c r="S28" s="6">
        <v>2.26163750288694</v>
      </c>
      <c r="T28" s="6">
        <v>1.98915796748662</v>
      </c>
      <c r="U28" s="6">
        <v>4.2507954703735598</v>
      </c>
      <c r="V28" s="6">
        <v>0.272479535400317</v>
      </c>
      <c r="W28" s="3">
        <v>203</v>
      </c>
      <c r="X28" s="6">
        <v>3.2235911388776799</v>
      </c>
      <c r="Y28" s="6">
        <v>7.8908723820338196</v>
      </c>
      <c r="Z28" s="6">
        <v>0</v>
      </c>
      <c r="AA28" s="3">
        <v>146</v>
      </c>
      <c r="AB28" s="6">
        <v>2.1966435979767955</v>
      </c>
      <c r="AC28" s="6">
        <v>3.9463735176719976</v>
      </c>
      <c r="AD28" s="6">
        <v>0.44691367828159345</v>
      </c>
      <c r="AE28" s="3">
        <v>202</v>
      </c>
      <c r="AF28" s="6">
        <v>2.23865082226822</v>
      </c>
      <c r="AG28" s="6">
        <v>4.3394197658361104</v>
      </c>
      <c r="AH28" s="6">
        <v>0.13788187870033</v>
      </c>
      <c r="AI28" s="6">
        <f t="shared" si="0"/>
        <v>2.3558251721677417</v>
      </c>
      <c r="AJ28" s="6">
        <v>2.0682818357542847</v>
      </c>
      <c r="AK28" s="6">
        <v>3.7310296749989065</v>
      </c>
      <c r="AL28" s="133">
        <v>2.1842218146090135</v>
      </c>
      <c r="AM28" s="219">
        <f>(表1[[#This Row],[列1682243]]+AL28)/2</f>
        <v>2.95762574480396</v>
      </c>
      <c r="AN28" s="6">
        <v>2.8506544961179316</v>
      </c>
      <c r="AO28" s="15">
        <f>IFERROR(VLOOKUP($B28,'2019开发'!$B:$Q,2,0),0)</f>
        <v>609</v>
      </c>
      <c r="AP28" s="6">
        <f>IFERROR(VLOOKUP($B28,'2019开发'!$B:$Q,3,0),0)</f>
        <v>2.8506544961179316</v>
      </c>
      <c r="AQ28" s="132">
        <f>IFERROR(VLOOKUP($B28,'2019开发'!$B:$Q,4,0),0)</f>
        <v>1.3610262532246218</v>
      </c>
      <c r="AR28" s="132">
        <f>IFERROR(VLOOKUP($B28,'2019开发'!$B:$Q,5,0),0)</f>
        <v>4.2116807493425537</v>
      </c>
      <c r="AS28" s="132">
        <f>IFERROR(VLOOKUP($B28,'2019开发'!$B:$Q,6,0),0)</f>
        <v>1.4896282428933099</v>
      </c>
      <c r="AT28" s="132">
        <f>表1[[#This Row],[列172]]*1.1</f>
        <v>3.1357199457297251</v>
      </c>
      <c r="AU28" s="132">
        <f>表1[[#This Row],[列18]]*1.1</f>
        <v>4.6328488242768096</v>
      </c>
      <c r="AV28" s="132">
        <f>表1[[#This Row],[列19]]*1.1</f>
        <v>1.6385910671826409</v>
      </c>
      <c r="AW28" s="4" t="s">
        <v>413</v>
      </c>
      <c r="AX28" s="4" t="str">
        <f>IF(AP28&gt;=AM28,"Up","Down")</f>
        <v>Down</v>
      </c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140" t="s">
        <v>228</v>
      </c>
    </row>
    <row r="29" spans="1:79" s="36" customFormat="1" ht="16.5">
      <c r="A29" s="60" t="s">
        <v>83</v>
      </c>
      <c r="B29" s="153" t="s">
        <v>84</v>
      </c>
      <c r="C29" s="3"/>
      <c r="D29" s="5"/>
      <c r="E29" s="5"/>
      <c r="F29" s="5"/>
      <c r="G29" s="5"/>
      <c r="H29" s="3"/>
      <c r="I29" s="3"/>
      <c r="J29" s="3"/>
      <c r="K29" s="3"/>
      <c r="L29" s="3"/>
      <c r="M29" s="3">
        <v>52</v>
      </c>
      <c r="N29" s="6">
        <v>0.25394490539550102</v>
      </c>
      <c r="O29" s="6">
        <v>0.37062011495198099</v>
      </c>
      <c r="P29" s="6">
        <v>0.62456502034748196</v>
      </c>
      <c r="Q29" s="6">
        <v>0</v>
      </c>
      <c r="R29" s="3">
        <v>25</v>
      </c>
      <c r="S29" s="6">
        <v>0.25116483532419598</v>
      </c>
      <c r="T29" s="6">
        <v>0.51398253281558004</v>
      </c>
      <c r="U29" s="6">
        <v>0.76514736813977602</v>
      </c>
      <c r="V29" s="6">
        <v>0</v>
      </c>
      <c r="W29" s="3">
        <v>67</v>
      </c>
      <c r="X29" s="3">
        <v>0.178843797885474</v>
      </c>
      <c r="Y29" s="3">
        <v>0.66333508221104598</v>
      </c>
      <c r="Z29" s="3">
        <v>0</v>
      </c>
      <c r="AA29" s="3">
        <v>48</v>
      </c>
      <c r="AB29" s="3">
        <v>0.36317790537613814</v>
      </c>
      <c r="AC29" s="3">
        <v>1.1599376117330844</v>
      </c>
      <c r="AD29" s="3">
        <v>0</v>
      </c>
      <c r="AE29" s="3"/>
      <c r="AF29" s="3"/>
      <c r="AG29" s="3"/>
      <c r="AH29" s="3"/>
      <c r="AI29" s="6">
        <f t="shared" si="0"/>
        <v>0.2530422852424799</v>
      </c>
      <c r="AJ29" s="6">
        <v>0.2557832514467947</v>
      </c>
      <c r="AK29" s="6">
        <v>0.18069080398944357</v>
      </c>
      <c r="AL29" s="133">
        <v>0.24449957510038708</v>
      </c>
      <c r="AM29" s="178">
        <f>(表1[[#This Row],[列1682243]]+AL29)/2</f>
        <v>0.21259518954491533</v>
      </c>
      <c r="AN29" s="6">
        <v>0.28497896784887095</v>
      </c>
      <c r="AO29" s="15">
        <f>IFERROR(VLOOKUP($B29,'2019开发'!$B:$Q,2,0),0)</f>
        <v>86</v>
      </c>
      <c r="AP29" s="6">
        <f>IFERROR(VLOOKUP($B29,'2019开发'!$B:$Q,3,0),0)</f>
        <v>0.28497896784887095</v>
      </c>
      <c r="AQ29" s="132">
        <f>IFERROR(VLOOKUP($B29,'2019开发'!$B:$Q,4,0),0)</f>
        <v>0.26420721303993067</v>
      </c>
      <c r="AR29" s="132">
        <f>IFERROR(VLOOKUP($B29,'2019开发'!$B:$Q,5,0),0)</f>
        <v>0.54918618088880167</v>
      </c>
      <c r="AS29" s="132">
        <f>IFERROR(VLOOKUP($B29,'2019开发'!$B:$Q,6,0),0)</f>
        <v>2.0771754808940279E-2</v>
      </c>
      <c r="AT29" s="132">
        <f>表1[[#This Row],[列172]]*1.1</f>
        <v>0.31347686463375807</v>
      </c>
      <c r="AU29" s="132">
        <f>表1[[#This Row],[列18]]*1.1</f>
        <v>0.60410479897768188</v>
      </c>
      <c r="AV29" s="132">
        <f>表1[[#This Row],[列19]]*1.1</f>
        <v>2.2848930289834309E-2</v>
      </c>
      <c r="AW29" s="4"/>
      <c r="AX29" s="4" t="str">
        <f>IF(AP29&lt;=AM29,"Good","Bad")</f>
        <v>Bad</v>
      </c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140" t="s">
        <v>240</v>
      </c>
    </row>
    <row r="30" spans="1:79" s="36" customFormat="1" ht="16.5">
      <c r="A30" s="334" t="s">
        <v>85</v>
      </c>
      <c r="B30" s="153" t="s">
        <v>86</v>
      </c>
      <c r="C30" s="3"/>
      <c r="D30" s="5"/>
      <c r="E30" s="5"/>
      <c r="F30" s="5"/>
      <c r="G30" s="5"/>
      <c r="H30" s="3"/>
      <c r="I30" s="3"/>
      <c r="J30" s="3"/>
      <c r="K30" s="3"/>
      <c r="L30" s="3"/>
      <c r="M30" s="3"/>
      <c r="N30" s="3" t="s">
        <v>87</v>
      </c>
      <c r="O30" s="3" t="s">
        <v>87</v>
      </c>
      <c r="P30" s="3" t="s">
        <v>87</v>
      </c>
      <c r="Q30" s="3" t="s">
        <v>87</v>
      </c>
      <c r="R30" s="3"/>
      <c r="S30" s="3"/>
      <c r="T30" s="3"/>
      <c r="U30" s="3"/>
      <c r="V30" s="3"/>
      <c r="W30" s="3">
        <v>2</v>
      </c>
      <c r="X30" s="3">
        <v>0.11874999999999999</v>
      </c>
      <c r="Y30" s="3">
        <v>0.28668786053180501</v>
      </c>
      <c r="Z30" s="3">
        <v>0</v>
      </c>
      <c r="AA30" s="3"/>
      <c r="AB30" s="3"/>
      <c r="AC30" s="3"/>
      <c r="AD30" s="3"/>
      <c r="AE30" s="3"/>
      <c r="AF30" s="3"/>
      <c r="AG30" s="3"/>
      <c r="AH30" s="3"/>
      <c r="AI30" s="3"/>
      <c r="AJ30" s="3">
        <v>0.11874999999999999</v>
      </c>
      <c r="AK30" s="3">
        <v>0.24831717302305537</v>
      </c>
      <c r="AL30" s="133">
        <v>8.6417748917748931E-3</v>
      </c>
      <c r="AM30" s="178">
        <f>(表1[[#This Row],[列1682243]]+AL30)/2</f>
        <v>0.12847947395741513</v>
      </c>
      <c r="AN30" s="17">
        <v>0.14596566636612912</v>
      </c>
      <c r="AO30" s="15">
        <f>IFERROR(VLOOKUP($B30,'2019开发'!$B:$Q,2,0),0)</f>
        <v>85</v>
      </c>
      <c r="AP30" s="6">
        <f>IFERROR(VLOOKUP($B30,'2019开发'!$B:$Q,3,0),0)</f>
        <v>0.14596566636612912</v>
      </c>
      <c r="AQ30" s="132">
        <f>IFERROR(VLOOKUP($B30,'2019开发'!$B:$Q,4,0),0)</f>
        <v>0.29887330194618872</v>
      </c>
      <c r="AR30" s="132">
        <f>IFERROR(VLOOKUP($B30,'2019开发'!$B:$Q,5,0),0)</f>
        <v>0.44483896831231784</v>
      </c>
      <c r="AS30" s="132">
        <f>IFERROR(VLOOKUP($B30,'2019开发'!$B:$Q,6,0),0)</f>
        <v>0</v>
      </c>
      <c r="AT30" s="132">
        <f>表1[[#This Row],[列172]]*1.1</f>
        <v>0.16056223300274206</v>
      </c>
      <c r="AU30" s="132">
        <f>表1[[#This Row],[列18]]*1.1</f>
        <v>0.48932286514354967</v>
      </c>
      <c r="AV30" s="132">
        <f>表1[[#This Row],[列19]]*1.1</f>
        <v>0</v>
      </c>
      <c r="AW30" s="4"/>
      <c r="AX30" s="4" t="str">
        <f>IF(AP30&lt;=AM30,"Good","Bad")</f>
        <v>Bad</v>
      </c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140" t="s">
        <v>225</v>
      </c>
    </row>
    <row r="31" spans="1:79" s="54" customFormat="1">
      <c r="A31" s="334"/>
      <c r="B31" s="153" t="s">
        <v>88</v>
      </c>
      <c r="C31" s="3"/>
      <c r="D31" s="5"/>
      <c r="E31" s="5"/>
      <c r="F31" s="5"/>
      <c r="G31" s="5"/>
      <c r="H31" s="3"/>
      <c r="I31" s="3"/>
      <c r="J31" s="3"/>
      <c r="K31" s="3"/>
      <c r="L31" s="3"/>
      <c r="M31" s="3"/>
      <c r="N31" s="3" t="s">
        <v>87</v>
      </c>
      <c r="O31" s="3" t="s">
        <v>87</v>
      </c>
      <c r="P31" s="3" t="s">
        <v>87</v>
      </c>
      <c r="Q31" s="3" t="s">
        <v>87</v>
      </c>
      <c r="R31" s="3"/>
      <c r="S31" s="3"/>
      <c r="T31" s="3"/>
      <c r="U31" s="3"/>
      <c r="V31" s="3"/>
      <c r="W31" s="3">
        <v>180</v>
      </c>
      <c r="X31" s="3">
        <v>0</v>
      </c>
      <c r="Y31" s="3">
        <v>0</v>
      </c>
      <c r="Z31" s="3">
        <v>0</v>
      </c>
      <c r="AA31" s="3"/>
      <c r="AB31" s="3"/>
      <c r="AC31" s="3"/>
      <c r="AD31" s="3"/>
      <c r="AE31" s="3"/>
      <c r="AF31" s="3"/>
      <c r="AG31" s="3"/>
      <c r="AH31" s="3"/>
      <c r="AI31" s="3"/>
      <c r="AJ31" s="3">
        <v>0</v>
      </c>
      <c r="AK31" s="3">
        <v>7.7735633283543978E-2</v>
      </c>
      <c r="AL31" s="133">
        <v>7.1295599039657024E-3</v>
      </c>
      <c r="AM31" s="219">
        <f>(表1[[#This Row],[列1682243]]+AL31)/2</f>
        <v>4.243259659375484E-2</v>
      </c>
      <c r="AN31" s="6">
        <v>7.4053193335647347E-2</v>
      </c>
      <c r="AO31" s="15">
        <f>IFERROR(VLOOKUP($B31,'2019开发'!$B:$Q,2,0),0)</f>
        <v>268</v>
      </c>
      <c r="AP31" s="6">
        <f>IFERROR(VLOOKUP($B31,'2019开发'!$B:$Q,3,0),0)</f>
        <v>7.4053193335647347E-2</v>
      </c>
      <c r="AQ31" s="132">
        <f>IFERROR(VLOOKUP($B31,'2019开发'!$B:$Q,4,0),0)</f>
        <v>0.45027119748174771</v>
      </c>
      <c r="AR31" s="132">
        <f>IFERROR(VLOOKUP($B31,'2019开发'!$B:$Q,5,0),0)</f>
        <v>0.52432439081739501</v>
      </c>
      <c r="AS31" s="132">
        <f>IFERROR(VLOOKUP($B31,'2019开发'!$B:$Q,6,0),0)</f>
        <v>0</v>
      </c>
      <c r="AT31" s="132">
        <f>表1[[#This Row],[列172]]*1.1</f>
        <v>8.1458512669212085E-2</v>
      </c>
      <c r="AU31" s="132">
        <f>表1[[#This Row],[列18]]*1.1</f>
        <v>0.57675682989913457</v>
      </c>
      <c r="AV31" s="132">
        <f>表1[[#This Row],[列19]]*1.1</f>
        <v>0</v>
      </c>
      <c r="AW31" s="4"/>
      <c r="AX31" s="4" t="str">
        <f>IF(AP31&lt;=AM31,"Good","Bad")</f>
        <v>Bad</v>
      </c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140" t="s">
        <v>218</v>
      </c>
    </row>
    <row r="32" spans="1:79" s="54" customFormat="1">
      <c r="A32" s="334" t="s">
        <v>89</v>
      </c>
      <c r="B32" s="153" t="s">
        <v>90</v>
      </c>
      <c r="C32" s="3">
        <v>82</v>
      </c>
      <c r="D32" s="4">
        <v>1.68170731707317</v>
      </c>
      <c r="E32" s="4">
        <v>2.22511634035031</v>
      </c>
      <c r="F32" s="4">
        <v>3.9068236574234798</v>
      </c>
      <c r="G32" s="4">
        <v>0</v>
      </c>
      <c r="H32" s="3">
        <v>86</v>
      </c>
      <c r="I32" s="4">
        <v>1.2452380952380999</v>
      </c>
      <c r="J32" s="4">
        <v>1.96250422526779</v>
      </c>
      <c r="K32" s="4">
        <v>3.2077423205058802</v>
      </c>
      <c r="L32" s="4">
        <v>0</v>
      </c>
      <c r="M32" s="3">
        <v>119</v>
      </c>
      <c r="N32" s="4">
        <v>1.0546218487395</v>
      </c>
      <c r="O32" s="4">
        <v>2.4845880161562102</v>
      </c>
      <c r="P32" s="4">
        <v>3.5392098648957102</v>
      </c>
      <c r="Q32" s="4">
        <v>0</v>
      </c>
      <c r="R32" s="3">
        <v>133</v>
      </c>
      <c r="S32" s="4">
        <v>1.3345864661654101</v>
      </c>
      <c r="T32" s="4">
        <v>3.44803512586653</v>
      </c>
      <c r="U32" s="4">
        <v>4.7826215920319397</v>
      </c>
      <c r="V32" s="4">
        <v>0</v>
      </c>
      <c r="W32" s="3">
        <v>202</v>
      </c>
      <c r="X32" s="4">
        <v>0.561386138613861</v>
      </c>
      <c r="Y32" s="4">
        <v>2.5861566395592002</v>
      </c>
      <c r="Z32" s="4">
        <v>0</v>
      </c>
      <c r="AA32" s="3">
        <v>266</v>
      </c>
      <c r="AB32" s="4">
        <v>0.74714285714285622</v>
      </c>
      <c r="AC32" s="4">
        <v>2.443044719481783</v>
      </c>
      <c r="AD32" s="4">
        <v>0</v>
      </c>
      <c r="AE32" s="3">
        <v>168</v>
      </c>
      <c r="AF32" s="4">
        <v>1.4608433734939801</v>
      </c>
      <c r="AG32" s="4">
        <v>3.5622361034762799</v>
      </c>
      <c r="AH32" s="4">
        <v>0</v>
      </c>
      <c r="AI32" s="4">
        <f t="shared" ref="AI32:AI46" si="1">SUM(N32*$M32,S32*$R32)/SUM($M32,$R32)</f>
        <v>1.2023809523809526</v>
      </c>
      <c r="AJ32" s="4">
        <v>0.66696581196581117</v>
      </c>
      <c r="AK32" s="4">
        <v>1.8693749999999998</v>
      </c>
      <c r="AL32" s="133">
        <v>1.5412195121951215</v>
      </c>
      <c r="AM32" s="178">
        <f>(表1[[#This Row],[列1682243]]+AL32)/2</f>
        <v>1.7052972560975608</v>
      </c>
      <c r="AN32" s="6">
        <v>0.70238244514106585</v>
      </c>
      <c r="AO32" s="15">
        <f>IFERROR(VLOOKUP($B32,'2019开发'!$B:$Q,2,0),0)</f>
        <v>638</v>
      </c>
      <c r="AP32" s="6">
        <f>IFERROR(VLOOKUP($B32,'2019开发'!$B:$Q,3,0),0)</f>
        <v>0.70238244514106585</v>
      </c>
      <c r="AQ32" s="132">
        <f>IFERROR(VLOOKUP($B32,'2019开发'!$B:$Q,4,0),0)</f>
        <v>0.41342308383753762</v>
      </c>
      <c r="AR32" s="132">
        <f>IFERROR(VLOOKUP($B32,'2019开发'!$B:$Q,5,0),0)</f>
        <v>1.1158055289786035</v>
      </c>
      <c r="AS32" s="132">
        <f>IFERROR(VLOOKUP($B32,'2019开发'!$B:$Q,6,0),0)</f>
        <v>0.28895936130352823</v>
      </c>
      <c r="AT32" s="132">
        <f>表1[[#This Row],[列172]]*1.1</f>
        <v>0.7726206896551725</v>
      </c>
      <c r="AU32" s="132">
        <f>表1[[#This Row],[列18]]*1.1</f>
        <v>1.2273860818764639</v>
      </c>
      <c r="AV32" s="132">
        <f>表1[[#This Row],[列19]]*1.1</f>
        <v>0.31785529743388108</v>
      </c>
      <c r="AW32" s="4"/>
      <c r="AX32" s="4" t="str">
        <f>IF(AP32&lt;=AM32,"Good","Bad")</f>
        <v>Good</v>
      </c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140" t="s">
        <v>241</v>
      </c>
    </row>
    <row r="33" spans="1:79" s="54" customFormat="1">
      <c r="A33" s="334"/>
      <c r="B33" s="153" t="s">
        <v>91</v>
      </c>
      <c r="C33" s="3"/>
      <c r="D33" s="5"/>
      <c r="E33" s="5"/>
      <c r="F33" s="5"/>
      <c r="G33" s="5"/>
      <c r="H33" s="3">
        <v>80</v>
      </c>
      <c r="I33" s="4">
        <v>0.83750000000000002</v>
      </c>
      <c r="J33" s="4">
        <v>3.7465384867783502</v>
      </c>
      <c r="K33" s="4">
        <v>4.5840384867783497</v>
      </c>
      <c r="L33" s="4">
        <v>0</v>
      </c>
      <c r="M33" s="3">
        <v>95</v>
      </c>
      <c r="N33" s="4">
        <v>0.105263157894737</v>
      </c>
      <c r="O33" s="4">
        <v>1.02597835208515</v>
      </c>
      <c r="P33" s="4">
        <v>1.13124150997989</v>
      </c>
      <c r="Q33" s="4">
        <v>0</v>
      </c>
      <c r="R33" s="3">
        <v>112</v>
      </c>
      <c r="S33" s="4">
        <v>9.1071428571428595E-2</v>
      </c>
      <c r="T33" s="4">
        <v>0.44001506350721198</v>
      </c>
      <c r="U33" s="4">
        <v>0.531086492078641</v>
      </c>
      <c r="V33" s="4">
        <v>0</v>
      </c>
      <c r="W33" s="3">
        <v>132</v>
      </c>
      <c r="X33" s="4">
        <v>0</v>
      </c>
      <c r="Y33" s="4">
        <v>0</v>
      </c>
      <c r="Z33" s="4">
        <v>0</v>
      </c>
      <c r="AA33" s="3">
        <v>223</v>
      </c>
      <c r="AB33" s="4">
        <v>0</v>
      </c>
      <c r="AC33" s="4">
        <v>0</v>
      </c>
      <c r="AD33" s="4">
        <v>0</v>
      </c>
      <c r="AE33" s="3">
        <v>127</v>
      </c>
      <c r="AF33" s="4">
        <v>0.52755905511810997</v>
      </c>
      <c r="AG33" s="4">
        <v>3.52180425415593</v>
      </c>
      <c r="AH33" s="4">
        <v>0</v>
      </c>
      <c r="AI33" s="4">
        <f t="shared" si="1"/>
        <v>9.758454106280201E-2</v>
      </c>
      <c r="AJ33" s="4">
        <v>0</v>
      </c>
      <c r="AK33" s="4">
        <v>2.6905829596412557E-2</v>
      </c>
      <c r="AL33" s="133">
        <v>1.4184397163120567E-2</v>
      </c>
      <c r="AM33" s="219">
        <f>(表1[[#This Row],[列1682243]]+AL33)/2</f>
        <v>2.0545113379766562E-2</v>
      </c>
      <c r="AN33" s="6">
        <v>2.0202020202020202E-3</v>
      </c>
      <c r="AO33" s="15">
        <f>IFERROR(VLOOKUP($B33,'2019开发'!$B:$Q,2,0),0)</f>
        <v>495</v>
      </c>
      <c r="AP33" s="6">
        <f>IFERROR(VLOOKUP($B33,'2019开发'!$B:$Q,3,0),0)</f>
        <v>2.0202020202020202E-3</v>
      </c>
      <c r="AQ33" s="132">
        <f>IFERROR(VLOOKUP($B33,'2019开发'!$B:$Q,4,0),0)</f>
        <v>9.5238095238095229E-3</v>
      </c>
      <c r="AR33" s="132">
        <f>IFERROR(VLOOKUP($B33,'2019开发'!$B:$Q,5,0),0)</f>
        <v>1.1544011544011544E-2</v>
      </c>
      <c r="AS33" s="132">
        <f>IFERROR(VLOOKUP($B33,'2019开发'!$B:$Q,6,0),0)</f>
        <v>0</v>
      </c>
      <c r="AT33" s="132">
        <f>表1[[#This Row],[列172]]*1.1</f>
        <v>2.2222222222222222E-3</v>
      </c>
      <c r="AU33" s="132">
        <f>表1[[#This Row],[列18]]*1.1</f>
        <v>1.26984126984127E-2</v>
      </c>
      <c r="AV33" s="132">
        <f>表1[[#This Row],[列19]]*1.1</f>
        <v>0</v>
      </c>
      <c r="AW33" s="4"/>
      <c r="AX33" s="4" t="str">
        <f>IF(AP33&lt;=AM33,"Good","Bad")</f>
        <v>Good</v>
      </c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140" t="s">
        <v>231</v>
      </c>
    </row>
    <row r="34" spans="1:79" s="54" customFormat="1">
      <c r="A34" s="82" t="s">
        <v>94</v>
      </c>
      <c r="B34" s="153" t="s">
        <v>95</v>
      </c>
      <c r="C34" s="3"/>
      <c r="D34" s="5"/>
      <c r="E34" s="5"/>
      <c r="F34" s="5"/>
      <c r="G34" s="5"/>
      <c r="H34" s="3">
        <v>92</v>
      </c>
      <c r="I34" s="5">
        <v>0.93627142857142898</v>
      </c>
      <c r="J34" s="5">
        <v>0.12960261253000799</v>
      </c>
      <c r="K34" s="5">
        <v>1</v>
      </c>
      <c r="L34" s="5">
        <v>0.80666881604142004</v>
      </c>
      <c r="M34" s="3">
        <v>124</v>
      </c>
      <c r="N34" s="5">
        <v>0.95682419354838699</v>
      </c>
      <c r="O34" s="5">
        <v>7.0308205781101502E-2</v>
      </c>
      <c r="P34" s="5">
        <v>1</v>
      </c>
      <c r="Q34" s="5">
        <v>0.74589957620508196</v>
      </c>
      <c r="R34" s="3">
        <v>161</v>
      </c>
      <c r="S34" s="5">
        <v>0.97291320754717003</v>
      </c>
      <c r="T34" s="5">
        <v>5.1910154994425403E-2</v>
      </c>
      <c r="U34" s="5">
        <v>1</v>
      </c>
      <c r="V34" s="5">
        <v>0.81718274256389301</v>
      </c>
      <c r="W34" s="3">
        <v>199</v>
      </c>
      <c r="X34" s="5">
        <v>0.98212590673575195</v>
      </c>
      <c r="Y34" s="5">
        <v>1</v>
      </c>
      <c r="Z34" s="5">
        <v>0.84423358283554895</v>
      </c>
      <c r="AA34" s="3">
        <v>209</v>
      </c>
      <c r="AB34" s="5">
        <v>0.95536346153846086</v>
      </c>
      <c r="AC34" s="5">
        <v>1</v>
      </c>
      <c r="AD34" s="5">
        <v>0.75065800799842908</v>
      </c>
      <c r="AE34" s="3">
        <v>92</v>
      </c>
      <c r="AF34" s="5">
        <v>0.93627142857142898</v>
      </c>
      <c r="AG34" s="5">
        <v>1</v>
      </c>
      <c r="AH34" s="5">
        <v>0.80666881604142004</v>
      </c>
      <c r="AI34" s="5">
        <f>SUM(N34*$M34,S34*$R34)/SUM($M34,$R34)</f>
        <v>0.96591307514068203</v>
      </c>
      <c r="AJ34" s="5">
        <v>0.96841671299498266</v>
      </c>
      <c r="AK34" s="5">
        <v>0.96805133165124768</v>
      </c>
      <c r="AL34" s="226">
        <v>0.9757228937728939</v>
      </c>
      <c r="AM34" s="179">
        <f>(表1[[#This Row],[列1682243]]+AL34)/2</f>
        <v>0.97188711271207073</v>
      </c>
      <c r="AN34" s="22">
        <v>0.97762259445073807</v>
      </c>
      <c r="AO34" s="15">
        <f>IFERROR(VLOOKUP($B34,'2019开发'!$B:$Q,2,0),0)</f>
        <v>501</v>
      </c>
      <c r="AP34" s="6">
        <f>IFERROR(VLOOKUP($B34,'2019开发'!$B:$Q,3,0),0)</f>
        <v>0.97762259445073807</v>
      </c>
      <c r="AQ34" s="132">
        <f>IFERROR(VLOOKUP($B34,'2019开发'!$B:$Q,4,0),0)</f>
        <v>1.9633333492104658E-2</v>
      </c>
      <c r="AR34" s="132">
        <f>IFERROR(VLOOKUP($B34,'2019开发'!$B:$Q,5,0),0)</f>
        <v>1.036522594927052</v>
      </c>
      <c r="AS34" s="132">
        <f>IFERROR(VLOOKUP($B34,'2019开发'!$B:$Q,6,0),0)</f>
        <v>0.91872259397442413</v>
      </c>
      <c r="AT34" s="23">
        <v>1</v>
      </c>
      <c r="AU34" s="23">
        <v>1</v>
      </c>
      <c r="AV34" s="23">
        <v>1</v>
      </c>
      <c r="AW34" s="4" t="s">
        <v>413</v>
      </c>
      <c r="AX34" s="4" t="str">
        <f>IF(AP34&gt;=AM34,"Up","Down")</f>
        <v>Up</v>
      </c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140" t="s">
        <v>219</v>
      </c>
    </row>
    <row r="35" spans="1:79">
      <c r="A35" s="331" t="s">
        <v>96</v>
      </c>
      <c r="B35" s="154" t="s">
        <v>407</v>
      </c>
      <c r="C35" s="64"/>
      <c r="D35" s="9"/>
      <c r="E35" s="9"/>
      <c r="F35" s="9"/>
      <c r="G35" s="9"/>
      <c r="H35" s="8"/>
      <c r="I35" s="9"/>
      <c r="J35" s="9"/>
      <c r="K35" s="9"/>
      <c r="L35" s="9"/>
      <c r="M35" s="8">
        <v>45</v>
      </c>
      <c r="N35" s="9">
        <v>16.403111111111102</v>
      </c>
      <c r="O35" s="9">
        <v>15.0775088101182</v>
      </c>
      <c r="P35" s="9">
        <v>31.480619921229302</v>
      </c>
      <c r="Q35" s="9">
        <v>1.3256023009929101</v>
      </c>
      <c r="R35" s="3">
        <v>85</v>
      </c>
      <c r="S35" s="9">
        <v>4.9668235294117702</v>
      </c>
      <c r="T35" s="9">
        <v>4.6290534905623399</v>
      </c>
      <c r="U35" s="9">
        <v>9.5958770199741092</v>
      </c>
      <c r="V35" s="9">
        <v>0.33777003884942403</v>
      </c>
      <c r="W35" s="3">
        <v>110</v>
      </c>
      <c r="X35" s="4">
        <v>4.9370909090909096</v>
      </c>
      <c r="Y35" s="4">
        <v>9.3398747126653596</v>
      </c>
      <c r="Z35" s="4">
        <v>0.53430710551645599</v>
      </c>
      <c r="AA35" s="3">
        <v>198</v>
      </c>
      <c r="AB35" s="4">
        <v>4.8138743455497481</v>
      </c>
      <c r="AC35" s="4">
        <v>6.9586770391917607</v>
      </c>
      <c r="AD35" s="4">
        <v>2.6690716519077355</v>
      </c>
      <c r="AE35" s="8"/>
      <c r="AF35" s="9"/>
      <c r="AG35" s="9"/>
      <c r="AH35" s="9"/>
      <c r="AI35" s="9">
        <f>SUM(N35*$M35,S35*$R35)/SUM($M35,$R35)</f>
        <v>8.9255384615384603</v>
      </c>
      <c r="AJ35" s="4">
        <v>4.8578802611001626</v>
      </c>
      <c r="AK35" s="4">
        <v>3.639010416666665</v>
      </c>
      <c r="AL35" s="133">
        <v>4.060892857142858</v>
      </c>
      <c r="AM35" s="178">
        <f>(表1[[#This Row],[列1682243]]+AL35)/2</f>
        <v>3.8499516369047617</v>
      </c>
      <c r="AN35" s="6">
        <v>5.1625167829119434</v>
      </c>
      <c r="AO35" s="15">
        <f>IFERROR(VLOOKUP($B35,'2019开发'!$B:$Q,2,0),0)</f>
        <v>296</v>
      </c>
      <c r="AP35" s="6">
        <f>IFERROR(VLOOKUP($B35,'2019开发'!$B:$Q,3,0),0)</f>
        <v>5.1625167829119434</v>
      </c>
      <c r="AQ35" s="132">
        <f>IFERROR(VLOOKUP($B35,'2019开发'!$B:$Q,4,0),0)</f>
        <v>7.4969642131675887</v>
      </c>
      <c r="AR35" s="132">
        <f>IFERROR(VLOOKUP($B35,'2019开发'!$B:$Q,5,0),0)</f>
        <v>12.659480996079532</v>
      </c>
      <c r="AS35" s="132">
        <f>IFERROR(VLOOKUP($B35,'2019开发'!$B:$Q,6,0),0)</f>
        <v>0</v>
      </c>
      <c r="AT35" s="132">
        <f>表1[[#This Row],[列172]]*1.1</f>
        <v>5.6787684612031386</v>
      </c>
      <c r="AU35" s="132">
        <f>表1[[#This Row],[列18]]*1.1</f>
        <v>13.925429095687486</v>
      </c>
      <c r="AV35" s="132">
        <f>表1[[#This Row],[列19]]*1.1</f>
        <v>0</v>
      </c>
      <c r="AW35" s="4" t="s">
        <v>413</v>
      </c>
      <c r="AX35" s="4" t="str">
        <f>IF(AP35&lt;=AM35,"Good","Bad")</f>
        <v>Bad</v>
      </c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40" t="s">
        <v>380</v>
      </c>
    </row>
    <row r="36" spans="1:79">
      <c r="A36" s="331"/>
      <c r="B36" s="154" t="s">
        <v>408</v>
      </c>
      <c r="C36" s="65"/>
      <c r="D36" s="7"/>
      <c r="E36" s="7"/>
      <c r="F36" s="7"/>
      <c r="G36" s="7"/>
      <c r="H36" s="8">
        <v>84</v>
      </c>
      <c r="I36" s="7">
        <v>23.699349397590399</v>
      </c>
      <c r="J36" s="7">
        <v>21.282245650142698</v>
      </c>
      <c r="K36" s="7">
        <v>44.981595047733101</v>
      </c>
      <c r="L36" s="7">
        <v>2.41710374744765</v>
      </c>
      <c r="M36" s="10">
        <v>115</v>
      </c>
      <c r="N36" s="7">
        <v>24.452285714285701</v>
      </c>
      <c r="O36" s="7">
        <v>19.5423212962882</v>
      </c>
      <c r="P36" s="7">
        <v>43.994607010574001</v>
      </c>
      <c r="Q36" s="7">
        <v>4.9099644179974797</v>
      </c>
      <c r="R36" s="3">
        <v>141</v>
      </c>
      <c r="S36" s="7">
        <v>19.428333333333299</v>
      </c>
      <c r="T36" s="7">
        <v>13.227285920489701</v>
      </c>
      <c r="U36" s="7">
        <v>32.655619253822998</v>
      </c>
      <c r="V36" s="7">
        <v>6.2010474128436597</v>
      </c>
      <c r="W36" s="3">
        <v>116</v>
      </c>
      <c r="X36" s="4">
        <v>19.650350877192999</v>
      </c>
      <c r="Y36" s="4">
        <v>37.170698791154003</v>
      </c>
      <c r="Z36" s="4">
        <v>2.1300029632319699</v>
      </c>
      <c r="AA36" s="3">
        <v>179</v>
      </c>
      <c r="AB36" s="4">
        <v>18.427877094972068</v>
      </c>
      <c r="AC36" s="4">
        <v>36.894823514851481</v>
      </c>
      <c r="AD36" s="4">
        <v>0</v>
      </c>
      <c r="AE36" s="8">
        <v>84</v>
      </c>
      <c r="AF36" s="7">
        <v>23.699349397590399</v>
      </c>
      <c r="AG36" s="7">
        <v>44.981595047733101</v>
      </c>
      <c r="AH36" s="7">
        <v>2.41710374744765</v>
      </c>
      <c r="AI36" s="7">
        <f>SUM(N36*$M36,S36*$R36)/SUM($M36,$R36)</f>
        <v>21.685186941964261</v>
      </c>
      <c r="AJ36" s="4">
        <v>18.908578650014871</v>
      </c>
      <c r="AK36" s="4">
        <v>16.736053811659193</v>
      </c>
      <c r="AL36" s="133">
        <v>14.292220507544583</v>
      </c>
      <c r="AM36" s="178">
        <f>(表1[[#This Row],[列1682243]]+AL36)/2</f>
        <v>15.514137159601887</v>
      </c>
      <c r="AN36" s="6">
        <v>14.109086538461536</v>
      </c>
      <c r="AO36" s="15">
        <f>IFERROR(VLOOKUP($B36,'2019开发'!$B:$Q,2,0),0)</f>
        <v>320</v>
      </c>
      <c r="AP36" s="6">
        <f>IFERROR(VLOOKUP($B36,'2019开发'!$B:$Q,3,0),0)</f>
        <v>14.109086538461536</v>
      </c>
      <c r="AQ36" s="132">
        <f>IFERROR(VLOOKUP($B36,'2019开发'!$B:$Q,4,0),0)</f>
        <v>6.8884490497005251</v>
      </c>
      <c r="AR36" s="132">
        <f>IFERROR(VLOOKUP($B36,'2019开发'!$B:$Q,5,0),0)</f>
        <v>20.997535588162062</v>
      </c>
      <c r="AS36" s="132">
        <f>IFERROR(VLOOKUP($B36,'2019开发'!$B:$Q,6,0),0)</f>
        <v>7.2206374887610112</v>
      </c>
      <c r="AT36" s="132">
        <f>表1[[#This Row],[列172]]*1.1</f>
        <v>15.519995192307691</v>
      </c>
      <c r="AU36" s="132">
        <f>表1[[#This Row],[列18]]*1.1</f>
        <v>23.09728914697827</v>
      </c>
      <c r="AV36" s="132">
        <f>表1[[#This Row],[列19]]*1.1</f>
        <v>7.9427012376371131</v>
      </c>
      <c r="AW36" s="4" t="s">
        <v>413</v>
      </c>
      <c r="AX36" s="4" t="str">
        <f>IF(AP36&lt;=AM36,"Good","Bad")</f>
        <v>Good</v>
      </c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140" t="s">
        <v>381</v>
      </c>
    </row>
    <row r="37" spans="1:79">
      <c r="A37" s="331"/>
      <c r="B37" s="155" t="s">
        <v>409</v>
      </c>
      <c r="C37" s="66"/>
      <c r="D37" s="61"/>
      <c r="E37" s="61"/>
      <c r="F37" s="61"/>
      <c r="G37" s="61"/>
      <c r="H37" s="30"/>
      <c r="I37" s="61"/>
      <c r="J37" s="61"/>
      <c r="K37" s="61"/>
      <c r="L37" s="61"/>
      <c r="M37" s="30">
        <v>15</v>
      </c>
      <c r="N37" s="61">
        <v>4.1866666666666701</v>
      </c>
      <c r="O37" s="61">
        <v>2.2244956624774401</v>
      </c>
      <c r="P37" s="61">
        <v>6.4111623291441102</v>
      </c>
      <c r="Q37" s="61">
        <v>1.96217100418923</v>
      </c>
      <c r="R37" s="3">
        <v>50</v>
      </c>
      <c r="S37" s="61">
        <v>1.34115942028985</v>
      </c>
      <c r="T37" s="61">
        <v>0.92299973045253803</v>
      </c>
      <c r="U37" s="61">
        <v>2.2641591507423899</v>
      </c>
      <c r="V37" s="61">
        <v>0.41815968983731699</v>
      </c>
      <c r="W37" s="3">
        <v>64</v>
      </c>
      <c r="X37" s="12">
        <v>1.4817708333333299</v>
      </c>
      <c r="Y37" s="12">
        <v>2.2288446000812798</v>
      </c>
      <c r="Z37" s="12">
        <v>0.73469706658538902</v>
      </c>
      <c r="AA37" s="3">
        <v>83</v>
      </c>
      <c r="AB37" s="12">
        <v>1.6059756097560971</v>
      </c>
      <c r="AC37" s="12">
        <v>2.6465106807487451</v>
      </c>
      <c r="AD37" s="12">
        <v>0.56544053876344913</v>
      </c>
      <c r="AE37" s="30"/>
      <c r="AF37" s="61"/>
      <c r="AG37" s="61"/>
      <c r="AH37" s="61"/>
      <c r="AI37" s="61">
        <f>SUM(N37*$M37,S37*$R37)/SUM($M37,$R37)</f>
        <v>1.9978149386845006</v>
      </c>
      <c r="AJ37" s="12">
        <v>1.5519000608373412</v>
      </c>
      <c r="AK37" s="12">
        <v>2.2000641025641019</v>
      </c>
      <c r="AL37" s="133">
        <v>2.0805909090909096</v>
      </c>
      <c r="AM37" s="178">
        <f>(表1[[#This Row],[列1682243]]+AL37)/2</f>
        <v>2.1403275058275057</v>
      </c>
      <c r="AN37" s="6">
        <v>1.5920812807881777</v>
      </c>
      <c r="AO37" s="15">
        <f>IFERROR(VLOOKUP($B37,'2019开发'!$B:$Q,2,0),0)</f>
        <v>203</v>
      </c>
      <c r="AP37" s="6">
        <f>IFERROR(VLOOKUP($B37,'2019开发'!$B:$Q,3,0),0)</f>
        <v>1.5920812807881777</v>
      </c>
      <c r="AQ37" s="132">
        <f>IFERROR(VLOOKUP($B37,'2019开发'!$B:$Q,4,0),0)</f>
        <v>0.12258859289055143</v>
      </c>
      <c r="AR37" s="132">
        <f>IFERROR(VLOOKUP($B37,'2019开发'!$B:$Q,5,0),0)</f>
        <v>1.9598470594598321</v>
      </c>
      <c r="AS37" s="132">
        <f>IFERROR(VLOOKUP($B37,'2019开发'!$B:$Q,6,0),0)</f>
        <v>1.2243155021165233</v>
      </c>
      <c r="AT37" s="132">
        <f>表1[[#This Row],[列172]]*1.1</f>
        <v>1.7512894088669957</v>
      </c>
      <c r="AU37" s="132">
        <f>表1[[#This Row],[列18]]*1.1</f>
        <v>2.1558317654058152</v>
      </c>
      <c r="AV37" s="132">
        <f>表1[[#This Row],[列19]]*1.1</f>
        <v>1.3467470523281757</v>
      </c>
      <c r="AW37" s="4" t="s">
        <v>413</v>
      </c>
      <c r="AX37" s="4" t="str">
        <f>IF(AP37&lt;=AM37,"Good","Bad")</f>
        <v>Good</v>
      </c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140" t="s">
        <v>382</v>
      </c>
    </row>
    <row r="38" spans="1:79">
      <c r="A38" s="331"/>
      <c r="B38" s="155" t="s">
        <v>17</v>
      </c>
      <c r="C38" s="64"/>
      <c r="D38" s="9"/>
      <c r="E38" s="9"/>
      <c r="F38" s="9"/>
      <c r="G38" s="9"/>
      <c r="H38" s="8"/>
      <c r="I38" s="9"/>
      <c r="J38" s="9"/>
      <c r="K38" s="9"/>
      <c r="L38" s="9"/>
      <c r="M38" s="8"/>
      <c r="N38" s="9"/>
      <c r="O38" s="9"/>
      <c r="P38" s="9"/>
      <c r="Q38" s="9"/>
      <c r="R38" s="3">
        <v>41</v>
      </c>
      <c r="S38" s="7">
        <v>1.6387096774193499</v>
      </c>
      <c r="T38" s="7">
        <v>0.92002805006327204</v>
      </c>
      <c r="U38" s="7">
        <v>2.55873772748263</v>
      </c>
      <c r="V38" s="7">
        <v>0.71868162735608299</v>
      </c>
      <c r="W38" s="3">
        <v>47</v>
      </c>
      <c r="X38" s="7">
        <v>1.8525</v>
      </c>
      <c r="Y38" s="7">
        <v>3.1590953004162299</v>
      </c>
      <c r="Z38" s="7">
        <v>0.54590469958377497</v>
      </c>
      <c r="AA38" s="3">
        <v>103</v>
      </c>
      <c r="AB38" s="7">
        <v>1.8026086956521743</v>
      </c>
      <c r="AC38" s="7">
        <v>2.8438461985812475</v>
      </c>
      <c r="AD38" s="7">
        <v>0.76137119272310105</v>
      </c>
      <c r="AE38" s="8"/>
      <c r="AF38" s="9"/>
      <c r="AG38" s="9"/>
      <c r="AH38" s="9"/>
      <c r="AI38" s="9">
        <f>SUM(N38*$M38,S38*$R38)/SUM($M38,$R38)</f>
        <v>1.6387096774193499</v>
      </c>
      <c r="AJ38" s="7">
        <v>1.8182413043478263</v>
      </c>
      <c r="AK38" s="7">
        <v>2.0687198275862069</v>
      </c>
      <c r="AL38" s="133">
        <v>1.9233751773049645</v>
      </c>
      <c r="AM38" s="178">
        <f>(表1[[#This Row],[列1682243]]+AL38)/2</f>
        <v>1.9960475024455857</v>
      </c>
      <c r="AN38" s="6">
        <v>1.4690156898656901</v>
      </c>
      <c r="AO38" s="15">
        <f>IFERROR(VLOOKUP($B38,'2019开发'!$B:$Q,2,0),0)</f>
        <v>182</v>
      </c>
      <c r="AP38" s="6">
        <f>IFERROR(VLOOKUP($B38,'2019开发'!$B:$Q,3,0),0)</f>
        <v>1.4690156898656901</v>
      </c>
      <c r="AQ38" s="132">
        <f>IFERROR(VLOOKUP($B38,'2019开发'!$B:$Q,4,0),0)</f>
        <v>0.74592170274284131</v>
      </c>
      <c r="AR38" s="132">
        <f>IFERROR(VLOOKUP($B38,'2019开发'!$B:$Q,5,0),0)</f>
        <v>2.2149373926085314</v>
      </c>
      <c r="AS38" s="132">
        <f>IFERROR(VLOOKUP($B38,'2019开发'!$B:$Q,6,0),0)</f>
        <v>0.72309398712284878</v>
      </c>
      <c r="AT38" s="132">
        <f>表1[[#This Row],[列172]]*1.1</f>
        <v>1.6159172588522592</v>
      </c>
      <c r="AU38" s="132">
        <f>表1[[#This Row],[列18]]*1.1</f>
        <v>2.4364311318693845</v>
      </c>
      <c r="AV38" s="132">
        <f>表1[[#This Row],[列19]]*1.1</f>
        <v>0.7954033858351337</v>
      </c>
      <c r="AW38" s="4" t="s">
        <v>413</v>
      </c>
      <c r="AX38" s="4" t="str">
        <f>IF(AP38&lt;=AM38,"Good","Bad")</f>
        <v>Good</v>
      </c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40" t="s">
        <v>243</v>
      </c>
    </row>
    <row r="39" spans="1:79">
      <c r="A39" s="331"/>
      <c r="B39" s="155" t="s">
        <v>18</v>
      </c>
      <c r="C39" s="64"/>
      <c r="D39" s="9"/>
      <c r="E39" s="9"/>
      <c r="F39" s="9"/>
      <c r="G39" s="9"/>
      <c r="H39" s="8"/>
      <c r="I39" s="9"/>
      <c r="J39" s="9"/>
      <c r="K39" s="9"/>
      <c r="L39" s="9"/>
      <c r="M39" s="8"/>
      <c r="N39" s="9"/>
      <c r="O39" s="9"/>
      <c r="P39" s="9"/>
      <c r="Q39" s="9"/>
      <c r="R39" s="3">
        <v>37</v>
      </c>
      <c r="S39" s="7">
        <v>1.5140740740740699</v>
      </c>
      <c r="T39" s="7">
        <v>1.1449395659538599</v>
      </c>
      <c r="U39" s="7">
        <v>2.6590136400279301</v>
      </c>
      <c r="V39" s="7">
        <v>0.36913450812021598</v>
      </c>
      <c r="W39" s="3">
        <v>29</v>
      </c>
      <c r="X39" s="7">
        <v>0.90724137931034499</v>
      </c>
      <c r="Y39" s="7">
        <v>1.52059222595828</v>
      </c>
      <c r="Z39" s="7">
        <v>0.293890532662406</v>
      </c>
      <c r="AA39" s="3">
        <v>59</v>
      </c>
      <c r="AB39" s="7">
        <v>1.158222222222222</v>
      </c>
      <c r="AC39" s="7">
        <v>2.3098283908739741</v>
      </c>
      <c r="AD39" s="7">
        <v>6.6160535704700152E-3</v>
      </c>
      <c r="AE39" s="8"/>
      <c r="AF39" s="9"/>
      <c r="AG39" s="9"/>
      <c r="AH39" s="9"/>
      <c r="AI39" s="9">
        <f>SUM(N39*$M39,S39*$R39)/SUM($M39,$R39)</f>
        <v>1.5140740740740699</v>
      </c>
      <c r="AJ39" s="7">
        <v>1.0755126262626262</v>
      </c>
      <c r="AK39" s="7">
        <v>0.82954545454545481</v>
      </c>
      <c r="AL39" s="133">
        <v>1.3045454545454545</v>
      </c>
      <c r="AM39" s="178">
        <f>(表1[[#This Row],[列1682243]]+AL39)/2</f>
        <v>1.0670454545454546</v>
      </c>
      <c r="AN39" s="6">
        <v>1.0779439252336447</v>
      </c>
      <c r="AO39" s="15">
        <f>IFERROR(VLOOKUP($B39,'2019开发'!$B:$Q,2,0),0)</f>
        <v>107</v>
      </c>
      <c r="AP39" s="6">
        <f>IFERROR(VLOOKUP($B39,'2019开发'!$B:$Q,3,0),0)</f>
        <v>1.0779439252336447</v>
      </c>
      <c r="AQ39" s="132">
        <f>IFERROR(VLOOKUP($B39,'2019开发'!$B:$Q,4,0),0)</f>
        <v>0.68594352429228378</v>
      </c>
      <c r="AR39" s="132">
        <f>IFERROR(VLOOKUP($B39,'2019开发'!$B:$Q,5,0),0)</f>
        <v>1.7638874495259285</v>
      </c>
      <c r="AS39" s="132">
        <f>IFERROR(VLOOKUP($B39,'2019开发'!$B:$Q,6,0),0)</f>
        <v>0.3920004009413609</v>
      </c>
      <c r="AT39" s="132">
        <f>表1[[#This Row],[列172]]*1.1</f>
        <v>1.1857383177570093</v>
      </c>
      <c r="AU39" s="132">
        <f>表1[[#This Row],[列18]]*1.1</f>
        <v>1.9402761944785214</v>
      </c>
      <c r="AV39" s="132">
        <f>表1[[#This Row],[列19]]*1.1</f>
        <v>0.43120044103549704</v>
      </c>
      <c r="AW39" s="4" t="s">
        <v>413</v>
      </c>
      <c r="AX39" s="4" t="str">
        <f>IF(AP39&lt;=AM39,"Good","Bad")</f>
        <v>Bad</v>
      </c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40" t="s">
        <v>220</v>
      </c>
    </row>
    <row r="40" spans="1:79">
      <c r="A40" s="331"/>
      <c r="B40" s="155" t="s">
        <v>19</v>
      </c>
      <c r="C40" s="66"/>
      <c r="D40" s="61"/>
      <c r="E40" s="61"/>
      <c r="F40" s="61"/>
      <c r="G40" s="61"/>
      <c r="H40" s="30"/>
      <c r="I40" s="61"/>
      <c r="J40" s="61"/>
      <c r="K40" s="61"/>
      <c r="L40" s="61"/>
      <c r="M40" s="30"/>
      <c r="N40" s="61"/>
      <c r="O40" s="61"/>
      <c r="P40" s="61"/>
      <c r="Q40" s="61"/>
      <c r="R40" s="3">
        <v>40</v>
      </c>
      <c r="S40" s="67">
        <v>1.1686666666666701</v>
      </c>
      <c r="T40" s="67">
        <v>0.42295131645610701</v>
      </c>
      <c r="U40" s="67">
        <v>1.5916179831227699</v>
      </c>
      <c r="V40" s="67">
        <v>0.74571535021056001</v>
      </c>
      <c r="W40" s="3">
        <v>41</v>
      </c>
      <c r="X40" s="4">
        <v>1.12153846153846</v>
      </c>
      <c r="Y40" s="4">
        <v>1.64621650046749</v>
      </c>
      <c r="Z40" s="4">
        <v>0.59686042260943095</v>
      </c>
      <c r="AA40" s="3">
        <v>74</v>
      </c>
      <c r="AB40" s="4">
        <v>1.3217460317460319</v>
      </c>
      <c r="AC40" s="4">
        <v>2.0372146119775572</v>
      </c>
      <c r="AD40" s="4">
        <v>0.60627745151450663</v>
      </c>
      <c r="AE40" s="30"/>
      <c r="AF40" s="61"/>
      <c r="AG40" s="61"/>
      <c r="AH40" s="61"/>
      <c r="AI40" s="61">
        <f>SUM(N40*$M40,S40*$R40)/SUM($M40,$R40)</f>
        <v>1.1686666666666701</v>
      </c>
      <c r="AJ40" s="4">
        <v>1.2503676806285497</v>
      </c>
      <c r="AK40" s="4">
        <v>1.6669523809523796</v>
      </c>
      <c r="AL40" s="133">
        <v>1.154175824175824</v>
      </c>
      <c r="AM40" s="178">
        <f>(表1[[#This Row],[列1682243]]+AL40)/2</f>
        <v>1.4105641025641018</v>
      </c>
      <c r="AN40" s="6">
        <v>1.2893555840821569</v>
      </c>
      <c r="AO40" s="15">
        <f>IFERROR(VLOOKUP($B40,'2019开发'!$B:$Q,2,0),0)</f>
        <v>205</v>
      </c>
      <c r="AP40" s="6">
        <f>IFERROR(VLOOKUP($B40,'2019开发'!$B:$Q,3,0),0)</f>
        <v>1.2893555840821569</v>
      </c>
      <c r="AQ40" s="132">
        <f>IFERROR(VLOOKUP($B40,'2019开发'!$B:$Q,4,0),0)</f>
        <v>0.85870515340435261</v>
      </c>
      <c r="AR40" s="132">
        <f>IFERROR(VLOOKUP($B40,'2019开发'!$B:$Q,5,0),0)</f>
        <v>2.1480607374865093</v>
      </c>
      <c r="AS40" s="132">
        <f>IFERROR(VLOOKUP($B40,'2019开发'!$B:$Q,6,0),0)</f>
        <v>0.43065043067780429</v>
      </c>
      <c r="AT40" s="132">
        <f>表1[[#This Row],[列172]]*1.1</f>
        <v>1.4182911424903728</v>
      </c>
      <c r="AU40" s="132">
        <f>表1[[#This Row],[列18]]*1.1</f>
        <v>2.3628668112351603</v>
      </c>
      <c r="AV40" s="132">
        <f>表1[[#This Row],[列19]]*1.1</f>
        <v>0.47371547374558476</v>
      </c>
      <c r="AW40" s="4" t="s">
        <v>413</v>
      </c>
      <c r="AX40" s="4" t="str">
        <f>IF(AP40&lt;=AM40,"Good","Bad")</f>
        <v>Good</v>
      </c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40" t="s">
        <v>244</v>
      </c>
    </row>
    <row r="41" spans="1:79" s="54" customFormat="1">
      <c r="A41" s="331" t="s">
        <v>14</v>
      </c>
      <c r="B41" s="153" t="s">
        <v>405</v>
      </c>
      <c r="C41" s="3">
        <v>57</v>
      </c>
      <c r="D41" s="4">
        <v>0.64912280701754399</v>
      </c>
      <c r="E41" s="4">
        <v>3.36203184776162</v>
      </c>
      <c r="F41" s="4">
        <v>4.0111546547791601</v>
      </c>
      <c r="G41" s="4">
        <v>0</v>
      </c>
      <c r="H41" s="3">
        <v>103</v>
      </c>
      <c r="I41" s="4">
        <v>0</v>
      </c>
      <c r="J41" s="4">
        <v>0</v>
      </c>
      <c r="K41" s="4">
        <v>0</v>
      </c>
      <c r="L41" s="4">
        <v>0</v>
      </c>
      <c r="M41" s="3">
        <v>125</v>
      </c>
      <c r="N41" s="4">
        <v>0</v>
      </c>
      <c r="O41" s="4">
        <v>0</v>
      </c>
      <c r="P41" s="4">
        <v>0</v>
      </c>
      <c r="Q41" s="4">
        <v>0</v>
      </c>
      <c r="R41" s="3">
        <v>151</v>
      </c>
      <c r="S41" s="4">
        <v>0</v>
      </c>
      <c r="T41" s="4">
        <v>0</v>
      </c>
      <c r="U41" s="4">
        <v>0</v>
      </c>
      <c r="V41" s="4">
        <v>0</v>
      </c>
      <c r="W41" s="3">
        <v>169</v>
      </c>
      <c r="X41" s="9">
        <v>0</v>
      </c>
      <c r="Y41" s="9">
        <v>0</v>
      </c>
      <c r="Z41" s="9">
        <v>0</v>
      </c>
      <c r="AA41" s="3">
        <v>231</v>
      </c>
      <c r="AB41" s="9">
        <v>0</v>
      </c>
      <c r="AC41" s="9">
        <v>0</v>
      </c>
      <c r="AD41" s="9">
        <v>0</v>
      </c>
      <c r="AE41" s="3">
        <v>183</v>
      </c>
      <c r="AF41" s="4">
        <v>3.25</v>
      </c>
      <c r="AG41" s="4">
        <v>28.166368495316799</v>
      </c>
      <c r="AH41" s="4">
        <v>0</v>
      </c>
      <c r="AI41" s="4">
        <f t="shared" si="1"/>
        <v>0</v>
      </c>
      <c r="AJ41" s="9">
        <v>2.5000000000000005E-3</v>
      </c>
      <c r="AK41" s="9">
        <v>0.18181818181818182</v>
      </c>
      <c r="AL41" s="133">
        <v>0.79750778816199375</v>
      </c>
      <c r="AM41" s="219">
        <f>(表1[[#This Row],[列1682243]]+AL41)/2</f>
        <v>0.48966298499008776</v>
      </c>
      <c r="AN41" s="3">
        <v>0</v>
      </c>
      <c r="AO41" s="15">
        <f>IFERROR(VLOOKUP($B41,'2019开发'!$B:$Q,2,0),0)</f>
        <v>644</v>
      </c>
      <c r="AP41" s="6">
        <f>IFERROR(VLOOKUP($B41,'2019开发'!$B:$Q,3,0),0)</f>
        <v>13.715582463327609</v>
      </c>
      <c r="AQ41" s="132">
        <f>IFERROR(VLOOKUP($B41,'2019开发'!$B:$Q,4,0),0)</f>
        <v>12.532270667608536</v>
      </c>
      <c r="AR41" s="132">
        <f>IFERROR(VLOOKUP($B41,'2019开发'!$B:$Q,5,0),0)</f>
        <v>26.247853130936143</v>
      </c>
      <c r="AS41" s="132">
        <f>IFERROR(VLOOKUP($B41,'2019开发'!$B:$Q,6,0),0)</f>
        <v>1.1833117957190726</v>
      </c>
      <c r="AT41" s="132">
        <f>表1[[#This Row],[列172]]*1.1</f>
        <v>15.087140709660371</v>
      </c>
      <c r="AU41" s="132">
        <f>表1[[#This Row],[列18]]*1.1</f>
        <v>28.872638444029761</v>
      </c>
      <c r="AV41" s="132">
        <f>表1[[#This Row],[列19]]*1.1</f>
        <v>1.3016429752909799</v>
      </c>
      <c r="AW41" s="4" t="s">
        <v>413</v>
      </c>
      <c r="AX41" s="4" t="str">
        <f>IF(AP41&lt;=AM41,"Good","Bad")</f>
        <v>Bad</v>
      </c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140" t="s">
        <v>384</v>
      </c>
    </row>
    <row r="42" spans="1:79" s="54" customFormat="1">
      <c r="A42" s="331"/>
      <c r="B42" s="153" t="s">
        <v>92</v>
      </c>
      <c r="C42" s="3">
        <v>85</v>
      </c>
      <c r="D42" s="4">
        <v>5.5440941176470604</v>
      </c>
      <c r="E42" s="4">
        <v>2.8781666189215902</v>
      </c>
      <c r="F42" s="4">
        <v>8.4222607365686493</v>
      </c>
      <c r="G42" s="4">
        <v>2.6659274987254702</v>
      </c>
      <c r="H42" s="3">
        <v>110</v>
      </c>
      <c r="I42" s="4">
        <v>5.30075727272727</v>
      </c>
      <c r="J42" s="4">
        <v>5.3139651618685004</v>
      </c>
      <c r="K42" s="4">
        <v>10.6147224345958</v>
      </c>
      <c r="L42" s="4">
        <v>0</v>
      </c>
      <c r="M42" s="3">
        <v>143</v>
      </c>
      <c r="N42" s="4">
        <v>4.4494914893616997</v>
      </c>
      <c r="O42" s="4">
        <v>4.11407020765306</v>
      </c>
      <c r="P42" s="4">
        <v>8.5635616970147606</v>
      </c>
      <c r="Q42" s="4">
        <v>0.33542128170864799</v>
      </c>
      <c r="R42" s="3">
        <v>157</v>
      </c>
      <c r="S42" s="4">
        <v>5.0266690322580603</v>
      </c>
      <c r="T42" s="4">
        <v>2.2977492380551099</v>
      </c>
      <c r="U42" s="4">
        <v>7.3244182703131804</v>
      </c>
      <c r="V42" s="4">
        <v>2.7289197942029499</v>
      </c>
      <c r="W42" s="3">
        <v>153</v>
      </c>
      <c r="X42" s="7">
        <v>5.6877228758169904</v>
      </c>
      <c r="Y42" s="7">
        <v>9.1762715392920793</v>
      </c>
      <c r="Z42" s="7">
        <v>2.19917421234191</v>
      </c>
      <c r="AA42" s="3">
        <v>189</v>
      </c>
      <c r="AB42" s="7">
        <v>5.6638818181818111</v>
      </c>
      <c r="AC42" s="7">
        <v>8.8148565786945383</v>
      </c>
      <c r="AD42" s="7">
        <v>2.5129070576690835</v>
      </c>
      <c r="AE42" s="3">
        <v>218</v>
      </c>
      <c r="AF42" s="4">
        <v>5.5264102803738302</v>
      </c>
      <c r="AG42" s="4">
        <v>9.8584670393609901</v>
      </c>
      <c r="AH42" s="4">
        <v>1.1943535213866701</v>
      </c>
      <c r="AI42" s="4">
        <f t="shared" si="1"/>
        <v>4.7515477368107959</v>
      </c>
      <c r="AJ42" s="7">
        <v>5.6745475544922854</v>
      </c>
      <c r="AK42" s="7">
        <v>6.5578673076923062</v>
      </c>
      <c r="AL42" s="133">
        <v>6.3638461538461524</v>
      </c>
      <c r="AM42" s="219">
        <f>(表1[[#This Row],[列1682243]]+AL42)/2</f>
        <v>6.4608567307692297</v>
      </c>
      <c r="AN42" s="6">
        <v>4.087767297338873</v>
      </c>
      <c r="AO42" s="15">
        <f>IFERROR(VLOOKUP($B42,'2019开发'!$B:$Q,2,0),0)</f>
        <v>591</v>
      </c>
      <c r="AP42" s="6">
        <f>IFERROR(VLOOKUP($B42,'2019开发'!$B:$Q,3,0),0)</f>
        <v>4.087767297338873</v>
      </c>
      <c r="AQ42" s="132">
        <f>IFERROR(VLOOKUP($B42,'2019开发'!$B:$Q,4,0),0)</f>
        <v>1.1637553810038501</v>
      </c>
      <c r="AR42" s="132">
        <f>IFERROR(VLOOKUP($B42,'2019开发'!$B:$Q,5,0),0)</f>
        <v>5.2515226783427229</v>
      </c>
      <c r="AS42" s="132">
        <f>IFERROR(VLOOKUP($B42,'2019开发'!$B:$Q,6,0),0)</f>
        <v>2.9240119163350231</v>
      </c>
      <c r="AT42" s="132">
        <f>表1[[#This Row],[列172]]*1.1</f>
        <v>4.496544027072761</v>
      </c>
      <c r="AU42" s="132">
        <f>表1[[#This Row],[列18]]*1.1</f>
        <v>5.7766749461769953</v>
      </c>
      <c r="AV42" s="132">
        <f>表1[[#This Row],[列19]]*1.1</f>
        <v>3.2164131079685259</v>
      </c>
      <c r="AW42" s="4" t="s">
        <v>413</v>
      </c>
      <c r="AX42" s="4" t="str">
        <f>IF(AP42&lt;=AM42,"Good","Bad")</f>
        <v>Good</v>
      </c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140" t="s">
        <v>211</v>
      </c>
    </row>
    <row r="43" spans="1:79" s="54" customFormat="1">
      <c r="A43" s="331"/>
      <c r="B43" s="153" t="s">
        <v>93</v>
      </c>
      <c r="C43" s="3">
        <v>89</v>
      </c>
      <c r="D43" s="16">
        <v>5.8606741573033701E-2</v>
      </c>
      <c r="E43" s="16">
        <v>4.3382492273415001E-2</v>
      </c>
      <c r="F43" s="16">
        <v>0.10198923384644901</v>
      </c>
      <c r="G43" s="16">
        <v>1.52242492996187E-2</v>
      </c>
      <c r="H43" s="3">
        <v>93</v>
      </c>
      <c r="I43" s="5">
        <v>6.2627956989247294E-2</v>
      </c>
      <c r="J43" s="5">
        <v>5.1460923050558702E-2</v>
      </c>
      <c r="K43" s="5">
        <v>0.114088880039806</v>
      </c>
      <c r="L43" s="5">
        <v>1.11670339386887E-2</v>
      </c>
      <c r="M43" s="3">
        <v>141</v>
      </c>
      <c r="N43" s="5">
        <v>5.7748201438848901E-2</v>
      </c>
      <c r="O43" s="5">
        <v>6.8865651976177902E-2</v>
      </c>
      <c r="P43" s="5">
        <v>0.12661385341502701</v>
      </c>
      <c r="Q43" s="5">
        <v>0</v>
      </c>
      <c r="R43" s="3">
        <v>140</v>
      </c>
      <c r="S43" s="5">
        <v>6.8905072463768105E-2</v>
      </c>
      <c r="T43" s="5">
        <v>6.9562131365188198E-2</v>
      </c>
      <c r="U43" s="5">
        <v>0.138467203828956</v>
      </c>
      <c r="V43" s="5">
        <v>0</v>
      </c>
      <c r="W43" s="3">
        <v>147</v>
      </c>
      <c r="X43" s="68">
        <v>7.1638095238095306E-2</v>
      </c>
      <c r="Y43" s="68">
        <v>0.128832051875131</v>
      </c>
      <c r="Z43" s="68">
        <v>1.44441386010599E-2</v>
      </c>
      <c r="AA43" s="3">
        <v>176</v>
      </c>
      <c r="AB43" s="68">
        <v>7.3464161849710941E-2</v>
      </c>
      <c r="AC43" s="68">
        <v>0.10435881573015238</v>
      </c>
      <c r="AD43" s="68">
        <v>4.2569507969269504E-2</v>
      </c>
      <c r="AE43" s="3">
        <v>199</v>
      </c>
      <c r="AF43" s="5">
        <v>5.7464102564102601E-2</v>
      </c>
      <c r="AG43" s="5">
        <v>0.10517312334104401</v>
      </c>
      <c r="AH43" s="5">
        <v>9.7550817871616506E-3</v>
      </c>
      <c r="AI43" s="5">
        <f t="shared" si="1"/>
        <v>6.3306784867634261E-2</v>
      </c>
      <c r="AJ43" s="68">
        <v>7.2633103670430757E-2</v>
      </c>
      <c r="AK43" s="68">
        <v>6.5477403846153831E-2</v>
      </c>
      <c r="AL43" s="226">
        <v>6.9721287128712908E-2</v>
      </c>
      <c r="AM43" s="179">
        <f>(表1[[#This Row],[列1682243]]+AL43)/2</f>
        <v>6.7599345487433377E-2</v>
      </c>
      <c r="AN43" s="23">
        <v>7.506301429245435E-2</v>
      </c>
      <c r="AO43" s="15">
        <f>IFERROR(VLOOKUP($B43,'2019开发'!$B:$Q,2,0),0)</f>
        <v>523</v>
      </c>
      <c r="AP43" s="6">
        <f>IFERROR(VLOOKUP($B43,'2019开发'!$B:$Q,3,0),0)</f>
        <v>7.506301429245435E-2</v>
      </c>
      <c r="AQ43" s="132">
        <f>IFERROR(VLOOKUP($B43,'2019开发'!$B:$Q,4,0),0)</f>
        <v>2.4221971730847492E-2</v>
      </c>
      <c r="AR43" s="132">
        <f>IFERROR(VLOOKUP($B43,'2019开发'!$B:$Q,5,0),0)</f>
        <v>9.9284986023301838E-2</v>
      </c>
      <c r="AS43" s="132">
        <f>IFERROR(VLOOKUP($B43,'2019开发'!$B:$Q,6,0),0)</f>
        <v>5.0841042561606861E-2</v>
      </c>
      <c r="AT43" s="23">
        <f>表1[[#This Row],[列172]]*1.1</f>
        <v>8.2569315721699788E-2</v>
      </c>
      <c r="AU43" s="23">
        <f>表1[[#This Row],[列18]]*1.1</f>
        <v>0.10921348462563203</v>
      </c>
      <c r="AV43" s="23">
        <f>表1[[#This Row],[列19]]*1.1</f>
        <v>5.592514681776755E-2</v>
      </c>
      <c r="AW43" s="4" t="s">
        <v>413</v>
      </c>
      <c r="AX43" s="4" t="str">
        <f>IF(AP43&lt;=AM43,"Good","Bad")</f>
        <v>Bad</v>
      </c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140" t="s">
        <v>245</v>
      </c>
    </row>
    <row r="44" spans="1:79" s="54" customFormat="1">
      <c r="A44" s="331"/>
      <c r="B44" s="153" t="s">
        <v>15</v>
      </c>
      <c r="C44" s="14"/>
      <c r="D44" s="7"/>
      <c r="E44" s="7"/>
      <c r="F44" s="7"/>
      <c r="G44" s="7"/>
      <c r="H44" s="3"/>
      <c r="I44" s="7"/>
      <c r="J44" s="7"/>
      <c r="K44" s="7"/>
      <c r="L44" s="7"/>
      <c r="M44" s="3"/>
      <c r="N44" s="7"/>
      <c r="O44" s="7"/>
      <c r="P44" s="7"/>
      <c r="Q44" s="7"/>
      <c r="R44" s="3">
        <v>96</v>
      </c>
      <c r="S44" s="7">
        <v>0.19791666666666699</v>
      </c>
      <c r="T44" s="7">
        <v>1.1203363373433599</v>
      </c>
      <c r="U44" s="7">
        <v>1.31825300401002</v>
      </c>
      <c r="V44" s="7">
        <v>0</v>
      </c>
      <c r="W44" s="3">
        <v>102</v>
      </c>
      <c r="X44" s="9">
        <v>0</v>
      </c>
      <c r="Y44" s="9">
        <v>0</v>
      </c>
      <c r="Z44" s="9">
        <v>0</v>
      </c>
      <c r="AA44" s="3">
        <v>224</v>
      </c>
      <c r="AB44" s="9">
        <v>0</v>
      </c>
      <c r="AC44" s="9">
        <v>0</v>
      </c>
      <c r="AD44" s="9">
        <v>0</v>
      </c>
      <c r="AE44" s="3"/>
      <c r="AF44" s="7"/>
      <c r="AG44" s="7"/>
      <c r="AH44" s="7"/>
      <c r="AI44" s="7">
        <f t="shared" si="1"/>
        <v>0.19791666666666699</v>
      </c>
      <c r="AJ44" s="9">
        <v>0</v>
      </c>
      <c r="AK44" s="9">
        <v>0.69204651162790698</v>
      </c>
      <c r="AL44" s="133">
        <v>0</v>
      </c>
      <c r="AM44" s="178">
        <f>(表1[[#This Row],[列1682243]]+AL44)/2</f>
        <v>0.34602325581395349</v>
      </c>
      <c r="AN44" s="6">
        <v>1.9716905395698654</v>
      </c>
      <c r="AO44" s="15">
        <f>IFERROR(VLOOKUP($B44,'2019开发'!$B:$Q,2,0),0)</f>
        <v>483</v>
      </c>
      <c r="AP44" s="6">
        <f>IFERROR(VLOOKUP($B44,'2019开发'!$B:$Q,3,0),0)</f>
        <v>1.9716905395698654</v>
      </c>
      <c r="AQ44" s="132">
        <f>IFERROR(VLOOKUP($B44,'2019开发'!$B:$Q,4,0),0)</f>
        <v>1.6667276686813912</v>
      </c>
      <c r="AR44" s="132">
        <f>IFERROR(VLOOKUP($B44,'2019开发'!$B:$Q,5,0),0)</f>
        <v>3.6384182082512568</v>
      </c>
      <c r="AS44" s="132">
        <f>IFERROR(VLOOKUP($B44,'2019开发'!$B:$Q,6,0),0)</f>
        <v>0.30496287088847418</v>
      </c>
      <c r="AT44" s="132">
        <f>表1[[#This Row],[列172]]*1.1</f>
        <v>2.168859593526852</v>
      </c>
      <c r="AU44" s="132">
        <f>表1[[#This Row],[列18]]*1.1</f>
        <v>4.0022600290763828</v>
      </c>
      <c r="AV44" s="132">
        <f>表1[[#This Row],[列19]]*1.1</f>
        <v>0.33545915797732162</v>
      </c>
      <c r="AW44" s="4" t="s">
        <v>413</v>
      </c>
      <c r="AX44" s="4" t="str">
        <f>IF(AP44&lt;=AM44,"Good","Bad")</f>
        <v>Bad</v>
      </c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41" t="s">
        <v>222</v>
      </c>
    </row>
    <row r="45" spans="1:79" s="54" customFormat="1">
      <c r="A45" s="331"/>
      <c r="B45" s="153" t="s">
        <v>16</v>
      </c>
      <c r="C45" s="14"/>
      <c r="D45" s="7"/>
      <c r="E45" s="7"/>
      <c r="F45" s="7"/>
      <c r="G45" s="7"/>
      <c r="H45" s="3"/>
      <c r="I45" s="7"/>
      <c r="J45" s="7"/>
      <c r="K45" s="7"/>
      <c r="L45" s="7"/>
      <c r="M45" s="3"/>
      <c r="N45" s="7"/>
      <c r="O45" s="7"/>
      <c r="P45" s="7"/>
      <c r="Q45" s="7"/>
      <c r="R45" s="3">
        <v>84</v>
      </c>
      <c r="S45" s="7">
        <v>15.9277108433735</v>
      </c>
      <c r="T45" s="7">
        <v>83.303263651190505</v>
      </c>
      <c r="U45" s="7">
        <v>99.230974494563995</v>
      </c>
      <c r="V45" s="7">
        <v>0</v>
      </c>
      <c r="W45" s="3">
        <v>94</v>
      </c>
      <c r="X45" s="9">
        <v>0</v>
      </c>
      <c r="Y45" s="9">
        <v>0</v>
      </c>
      <c r="Z45" s="9">
        <v>0</v>
      </c>
      <c r="AA45" s="3">
        <v>212</v>
      </c>
      <c r="AB45" s="9">
        <v>0</v>
      </c>
      <c r="AC45" s="9">
        <v>0</v>
      </c>
      <c r="AD45" s="9">
        <v>0</v>
      </c>
      <c r="AE45" s="3"/>
      <c r="AF45" s="7"/>
      <c r="AG45" s="7"/>
      <c r="AH45" s="7"/>
      <c r="AI45" s="7">
        <f t="shared" si="1"/>
        <v>15.927710843373498</v>
      </c>
      <c r="AJ45" s="9">
        <v>0</v>
      </c>
      <c r="AK45" s="9">
        <v>0.4552238805970148</v>
      </c>
      <c r="AL45" s="133">
        <v>5.3191489361702126E-3</v>
      </c>
      <c r="AM45" s="178">
        <f>(表1[[#This Row],[列1682243]]+AL45)/2</f>
        <v>0.23027151476659249</v>
      </c>
      <c r="AN45" s="6">
        <v>7.2755559622952317E-3</v>
      </c>
      <c r="AO45" s="15">
        <f>IFERROR(VLOOKUP($B45,'2019开发'!$B:$Q,2,0),0)</f>
        <v>446</v>
      </c>
      <c r="AP45" s="6">
        <f>IFERROR(VLOOKUP($B45,'2019开发'!$B:$Q,3,0),0)</f>
        <v>7.2755559622952317E-3</v>
      </c>
      <c r="AQ45" s="132">
        <f>IFERROR(VLOOKUP($B45,'2019开发'!$B:$Q,4,0),0)</f>
        <v>1.9360883633683955E-2</v>
      </c>
      <c r="AR45" s="132">
        <f>IFERROR(VLOOKUP($B45,'2019开发'!$B:$Q,5,0),0)</f>
        <v>2.6636439595979187E-2</v>
      </c>
      <c r="AS45" s="132">
        <f>IFERROR(VLOOKUP($B45,'2019开发'!$B:$Q,6,0),0)</f>
        <v>0</v>
      </c>
      <c r="AT45" s="132">
        <f>表1[[#This Row],[列172]]*1.1</f>
        <v>8.0031115585247562E-3</v>
      </c>
      <c r="AU45" s="132">
        <f>表1[[#This Row],[列18]]*1.1</f>
        <v>2.930008355557711E-2</v>
      </c>
      <c r="AV45" s="132">
        <f>表1[[#This Row],[列19]]*1.1</f>
        <v>0</v>
      </c>
      <c r="AW45" s="4" t="s">
        <v>413</v>
      </c>
      <c r="AX45" s="4" t="str">
        <f>IF(AP45&lt;=AM45,"Good","Bad")</f>
        <v>Good</v>
      </c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41" t="s">
        <v>223</v>
      </c>
    </row>
    <row r="46" spans="1:79">
      <c r="A46" s="331"/>
      <c r="B46" s="153" t="s">
        <v>406</v>
      </c>
      <c r="C46" s="3">
        <v>51</v>
      </c>
      <c r="D46" s="4">
        <v>184.82509803921599</v>
      </c>
      <c r="E46" s="4">
        <v>108.633122745736</v>
      </c>
      <c r="F46" s="4">
        <v>293.458220784952</v>
      </c>
      <c r="G46" s="4">
        <v>76.191975293479203</v>
      </c>
      <c r="H46" s="3">
        <v>57</v>
      </c>
      <c r="I46" s="4">
        <v>174.79040000000001</v>
      </c>
      <c r="J46" s="4">
        <v>116.631088234201</v>
      </c>
      <c r="K46" s="4">
        <v>291.42148823420098</v>
      </c>
      <c r="L46" s="4">
        <v>58.159311765799501</v>
      </c>
      <c r="M46" s="3">
        <v>78</v>
      </c>
      <c r="N46" s="4">
        <v>156.424375</v>
      </c>
      <c r="O46" s="4">
        <v>107.272518187714</v>
      </c>
      <c r="P46" s="4">
        <v>263.69689318771401</v>
      </c>
      <c r="Q46" s="4">
        <v>49.151856812286198</v>
      </c>
      <c r="R46" s="3">
        <v>91</v>
      </c>
      <c r="S46" s="4">
        <v>121.38943820224701</v>
      </c>
      <c r="T46" s="4">
        <v>83.502542249806993</v>
      </c>
      <c r="U46" s="4">
        <v>204.89198045205401</v>
      </c>
      <c r="V46" s="4">
        <v>37.886895952440199</v>
      </c>
      <c r="W46" s="3">
        <v>80</v>
      </c>
      <c r="X46" s="61">
        <v>91.916708860759499</v>
      </c>
      <c r="Y46" s="61">
        <v>142.91187883620299</v>
      </c>
      <c r="Z46" s="61">
        <v>40.921538885315698</v>
      </c>
      <c r="AA46" s="3">
        <v>64</v>
      </c>
      <c r="AB46" s="61">
        <v>91.666557377049159</v>
      </c>
      <c r="AC46" s="61">
        <v>120.82168602166594</v>
      </c>
      <c r="AD46" s="61">
        <v>62.511428732432378</v>
      </c>
      <c r="AE46" s="3">
        <v>112</v>
      </c>
      <c r="AF46" s="4">
        <v>179.85742574257401</v>
      </c>
      <c r="AG46" s="4">
        <v>292.068735240801</v>
      </c>
      <c r="AH46" s="4">
        <v>67.646116244347198</v>
      </c>
      <c r="AI46" s="4">
        <f t="shared" si="1"/>
        <v>137.55940903197916</v>
      </c>
      <c r="AJ46" s="61">
        <v>91.805530423554899</v>
      </c>
      <c r="AK46" s="61">
        <v>98.357751479289888</v>
      </c>
      <c r="AL46" s="133">
        <v>95.381531531531564</v>
      </c>
      <c r="AM46" s="178">
        <f>(表1[[#This Row],[列1682243]]+AL46)/2</f>
        <v>96.869641505410726</v>
      </c>
      <c r="AN46" s="6">
        <v>76.595635964912304</v>
      </c>
      <c r="AO46" s="15">
        <f>IFERROR(VLOOKUP($B46,'2019开发'!$B:$Q,2,0),0)</f>
        <v>304</v>
      </c>
      <c r="AP46" s="6">
        <f>IFERROR(VLOOKUP($B46,'2019开发'!$B:$Q,3,0),0)</f>
        <v>76.595635964912304</v>
      </c>
      <c r="AQ46" s="132">
        <f>IFERROR(VLOOKUP($B46,'2019开发'!$B:$Q,4,0),0)</f>
        <v>41.799567906319226</v>
      </c>
      <c r="AR46" s="132">
        <f>IFERROR(VLOOKUP($B46,'2019开发'!$B:$Q,5,0),0)</f>
        <v>118.39520387123153</v>
      </c>
      <c r="AS46" s="132">
        <f>IFERROR(VLOOKUP($B46,'2019开发'!$B:$Q,6,0),0)</f>
        <v>34.796068058593079</v>
      </c>
      <c r="AT46" s="132">
        <f>表1[[#This Row],[列172]]*1.1</f>
        <v>84.255199561403543</v>
      </c>
      <c r="AU46" s="132">
        <f>表1[[#This Row],[列18]]*1.1</f>
        <v>130.2347242583547</v>
      </c>
      <c r="AV46" s="132">
        <f>表1[[#This Row],[列19]]*1.1</f>
        <v>38.275674864452391</v>
      </c>
      <c r="AW46" s="4" t="s">
        <v>413</v>
      </c>
      <c r="AX46" s="4" t="str">
        <f>IF(AP46&lt;=AM46,"Good","Bad")</f>
        <v>Good</v>
      </c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141" t="s">
        <v>383</v>
      </c>
    </row>
  </sheetData>
  <mergeCells count="33">
    <mergeCell ref="AT1:AV1"/>
    <mergeCell ref="AO1:AS1"/>
    <mergeCell ref="AA1:AD1"/>
    <mergeCell ref="A30:A31"/>
    <mergeCell ref="A32:A33"/>
    <mergeCell ref="A41:A46"/>
    <mergeCell ref="C1:G1"/>
    <mergeCell ref="H1:L1"/>
    <mergeCell ref="M1:Q1"/>
    <mergeCell ref="R1:V1"/>
    <mergeCell ref="AE1:AH1"/>
    <mergeCell ref="W1:Z1"/>
    <mergeCell ref="A35:A40"/>
    <mergeCell ref="B1:B2"/>
    <mergeCell ref="A1:A2"/>
    <mergeCell ref="A3:A16"/>
    <mergeCell ref="A17:A19"/>
    <mergeCell ref="A24:A28"/>
    <mergeCell ref="A20:A23"/>
    <mergeCell ref="BS1:BT1"/>
    <mergeCell ref="BU1:BV1"/>
    <mergeCell ref="BW1:BX1"/>
    <mergeCell ref="BY1:BZ1"/>
    <mergeCell ref="BI1:BJ1"/>
    <mergeCell ref="BK1:BL1"/>
    <mergeCell ref="BM1:BN1"/>
    <mergeCell ref="BO1:BP1"/>
    <mergeCell ref="BQ1:BR1"/>
    <mergeCell ref="AY1:AZ1"/>
    <mergeCell ref="BA1:BB1"/>
    <mergeCell ref="BC1:BD1"/>
    <mergeCell ref="BE1:BF1"/>
    <mergeCell ref="BG1:BH1"/>
  </mergeCells>
  <phoneticPr fontId="26" type="noConversion"/>
  <conditionalFormatting sqref="BH4">
    <cfRule type="containsBlanks" priority="206" stopIfTrue="1">
      <formula>LEN(TRIM(BH4))=0</formula>
    </cfRule>
    <cfRule type="cellIs" dxfId="111" priority="207" operator="notBetween">
      <formula>$AR4</formula>
      <formula>$AS4</formula>
    </cfRule>
  </conditionalFormatting>
  <conditionalFormatting sqref="BH5:BH9">
    <cfRule type="containsBlanks" priority="204" stopIfTrue="1">
      <formula>LEN(TRIM(BH5))=0</formula>
    </cfRule>
    <cfRule type="cellIs" dxfId="110" priority="205" operator="notBetween">
      <formula>$AR5</formula>
      <formula>$AS5</formula>
    </cfRule>
  </conditionalFormatting>
  <conditionalFormatting sqref="BJ4">
    <cfRule type="containsBlanks" priority="202" stopIfTrue="1">
      <formula>LEN(TRIM(BJ4))=0</formula>
    </cfRule>
    <cfRule type="cellIs" dxfId="109" priority="203" operator="notBetween">
      <formula>$AR4</formula>
      <formula>$AS4</formula>
    </cfRule>
  </conditionalFormatting>
  <conditionalFormatting sqref="BJ5:BJ9">
    <cfRule type="containsBlanks" priority="200" stopIfTrue="1">
      <formula>LEN(TRIM(BJ5))=0</formula>
    </cfRule>
    <cfRule type="cellIs" dxfId="108" priority="201" operator="notBetween">
      <formula>$AR5</formula>
      <formula>$AS5</formula>
    </cfRule>
  </conditionalFormatting>
  <conditionalFormatting sqref="BN4">
    <cfRule type="containsBlanks" priority="198" stopIfTrue="1">
      <formula>LEN(TRIM(BN4))=0</formula>
    </cfRule>
    <cfRule type="cellIs" dxfId="107" priority="199" operator="notBetween">
      <formula>$AR4</formula>
      <formula>$AS4</formula>
    </cfRule>
  </conditionalFormatting>
  <conditionalFormatting sqref="BN5:BN9">
    <cfRule type="containsBlanks" priority="196" stopIfTrue="1">
      <formula>LEN(TRIM(BN5))=0</formula>
    </cfRule>
    <cfRule type="cellIs" dxfId="106" priority="197" operator="notBetween">
      <formula>$AR5</formula>
      <formula>$AS5</formula>
    </cfRule>
  </conditionalFormatting>
  <conditionalFormatting sqref="BT4">
    <cfRule type="containsBlanks" priority="182" stopIfTrue="1">
      <formula>LEN(TRIM(BT4))=0</formula>
    </cfRule>
    <cfRule type="cellIs" dxfId="105" priority="183" operator="notBetween">
      <formula>$AR4</formula>
      <formula>$AS4</formula>
    </cfRule>
  </conditionalFormatting>
  <conditionalFormatting sqref="BT5:BT9">
    <cfRule type="containsBlanks" priority="180" stopIfTrue="1">
      <formula>LEN(TRIM(BT5))=0</formula>
    </cfRule>
    <cfRule type="cellIs" dxfId="104" priority="181" operator="notBetween">
      <formula>$AR5</formula>
      <formula>$AS5</formula>
    </cfRule>
  </conditionalFormatting>
  <conditionalFormatting sqref="AZ5 AZ8:AZ9 BB8:BB9 BD8:BD9 BF8:BF9 BL8:BL9 BP8:BP9 BR8:BR9 BV8:BV9 BX8:BX9 BZ8:BZ9">
    <cfRule type="containsBlanks" priority="122" stopIfTrue="1">
      <formula>LEN(TRIM(AZ5))=0</formula>
    </cfRule>
    <cfRule type="cellIs" dxfId="103" priority="123" operator="notBetween">
      <formula>$AR5</formula>
      <formula>$AS5</formula>
    </cfRule>
    <cfRule type="cellIs" dxfId="102" priority="124" operator="lessThan">
      <formula>$AP5</formula>
    </cfRule>
  </conditionalFormatting>
  <conditionalFormatting sqref="AZ4">
    <cfRule type="containsBlanks" priority="119" stopIfTrue="1">
      <formula>LEN(TRIM(AZ4))=0</formula>
    </cfRule>
    <cfRule type="cellIs" dxfId="101" priority="120" operator="notBetween">
      <formula>$AR4</formula>
      <formula>$AS4</formula>
    </cfRule>
    <cfRule type="cellIs" dxfId="100" priority="121" operator="lessThan">
      <formula>$AP4</formula>
    </cfRule>
  </conditionalFormatting>
  <conditionalFormatting sqref="AZ7">
    <cfRule type="containsBlanks" priority="116" stopIfTrue="1">
      <formula>LEN(TRIM(AZ7))=0</formula>
    </cfRule>
    <cfRule type="cellIs" dxfId="99" priority="117" operator="notBetween">
      <formula>$AR7</formula>
      <formula>$AS7</formula>
    </cfRule>
    <cfRule type="cellIs" dxfId="98" priority="118" operator="lessThan">
      <formula>$AP7</formula>
    </cfRule>
  </conditionalFormatting>
  <conditionalFormatting sqref="AZ6">
    <cfRule type="containsBlanks" priority="113" stopIfTrue="1">
      <formula>LEN(TRIM(AZ6))=0</formula>
    </cfRule>
    <cfRule type="cellIs" dxfId="97" priority="114" operator="notBetween">
      <formula>$AR6</formula>
      <formula>$AS6</formula>
    </cfRule>
    <cfRule type="cellIs" dxfId="96" priority="115" operator="lessThan">
      <formula>$AP6</formula>
    </cfRule>
  </conditionalFormatting>
  <conditionalFormatting sqref="BB5">
    <cfRule type="containsBlanks" priority="110" stopIfTrue="1">
      <formula>LEN(TRIM(BB5))=0</formula>
    </cfRule>
    <cfRule type="cellIs" dxfId="95" priority="111" operator="notBetween">
      <formula>$AR5</formula>
      <formula>$AS5</formula>
    </cfRule>
    <cfRule type="cellIs" dxfId="94" priority="112" operator="lessThan">
      <formula>$AP5</formula>
    </cfRule>
  </conditionalFormatting>
  <conditionalFormatting sqref="BB4">
    <cfRule type="containsBlanks" priority="107" stopIfTrue="1">
      <formula>LEN(TRIM(BB4))=0</formula>
    </cfRule>
    <cfRule type="cellIs" dxfId="93" priority="108" operator="notBetween">
      <formula>$AR4</formula>
      <formula>$AS4</formula>
    </cfRule>
    <cfRule type="cellIs" dxfId="92" priority="109" operator="lessThan">
      <formula>$AP4</formula>
    </cfRule>
  </conditionalFormatting>
  <conditionalFormatting sqref="BB7">
    <cfRule type="containsBlanks" priority="104" stopIfTrue="1">
      <formula>LEN(TRIM(BB7))=0</formula>
    </cfRule>
    <cfRule type="cellIs" dxfId="91" priority="105" operator="notBetween">
      <formula>$AR7</formula>
      <formula>$AS7</formula>
    </cfRule>
    <cfRule type="cellIs" dxfId="90" priority="106" operator="lessThan">
      <formula>$AP7</formula>
    </cfRule>
  </conditionalFormatting>
  <conditionalFormatting sqref="BB6">
    <cfRule type="containsBlanks" priority="101" stopIfTrue="1">
      <formula>LEN(TRIM(BB6))=0</formula>
    </cfRule>
    <cfRule type="cellIs" dxfId="89" priority="102" operator="notBetween">
      <formula>$AR6</formula>
      <formula>$AS6</formula>
    </cfRule>
    <cfRule type="cellIs" dxfId="88" priority="103" operator="lessThan">
      <formula>$AP6</formula>
    </cfRule>
  </conditionalFormatting>
  <conditionalFormatting sqref="BD5">
    <cfRule type="containsBlanks" priority="98" stopIfTrue="1">
      <formula>LEN(TRIM(BD5))=0</formula>
    </cfRule>
    <cfRule type="cellIs" dxfId="87" priority="99" operator="notBetween">
      <formula>$AR5</formula>
      <formula>$AS5</formula>
    </cfRule>
    <cfRule type="cellIs" dxfId="86" priority="100" operator="lessThan">
      <formula>$AP5</formula>
    </cfRule>
  </conditionalFormatting>
  <conditionalFormatting sqref="BD4">
    <cfRule type="containsBlanks" priority="95" stopIfTrue="1">
      <formula>LEN(TRIM(BD4))=0</formula>
    </cfRule>
    <cfRule type="cellIs" dxfId="85" priority="96" operator="notBetween">
      <formula>$AR4</formula>
      <formula>$AS4</formula>
    </cfRule>
    <cfRule type="cellIs" dxfId="84" priority="97" operator="lessThan">
      <formula>$AP4</formula>
    </cfRule>
  </conditionalFormatting>
  <conditionalFormatting sqref="BD7">
    <cfRule type="containsBlanks" priority="92" stopIfTrue="1">
      <formula>LEN(TRIM(BD7))=0</formula>
    </cfRule>
    <cfRule type="cellIs" dxfId="83" priority="93" operator="notBetween">
      <formula>$AR7</formula>
      <formula>$AS7</formula>
    </cfRule>
    <cfRule type="cellIs" dxfId="82" priority="94" operator="lessThan">
      <formula>$AP7</formula>
    </cfRule>
  </conditionalFormatting>
  <conditionalFormatting sqref="BD6">
    <cfRule type="containsBlanks" priority="89" stopIfTrue="1">
      <formula>LEN(TRIM(BD6))=0</formula>
    </cfRule>
    <cfRule type="cellIs" dxfId="81" priority="90" operator="notBetween">
      <formula>$AR6</formula>
      <formula>$AS6</formula>
    </cfRule>
    <cfRule type="cellIs" dxfId="80" priority="91" operator="lessThan">
      <formula>$AP6</formula>
    </cfRule>
  </conditionalFormatting>
  <conditionalFormatting sqref="BF5">
    <cfRule type="containsBlanks" priority="86" stopIfTrue="1">
      <formula>LEN(TRIM(BF5))=0</formula>
    </cfRule>
    <cfRule type="cellIs" dxfId="79" priority="87" operator="notBetween">
      <formula>$AR5</formula>
      <formula>$AS5</formula>
    </cfRule>
    <cfRule type="cellIs" dxfId="78" priority="88" operator="lessThan">
      <formula>$AP5</formula>
    </cfRule>
  </conditionalFormatting>
  <conditionalFormatting sqref="BF4">
    <cfRule type="containsBlanks" priority="83" stopIfTrue="1">
      <formula>LEN(TRIM(BF4))=0</formula>
    </cfRule>
    <cfRule type="cellIs" dxfId="77" priority="84" operator="notBetween">
      <formula>$AR4</formula>
      <formula>$AS4</formula>
    </cfRule>
    <cfRule type="cellIs" dxfId="76" priority="85" operator="lessThan">
      <formula>$AP4</formula>
    </cfRule>
  </conditionalFormatting>
  <conditionalFormatting sqref="BF7">
    <cfRule type="containsBlanks" priority="80" stopIfTrue="1">
      <formula>LEN(TRIM(BF7))=0</formula>
    </cfRule>
    <cfRule type="cellIs" dxfId="75" priority="81" operator="notBetween">
      <formula>$AR7</formula>
      <formula>$AS7</formula>
    </cfRule>
    <cfRule type="cellIs" dxfId="74" priority="82" operator="lessThan">
      <formula>$AP7</formula>
    </cfRule>
  </conditionalFormatting>
  <conditionalFormatting sqref="BF6">
    <cfRule type="containsBlanks" priority="77" stopIfTrue="1">
      <formula>LEN(TRIM(BF6))=0</formula>
    </cfRule>
    <cfRule type="cellIs" dxfId="73" priority="78" operator="notBetween">
      <formula>$AR6</formula>
      <formula>$AS6</formula>
    </cfRule>
    <cfRule type="cellIs" dxfId="72" priority="79" operator="lessThan">
      <formula>$AP6</formula>
    </cfRule>
  </conditionalFormatting>
  <conditionalFormatting sqref="BL5">
    <cfRule type="containsBlanks" priority="74" stopIfTrue="1">
      <formula>LEN(TRIM(BL5))=0</formula>
    </cfRule>
    <cfRule type="cellIs" dxfId="71" priority="75" operator="notBetween">
      <formula>$AR5</formula>
      <formula>$AS5</formula>
    </cfRule>
    <cfRule type="cellIs" dxfId="70" priority="76" operator="lessThan">
      <formula>$AP5</formula>
    </cfRule>
  </conditionalFormatting>
  <conditionalFormatting sqref="BL4">
    <cfRule type="containsBlanks" priority="71" stopIfTrue="1">
      <formula>LEN(TRIM(BL4))=0</formula>
    </cfRule>
    <cfRule type="cellIs" dxfId="69" priority="72" operator="notBetween">
      <formula>$AR4</formula>
      <formula>$AS4</formula>
    </cfRule>
    <cfRule type="cellIs" dxfId="68" priority="73" operator="lessThan">
      <formula>$AP4</formula>
    </cfRule>
  </conditionalFormatting>
  <conditionalFormatting sqref="BL7">
    <cfRule type="containsBlanks" priority="68" stopIfTrue="1">
      <formula>LEN(TRIM(BL7))=0</formula>
    </cfRule>
    <cfRule type="cellIs" dxfId="67" priority="69" operator="notBetween">
      <formula>$AR7</formula>
      <formula>$AS7</formula>
    </cfRule>
    <cfRule type="cellIs" dxfId="66" priority="70" operator="lessThan">
      <formula>$AP7</formula>
    </cfRule>
  </conditionalFormatting>
  <conditionalFormatting sqref="BL6">
    <cfRule type="containsBlanks" priority="65" stopIfTrue="1">
      <formula>LEN(TRIM(BL6))=0</formula>
    </cfRule>
    <cfRule type="cellIs" dxfId="65" priority="66" operator="notBetween">
      <formula>$AR6</formula>
      <formula>$AS6</formula>
    </cfRule>
    <cfRule type="cellIs" dxfId="64" priority="67" operator="lessThan">
      <formula>$AP6</formula>
    </cfRule>
  </conditionalFormatting>
  <conditionalFormatting sqref="BP5">
    <cfRule type="containsBlanks" priority="62" stopIfTrue="1">
      <formula>LEN(TRIM(BP5))=0</formula>
    </cfRule>
    <cfRule type="cellIs" dxfId="63" priority="63" operator="notBetween">
      <formula>$AR5</formula>
      <formula>$AS5</formula>
    </cfRule>
    <cfRule type="cellIs" dxfId="62" priority="64" operator="lessThan">
      <formula>$AP5</formula>
    </cfRule>
  </conditionalFormatting>
  <conditionalFormatting sqref="BP4">
    <cfRule type="containsBlanks" priority="59" stopIfTrue="1">
      <formula>LEN(TRIM(BP4))=0</formula>
    </cfRule>
    <cfRule type="cellIs" dxfId="61" priority="60" operator="notBetween">
      <formula>$AR4</formula>
      <formula>$AS4</formula>
    </cfRule>
    <cfRule type="cellIs" dxfId="60" priority="61" operator="lessThan">
      <formula>$AP4</formula>
    </cfRule>
  </conditionalFormatting>
  <conditionalFormatting sqref="BP7">
    <cfRule type="containsBlanks" priority="56" stopIfTrue="1">
      <formula>LEN(TRIM(BP7))=0</formula>
    </cfRule>
    <cfRule type="cellIs" dxfId="59" priority="57" operator="notBetween">
      <formula>$AR7</formula>
      <formula>$AS7</formula>
    </cfRule>
    <cfRule type="cellIs" dxfId="58" priority="58" operator="lessThan">
      <formula>$AP7</formula>
    </cfRule>
  </conditionalFormatting>
  <conditionalFormatting sqref="BP6">
    <cfRule type="containsBlanks" priority="53" stopIfTrue="1">
      <formula>LEN(TRIM(BP6))=0</formula>
    </cfRule>
    <cfRule type="cellIs" dxfId="57" priority="54" operator="notBetween">
      <formula>$AR6</formula>
      <formula>$AS6</formula>
    </cfRule>
    <cfRule type="cellIs" dxfId="56" priority="55" operator="lessThan">
      <formula>$AP6</formula>
    </cfRule>
  </conditionalFormatting>
  <conditionalFormatting sqref="BR5">
    <cfRule type="containsBlanks" priority="50" stopIfTrue="1">
      <formula>LEN(TRIM(BR5))=0</formula>
    </cfRule>
    <cfRule type="cellIs" dxfId="55" priority="51" operator="notBetween">
      <formula>$AR5</formula>
      <formula>$AS5</formula>
    </cfRule>
    <cfRule type="cellIs" dxfId="54" priority="52" operator="lessThan">
      <formula>$AP5</formula>
    </cfRule>
  </conditionalFormatting>
  <conditionalFormatting sqref="BR4">
    <cfRule type="containsBlanks" priority="47" stopIfTrue="1">
      <formula>LEN(TRIM(BR4))=0</formula>
    </cfRule>
    <cfRule type="cellIs" dxfId="53" priority="48" operator="notBetween">
      <formula>$AR4</formula>
      <formula>$AS4</formula>
    </cfRule>
    <cfRule type="cellIs" dxfId="52" priority="49" operator="lessThan">
      <formula>$AP4</formula>
    </cfRule>
  </conditionalFormatting>
  <conditionalFormatting sqref="BR7">
    <cfRule type="containsBlanks" priority="44" stopIfTrue="1">
      <formula>LEN(TRIM(BR7))=0</formula>
    </cfRule>
    <cfRule type="cellIs" dxfId="51" priority="45" operator="notBetween">
      <formula>$AR7</formula>
      <formula>$AS7</formula>
    </cfRule>
    <cfRule type="cellIs" dxfId="50" priority="46" operator="lessThan">
      <formula>$AP7</formula>
    </cfRule>
  </conditionalFormatting>
  <conditionalFormatting sqref="BR6">
    <cfRule type="containsBlanks" priority="41" stopIfTrue="1">
      <formula>LEN(TRIM(BR6))=0</formula>
    </cfRule>
    <cfRule type="cellIs" dxfId="49" priority="42" operator="notBetween">
      <formula>$AR6</formula>
      <formula>$AS6</formula>
    </cfRule>
    <cfRule type="cellIs" dxfId="48" priority="43" operator="lessThan">
      <formula>$AP6</formula>
    </cfRule>
  </conditionalFormatting>
  <conditionalFormatting sqref="BV5">
    <cfRule type="containsBlanks" priority="38" stopIfTrue="1">
      <formula>LEN(TRIM(BV5))=0</formula>
    </cfRule>
    <cfRule type="cellIs" dxfId="47" priority="39" operator="notBetween">
      <formula>$AR5</formula>
      <formula>$AS5</formula>
    </cfRule>
    <cfRule type="cellIs" dxfId="46" priority="40" operator="lessThan">
      <formula>$AP5</formula>
    </cfRule>
  </conditionalFormatting>
  <conditionalFormatting sqref="BV4">
    <cfRule type="containsBlanks" priority="35" stopIfTrue="1">
      <formula>LEN(TRIM(BV4))=0</formula>
    </cfRule>
    <cfRule type="cellIs" dxfId="45" priority="36" operator="notBetween">
      <formula>$AR4</formula>
      <formula>$AS4</formula>
    </cfRule>
    <cfRule type="cellIs" dxfId="44" priority="37" operator="lessThan">
      <formula>$AP4</formula>
    </cfRule>
  </conditionalFormatting>
  <conditionalFormatting sqref="BV7">
    <cfRule type="containsBlanks" priority="32" stopIfTrue="1">
      <formula>LEN(TRIM(BV7))=0</formula>
    </cfRule>
    <cfRule type="cellIs" dxfId="43" priority="33" operator="notBetween">
      <formula>$AR7</formula>
      <formula>$AS7</formula>
    </cfRule>
    <cfRule type="cellIs" dxfId="42" priority="34" operator="lessThan">
      <formula>$AP7</formula>
    </cfRule>
  </conditionalFormatting>
  <conditionalFormatting sqref="BV6">
    <cfRule type="containsBlanks" priority="29" stopIfTrue="1">
      <formula>LEN(TRIM(BV6))=0</formula>
    </cfRule>
    <cfRule type="cellIs" dxfId="41" priority="30" operator="notBetween">
      <formula>$AR6</formula>
      <formula>$AS6</formula>
    </cfRule>
    <cfRule type="cellIs" dxfId="40" priority="31" operator="lessThan">
      <formula>$AP6</formula>
    </cfRule>
  </conditionalFormatting>
  <conditionalFormatting sqref="BX5">
    <cfRule type="containsBlanks" priority="26" stopIfTrue="1">
      <formula>LEN(TRIM(BX5))=0</formula>
    </cfRule>
    <cfRule type="cellIs" dxfId="39" priority="27" operator="notBetween">
      <formula>$AR5</formula>
      <formula>$AS5</formula>
    </cfRule>
    <cfRule type="cellIs" dxfId="38" priority="28" operator="lessThan">
      <formula>$AP5</formula>
    </cfRule>
  </conditionalFormatting>
  <conditionalFormatting sqref="BX4">
    <cfRule type="containsBlanks" priority="23" stopIfTrue="1">
      <formula>LEN(TRIM(BX4))=0</formula>
    </cfRule>
    <cfRule type="cellIs" dxfId="37" priority="24" operator="notBetween">
      <formula>$AR4</formula>
      <formula>$AS4</formula>
    </cfRule>
    <cfRule type="cellIs" dxfId="36" priority="25" operator="lessThan">
      <formula>$AP4</formula>
    </cfRule>
  </conditionalFormatting>
  <conditionalFormatting sqref="BX7">
    <cfRule type="containsBlanks" priority="20" stopIfTrue="1">
      <formula>LEN(TRIM(BX7))=0</formula>
    </cfRule>
    <cfRule type="cellIs" dxfId="35" priority="21" operator="notBetween">
      <formula>$AR7</formula>
      <formula>$AS7</formula>
    </cfRule>
    <cfRule type="cellIs" dxfId="34" priority="22" operator="lessThan">
      <formula>$AP7</formula>
    </cfRule>
  </conditionalFormatting>
  <conditionalFormatting sqref="BX6">
    <cfRule type="containsBlanks" priority="17" stopIfTrue="1">
      <formula>LEN(TRIM(BX6))=0</formula>
    </cfRule>
    <cfRule type="cellIs" dxfId="33" priority="18" operator="notBetween">
      <formula>$AR6</formula>
      <formula>$AS6</formula>
    </cfRule>
    <cfRule type="cellIs" dxfId="32" priority="19" operator="lessThan">
      <formula>$AP6</formula>
    </cfRule>
  </conditionalFormatting>
  <conditionalFormatting sqref="BZ5">
    <cfRule type="containsBlanks" priority="14" stopIfTrue="1">
      <formula>LEN(TRIM(BZ5))=0</formula>
    </cfRule>
    <cfRule type="cellIs" dxfId="31" priority="15" operator="notBetween">
      <formula>$AR5</formula>
      <formula>$AS5</formula>
    </cfRule>
    <cfRule type="cellIs" dxfId="30" priority="16" operator="lessThan">
      <formula>$AP5</formula>
    </cfRule>
  </conditionalFormatting>
  <conditionalFormatting sqref="BZ4">
    <cfRule type="containsBlanks" priority="11" stopIfTrue="1">
      <formula>LEN(TRIM(BZ4))=0</formula>
    </cfRule>
    <cfRule type="cellIs" dxfId="29" priority="12" operator="notBetween">
      <formula>$AR4</formula>
      <formula>$AS4</formula>
    </cfRule>
    <cfRule type="cellIs" dxfId="28" priority="13" operator="lessThan">
      <formula>$AP4</formula>
    </cfRule>
  </conditionalFormatting>
  <conditionalFormatting sqref="BZ7">
    <cfRule type="containsBlanks" priority="8" stopIfTrue="1">
      <formula>LEN(TRIM(BZ7))=0</formula>
    </cfRule>
    <cfRule type="cellIs" dxfId="27" priority="9" operator="notBetween">
      <formula>$AR7</formula>
      <formula>$AS7</formula>
    </cfRule>
    <cfRule type="cellIs" dxfId="26" priority="10" operator="lessThan">
      <formula>$AP7</formula>
    </cfRule>
  </conditionalFormatting>
  <conditionalFormatting sqref="BZ6">
    <cfRule type="containsBlanks" priority="5" stopIfTrue="1">
      <formula>LEN(TRIM(BZ6))=0</formula>
    </cfRule>
    <cfRule type="cellIs" dxfId="25" priority="6" operator="notBetween">
      <formula>$AR6</formula>
      <formula>$AS6</formula>
    </cfRule>
    <cfRule type="cellIs" dxfId="24" priority="7" operator="lessThan">
      <formula>$AP6</formula>
    </cfRule>
  </conditionalFormatting>
  <conditionalFormatting sqref="AO4:AO46">
    <cfRule type="cellIs" dxfId="23" priority="4" operator="equal">
      <formula>0</formula>
    </cfRule>
  </conditionalFormatting>
  <conditionalFormatting sqref="AT17:AV17">
    <cfRule type="cellIs" dxfId="22" priority="3" operator="greaterThan">
      <formula>1</formula>
    </cfRule>
  </conditionalFormatting>
  <conditionalFormatting sqref="AT27:AV27">
    <cfRule type="cellIs" dxfId="21" priority="2" operator="greaterThan">
      <formula>1</formula>
    </cfRule>
  </conditionalFormatting>
  <conditionalFormatting sqref="AT34:AV34">
    <cfRule type="cellIs" dxfId="20" priority="1" operator="greaterThan">
      <formula>1</formula>
    </cfRule>
  </conditionalFormatting>
  <pageMargins left="0.74791666666666701" right="0.74791666666666701" top="0.98402777777777795" bottom="0.98402777777777795" header="0.51180555555555596" footer="0.51180555555555596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18"/>
  <sheetViews>
    <sheetView zoomScaleNormal="100" workbookViewId="0">
      <pane xSplit="45" ySplit="3" topLeftCell="AT4" activePane="bottomRight" state="frozen"/>
      <selection pane="topRight" activeCell="AU1" sqref="AU1"/>
      <selection pane="bottomLeft" activeCell="A4" sqref="A4"/>
      <selection pane="bottomRight" activeCell="AY12" sqref="AY12"/>
    </sheetView>
  </sheetViews>
  <sheetFormatPr defaultColWidth="9" defaultRowHeight="14.25"/>
  <cols>
    <col min="1" max="1" width="16.125" style="26" customWidth="1"/>
    <col min="2" max="2" width="36.125" style="26" customWidth="1"/>
    <col min="3" max="3" width="6.75" style="26" hidden="1" customWidth="1"/>
    <col min="4" max="4" width="8" style="26" hidden="1" customWidth="1"/>
    <col min="5" max="6" width="6.75" style="26" hidden="1" customWidth="1"/>
    <col min="7" max="7" width="7.375" style="26" hidden="1" customWidth="1"/>
    <col min="8" max="8" width="10.875" style="26" hidden="1" customWidth="1"/>
    <col min="9" max="24" width="7.375" style="26" hidden="1" customWidth="1"/>
    <col min="25" max="25" width="11.125" style="26" hidden="1" customWidth="1"/>
    <col min="26" max="30" width="7.375" style="26" hidden="1" customWidth="1"/>
    <col min="31" max="31" width="8.875" style="26" hidden="1" customWidth="1"/>
    <col min="32" max="32" width="11.875" style="26" hidden="1" customWidth="1"/>
    <col min="33" max="33" width="10.625" style="26" hidden="1" customWidth="1"/>
    <col min="34" max="34" width="12.625" style="26" hidden="1" customWidth="1"/>
    <col min="35" max="35" width="10.875" style="26" hidden="1" customWidth="1"/>
    <col min="36" max="36" width="11" style="26" hidden="1" customWidth="1"/>
    <col min="37" max="37" width="9" style="26" hidden="1" customWidth="1"/>
    <col min="38" max="38" width="10.625" style="26" hidden="1" customWidth="1"/>
    <col min="39" max="39" width="9.25" style="26" customWidth="1"/>
    <col min="40" max="40" width="8.875" style="26" customWidth="1"/>
    <col min="41" max="41" width="9" style="26" customWidth="1"/>
    <col min="42" max="42" width="9" style="26"/>
    <col min="43" max="43" width="6.125" style="26" customWidth="1"/>
    <col min="44" max="45" width="9" style="26" customWidth="1"/>
    <col min="46" max="50" width="8.125" customWidth="1"/>
    <col min="51" max="16384" width="9" style="26"/>
  </cols>
  <sheetData>
    <row r="1" spans="1:50" s="24" customFormat="1" ht="34.5" customHeight="1">
      <c r="A1" s="350" t="s">
        <v>402</v>
      </c>
      <c r="B1" s="350"/>
      <c r="C1" s="327" t="s">
        <v>98</v>
      </c>
      <c r="D1" s="338"/>
      <c r="E1" s="338"/>
      <c r="F1" s="338"/>
      <c r="G1" s="339"/>
      <c r="H1" s="327" t="s">
        <v>130</v>
      </c>
      <c r="I1" s="338"/>
      <c r="J1" s="338"/>
      <c r="K1" s="338"/>
      <c r="L1" s="339"/>
      <c r="M1" s="343" t="s">
        <v>131</v>
      </c>
      <c r="N1" s="344"/>
      <c r="O1" s="344"/>
      <c r="P1" s="344"/>
      <c r="Q1" s="345"/>
      <c r="R1" s="343" t="s">
        <v>132</v>
      </c>
      <c r="S1" s="344"/>
      <c r="T1" s="344"/>
      <c r="U1" s="345"/>
      <c r="V1" s="343" t="s">
        <v>133</v>
      </c>
      <c r="W1" s="344"/>
      <c r="X1" s="344"/>
      <c r="Y1" s="345"/>
      <c r="Z1" s="343" t="s">
        <v>134</v>
      </c>
      <c r="AA1" s="344"/>
      <c r="AB1" s="344"/>
      <c r="AC1" s="345"/>
      <c r="AD1" s="171" t="s">
        <v>427</v>
      </c>
      <c r="AE1" s="340" t="s">
        <v>191</v>
      </c>
      <c r="AF1" s="341"/>
      <c r="AG1" s="341"/>
      <c r="AH1" s="342"/>
      <c r="AI1" s="340" t="s">
        <v>255</v>
      </c>
      <c r="AJ1" s="341"/>
      <c r="AK1" s="341"/>
      <c r="AL1" s="342"/>
      <c r="AM1" s="173" t="s">
        <v>422</v>
      </c>
      <c r="AN1" s="317" t="s">
        <v>571</v>
      </c>
      <c r="AO1" s="330" t="s">
        <v>572</v>
      </c>
      <c r="AP1" s="330"/>
      <c r="AQ1" s="330"/>
      <c r="AR1" s="330"/>
      <c r="AS1" s="330"/>
      <c r="AT1" s="327" t="s">
        <v>570</v>
      </c>
      <c r="AU1" s="328"/>
      <c r="AV1" s="329"/>
      <c r="AW1" s="176" t="s">
        <v>414</v>
      </c>
      <c r="AX1" s="176" t="s">
        <v>418</v>
      </c>
    </row>
    <row r="2" spans="1:50" s="25" customFormat="1" ht="14.25" customHeight="1">
      <c r="A2" s="350"/>
      <c r="B2" s="350"/>
      <c r="C2" s="38" t="s">
        <v>0</v>
      </c>
      <c r="D2" s="38" t="s">
        <v>1</v>
      </c>
      <c r="E2" s="38" t="s">
        <v>29</v>
      </c>
      <c r="F2" s="38" t="s">
        <v>2</v>
      </c>
      <c r="G2" s="38" t="s">
        <v>3</v>
      </c>
      <c r="H2" s="38" t="s">
        <v>0</v>
      </c>
      <c r="I2" s="38" t="s">
        <v>1</v>
      </c>
      <c r="J2" s="38" t="s">
        <v>29</v>
      </c>
      <c r="K2" s="38" t="s">
        <v>2</v>
      </c>
      <c r="L2" s="38" t="s">
        <v>3</v>
      </c>
      <c r="M2" s="38" t="s">
        <v>0</v>
      </c>
      <c r="N2" s="38" t="s">
        <v>1</v>
      </c>
      <c r="O2" s="38" t="s">
        <v>29</v>
      </c>
      <c r="P2" s="38" t="s">
        <v>2</v>
      </c>
      <c r="Q2" s="38" t="s">
        <v>3</v>
      </c>
      <c r="R2" s="38" t="s">
        <v>0</v>
      </c>
      <c r="S2" s="38" t="s">
        <v>1</v>
      </c>
      <c r="T2" s="38" t="s">
        <v>2</v>
      </c>
      <c r="U2" s="38" t="s">
        <v>3</v>
      </c>
      <c r="V2" s="38" t="s">
        <v>0</v>
      </c>
      <c r="W2" s="38" t="s">
        <v>1</v>
      </c>
      <c r="X2" s="38" t="s">
        <v>2</v>
      </c>
      <c r="Y2" s="38" t="s">
        <v>3</v>
      </c>
      <c r="Z2" s="38" t="s">
        <v>0</v>
      </c>
      <c r="AA2" s="38" t="s">
        <v>1</v>
      </c>
      <c r="AB2" s="38" t="s">
        <v>2</v>
      </c>
      <c r="AC2" s="38" t="s">
        <v>3</v>
      </c>
      <c r="AD2" s="172"/>
      <c r="AE2" s="71" t="s">
        <v>0</v>
      </c>
      <c r="AF2" s="71" t="s">
        <v>1</v>
      </c>
      <c r="AG2" s="71" t="s">
        <v>2</v>
      </c>
      <c r="AH2" s="71" t="s">
        <v>3</v>
      </c>
      <c r="AI2" s="84" t="s">
        <v>0</v>
      </c>
      <c r="AJ2" s="84" t="s">
        <v>1</v>
      </c>
      <c r="AK2" s="84" t="s">
        <v>2</v>
      </c>
      <c r="AL2" s="84" t="s">
        <v>3</v>
      </c>
      <c r="AM2" s="172"/>
      <c r="AN2" s="318"/>
      <c r="AO2" s="122" t="s">
        <v>341</v>
      </c>
      <c r="AP2" s="122" t="s">
        <v>364</v>
      </c>
      <c r="AQ2" s="122" t="s">
        <v>363</v>
      </c>
      <c r="AR2" s="122" t="s">
        <v>2</v>
      </c>
      <c r="AS2" s="122" t="s">
        <v>3</v>
      </c>
      <c r="AT2" s="146" t="s">
        <v>399</v>
      </c>
      <c r="AU2" s="146" t="s">
        <v>401</v>
      </c>
      <c r="AV2" s="146" t="s">
        <v>400</v>
      </c>
      <c r="AW2" s="169"/>
      <c r="AX2" s="169"/>
    </row>
    <row r="3" spans="1:50" s="25" customFormat="1" ht="13.5" customHeight="1">
      <c r="A3" s="346" t="s">
        <v>22</v>
      </c>
      <c r="B3" s="39" t="s">
        <v>4</v>
      </c>
      <c r="C3" s="40" t="s">
        <v>5</v>
      </c>
      <c r="D3" s="40" t="s">
        <v>6</v>
      </c>
      <c r="E3" s="40" t="s">
        <v>7</v>
      </c>
      <c r="F3" s="40" t="s">
        <v>8</v>
      </c>
      <c r="G3" s="40" t="s">
        <v>9</v>
      </c>
      <c r="H3" s="40" t="s">
        <v>10</v>
      </c>
      <c r="I3" s="40" t="s">
        <v>11</v>
      </c>
      <c r="J3" s="40" t="s">
        <v>12</v>
      </c>
      <c r="K3" s="40" t="s">
        <v>13</v>
      </c>
      <c r="L3" s="40" t="s">
        <v>20</v>
      </c>
      <c r="M3" s="40" t="s">
        <v>135</v>
      </c>
      <c r="N3" s="40" t="s">
        <v>136</v>
      </c>
      <c r="O3" s="40" t="s">
        <v>137</v>
      </c>
      <c r="P3" s="40" t="s">
        <v>138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143</v>
      </c>
      <c r="V3" s="40" t="s">
        <v>144</v>
      </c>
      <c r="W3" s="40" t="s">
        <v>145</v>
      </c>
      <c r="X3" s="40" t="s">
        <v>146</v>
      </c>
      <c r="Y3" s="40" t="s">
        <v>147</v>
      </c>
      <c r="Z3" s="40" t="s">
        <v>148</v>
      </c>
      <c r="AA3" s="40" t="s">
        <v>149</v>
      </c>
      <c r="AB3" s="40" t="s">
        <v>150</v>
      </c>
      <c r="AC3" s="40" t="s">
        <v>151</v>
      </c>
      <c r="AD3" s="40" t="s">
        <v>426</v>
      </c>
      <c r="AE3" s="40" t="s">
        <v>190</v>
      </c>
      <c r="AF3" s="40" t="s">
        <v>189</v>
      </c>
      <c r="AG3" s="40" t="s">
        <v>188</v>
      </c>
      <c r="AH3" s="40" t="s">
        <v>187</v>
      </c>
      <c r="AI3" s="40" t="s">
        <v>254</v>
      </c>
      <c r="AJ3" s="40" t="s">
        <v>253</v>
      </c>
      <c r="AK3" s="40" t="s">
        <v>252</v>
      </c>
      <c r="AL3" s="40" t="s">
        <v>251</v>
      </c>
      <c r="AM3" s="40" t="s">
        <v>424</v>
      </c>
      <c r="AN3" s="40" t="s">
        <v>424</v>
      </c>
      <c r="AO3" s="20" t="s">
        <v>53</v>
      </c>
      <c r="AP3" s="20" t="s">
        <v>164</v>
      </c>
      <c r="AQ3" s="20" t="s">
        <v>246</v>
      </c>
      <c r="AR3" s="20" t="s">
        <v>54</v>
      </c>
      <c r="AS3" s="20" t="s">
        <v>55</v>
      </c>
      <c r="AT3" s="20"/>
      <c r="AU3" s="20"/>
      <c r="AV3" s="20"/>
      <c r="AW3" s="20"/>
      <c r="AX3" s="20"/>
    </row>
    <row r="4" spans="1:50" s="36" customFormat="1" ht="16.5">
      <c r="A4" s="346"/>
      <c r="B4" s="2" t="s">
        <v>152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>
        <v>19</v>
      </c>
      <c r="S4" s="43">
        <v>3.36903187455819</v>
      </c>
      <c r="T4" s="43">
        <v>6.4370525444301698</v>
      </c>
      <c r="U4" s="43">
        <v>0.30101120468621401</v>
      </c>
      <c r="V4" s="41"/>
      <c r="W4" s="43"/>
      <c r="X4" s="43"/>
      <c r="Y4" s="43"/>
      <c r="Z4" s="41">
        <v>6</v>
      </c>
      <c r="AA4" s="43">
        <v>5.2489898989899002</v>
      </c>
      <c r="AB4" s="43">
        <v>9.7266747661067505</v>
      </c>
      <c r="AC4" s="43">
        <v>0.77130503187305</v>
      </c>
      <c r="AD4" s="43">
        <f>(R4*S4+V4*W4+Z4*AA4)/(R4+V4+Z4)</f>
        <v>3.8202218004218</v>
      </c>
      <c r="AE4" s="95">
        <v>23</v>
      </c>
      <c r="AF4" s="43">
        <v>4.8775177846984352</v>
      </c>
      <c r="AG4" s="43">
        <v>6.6106547269961675</v>
      </c>
      <c r="AH4" s="43">
        <v>3.1443808424007029</v>
      </c>
      <c r="AI4" s="95">
        <v>29</v>
      </c>
      <c r="AJ4" s="43">
        <v>1.5762196587685728</v>
      </c>
      <c r="AK4" s="43">
        <v>5.9769877069207213</v>
      </c>
      <c r="AL4" s="43">
        <v>2.8245483893835752</v>
      </c>
      <c r="AM4" s="184">
        <f>(AE4*AF4+AI4*AJ4)/(AE4+AI4)</f>
        <v>3.0364092144683195</v>
      </c>
      <c r="AN4" s="184">
        <v>4.2958776552456346</v>
      </c>
      <c r="AO4" s="400">
        <f>IFERROR(VLOOKUP($B4,'2019测试'!$B:$Q,2,0),0)</f>
        <v>9</v>
      </c>
      <c r="AP4" s="217">
        <f>IFERROR(VLOOKUP($B4,'2019测试'!$B:$Q,3,0),0)</f>
        <v>4.4161299270913483</v>
      </c>
      <c r="AQ4" s="401">
        <f>IFERROR(VLOOKUP($B4,'2019测试'!$B:$Q,4,0),0)</f>
        <v>1.8424700747498211</v>
      </c>
      <c r="AR4" s="401">
        <f>IFERROR(VLOOKUP($B4,'2019测试'!$B:$Q,5,0),0)</f>
        <v>6.2586000018411694</v>
      </c>
      <c r="AS4" s="401">
        <f>IFERROR(VLOOKUP($B4,'2019测试'!$B:$Q,6,0),0)</f>
        <v>2.5736598523415273</v>
      </c>
      <c r="AT4" s="132">
        <f>AP4*1.1</f>
        <v>4.8577429198004838</v>
      </c>
      <c r="AU4" s="132">
        <f>AR4*1.1</f>
        <v>6.8844600020252873</v>
      </c>
      <c r="AV4" s="132">
        <f>AS4*1.1</f>
        <v>2.8310258375756803</v>
      </c>
      <c r="AW4" s="178" t="s">
        <v>417</v>
      </c>
      <c r="AX4" s="178" t="str">
        <f>IF(AP4&gt;=AM4,"Up","Down")</f>
        <v>Up</v>
      </c>
    </row>
    <row r="5" spans="1:50" s="36" customFormat="1" ht="16.5">
      <c r="A5" s="346"/>
      <c r="B5" s="21" t="s">
        <v>385</v>
      </c>
      <c r="C5" s="41"/>
      <c r="D5" s="41"/>
      <c r="E5" s="41"/>
      <c r="F5" s="41"/>
      <c r="G5" s="41"/>
      <c r="H5" s="41">
        <v>5</v>
      </c>
      <c r="I5" s="43">
        <v>11.5648351648352</v>
      </c>
      <c r="J5" s="43">
        <v>7.9186694238228599</v>
      </c>
      <c r="K5" s="43">
        <v>19.483504588658001</v>
      </c>
      <c r="L5" s="43">
        <v>3.6461657410123101</v>
      </c>
      <c r="M5" s="41">
        <v>32</v>
      </c>
      <c r="N5" s="43">
        <v>13.750839999318</v>
      </c>
      <c r="O5" s="43">
        <v>8.8351280613498595</v>
      </c>
      <c r="P5" s="43">
        <v>22.585968060667799</v>
      </c>
      <c r="Q5" s="43">
        <v>4.91571193796812</v>
      </c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 t="e">
        <f t="shared" ref="AD5:AD18" si="0">(R5*S5+V5*W5+Z5*AA5)/(R5+V5+Z5)</f>
        <v>#DIV/0!</v>
      </c>
      <c r="AE5" s="95">
        <v>37</v>
      </c>
      <c r="AF5" s="43">
        <v>6.897885770420495</v>
      </c>
      <c r="AG5" s="43">
        <v>12.016446151525713</v>
      </c>
      <c r="AH5" s="43">
        <v>1.779325389315277</v>
      </c>
      <c r="AI5" s="95">
        <v>23</v>
      </c>
      <c r="AJ5" s="43">
        <v>2.7733147563394058</v>
      </c>
      <c r="AK5" s="43">
        <v>8.7532830361436478</v>
      </c>
      <c r="AL5" s="43">
        <v>3.2066535234648366</v>
      </c>
      <c r="AM5" s="184">
        <f t="shared" ref="AM5:AN18" si="1">(AE5*AF5+AI5*AJ5)/(AE5+AI5)</f>
        <v>5.3168002150227434</v>
      </c>
      <c r="AN5" s="184">
        <v>5.0689891315154565</v>
      </c>
      <c r="AO5" s="400">
        <f>IFERROR(VLOOKUP($B5,'2019测试'!$B:$Q,2,0),0)</f>
        <v>51</v>
      </c>
      <c r="AP5" s="217">
        <f>IFERROR(VLOOKUP($B5,'2019测试'!$B:$Q,3,0),0)</f>
        <v>7.3626765875844429</v>
      </c>
      <c r="AQ5" s="401">
        <f>IFERROR(VLOOKUP($B5,'2019测试'!$B:$Q,4,0),0)</f>
        <v>2.4905654230913363</v>
      </c>
      <c r="AR5" s="401">
        <f>IFERROR(VLOOKUP($B5,'2019测试'!$B:$Q,5,0),0)</f>
        <v>9.8532420106757783</v>
      </c>
      <c r="AS5" s="401">
        <f>IFERROR(VLOOKUP($B5,'2019测试'!$B:$Q,6,0),0)</f>
        <v>4.8721111644931065</v>
      </c>
      <c r="AT5" s="132">
        <f t="shared" ref="AT5:AT18" si="2">AP5*1.1</f>
        <v>8.0989442463428887</v>
      </c>
      <c r="AU5" s="132">
        <f t="shared" ref="AU5:AU18" si="3">AR5*1.1</f>
        <v>10.838566211743357</v>
      </c>
      <c r="AV5" s="132">
        <f t="shared" ref="AV5:AV18" si="4">AS5*1.1</f>
        <v>5.3593222809424175</v>
      </c>
      <c r="AW5" s="178"/>
      <c r="AX5" s="178" t="str">
        <f t="shared" ref="AX5:AX8" si="5">IF(AP5&gt;=AM5,"Up","Down")</f>
        <v>Up</v>
      </c>
    </row>
    <row r="6" spans="1:50" s="36" customFormat="1" ht="16.5">
      <c r="A6" s="346"/>
      <c r="B6" s="21" t="s">
        <v>153</v>
      </c>
      <c r="C6" s="41"/>
      <c r="D6" s="41"/>
      <c r="E6" s="41"/>
      <c r="F6" s="41"/>
      <c r="G6" s="41"/>
      <c r="H6" s="41"/>
      <c r="I6" s="43"/>
      <c r="J6" s="43"/>
      <c r="K6" s="43"/>
      <c r="L6" s="43"/>
      <c r="M6" s="41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>
        <v>34</v>
      </c>
      <c r="AA6" s="43">
        <v>23.1783692609973</v>
      </c>
      <c r="AB6" s="43">
        <v>66.855769619787495</v>
      </c>
      <c r="AC6" s="43">
        <v>0</v>
      </c>
      <c r="AD6" s="43">
        <f t="shared" si="0"/>
        <v>23.1783692609973</v>
      </c>
      <c r="AE6" s="95"/>
      <c r="AF6" s="43"/>
      <c r="AG6" s="43"/>
      <c r="AH6" s="43"/>
      <c r="AI6" s="43"/>
      <c r="AJ6" s="43"/>
      <c r="AK6" s="43"/>
      <c r="AL6" s="43"/>
      <c r="AM6" s="184" t="e">
        <f t="shared" si="1"/>
        <v>#DIV/0!</v>
      </c>
      <c r="AN6" s="184"/>
      <c r="AO6" s="400">
        <f>IFERROR(VLOOKUP($B6,'2019测试'!$B:$Q,2,0),0)</f>
        <v>0</v>
      </c>
      <c r="AP6" s="217">
        <f>IFERROR(VLOOKUP($B6,'2019测试'!$B:$Q,3,0),0)</f>
        <v>0</v>
      </c>
      <c r="AQ6" s="401">
        <f>IFERROR(VLOOKUP($B6,'2019测试'!$B:$Q,4,0),0)</f>
        <v>0</v>
      </c>
      <c r="AR6" s="401">
        <f>IFERROR(VLOOKUP($B6,'2019测试'!$B:$Q,5,0),0)</f>
        <v>0</v>
      </c>
      <c r="AS6" s="401">
        <f>IFERROR(VLOOKUP($B6,'2019测试'!$B:$Q,6,0),0)</f>
        <v>0</v>
      </c>
      <c r="AT6" s="4">
        <f t="shared" si="2"/>
        <v>0</v>
      </c>
      <c r="AU6" s="132">
        <f t="shared" si="3"/>
        <v>0</v>
      </c>
      <c r="AV6" s="4">
        <f t="shared" si="4"/>
        <v>0</v>
      </c>
      <c r="AW6" s="178"/>
      <c r="AX6" s="178" t="e">
        <f t="shared" si="5"/>
        <v>#DIV/0!</v>
      </c>
    </row>
    <row r="7" spans="1:50" s="36" customFormat="1" ht="16.5">
      <c r="A7" s="346"/>
      <c r="B7" s="2" t="s">
        <v>154</v>
      </c>
      <c r="C7" s="41"/>
      <c r="D7" s="41"/>
      <c r="E7" s="41"/>
      <c r="F7" s="41"/>
      <c r="G7" s="41"/>
      <c r="H7" s="41">
        <v>4</v>
      </c>
      <c r="I7" s="43">
        <v>12.763920454545501</v>
      </c>
      <c r="J7" s="43">
        <v>0.69613279896496705</v>
      </c>
      <c r="K7" s="43">
        <v>14.852318851440399</v>
      </c>
      <c r="L7" s="43">
        <v>10.6755220576506</v>
      </c>
      <c r="M7" s="41">
        <v>41</v>
      </c>
      <c r="N7" s="43">
        <v>16.283717120253801</v>
      </c>
      <c r="O7" s="43">
        <v>6.3728906048301504</v>
      </c>
      <c r="P7" s="43">
        <v>22.656607725084001</v>
      </c>
      <c r="Q7" s="43">
        <v>9.9108265154236701</v>
      </c>
      <c r="R7" s="41">
        <v>23</v>
      </c>
      <c r="S7" s="43">
        <v>15.723488396053799</v>
      </c>
      <c r="T7" s="43">
        <v>20.8594930116409</v>
      </c>
      <c r="U7" s="43">
        <v>10.587483780466799</v>
      </c>
      <c r="V7" s="41"/>
      <c r="W7" s="43"/>
      <c r="X7" s="43"/>
      <c r="Y7" s="43"/>
      <c r="Z7" s="41">
        <v>27</v>
      </c>
      <c r="AA7" s="43">
        <v>10.8841380369812</v>
      </c>
      <c r="AB7" s="43">
        <v>14.912629602010799</v>
      </c>
      <c r="AC7" s="43">
        <v>6.8556464719515402</v>
      </c>
      <c r="AD7" s="43">
        <f t="shared" si="0"/>
        <v>13.110239202154595</v>
      </c>
      <c r="AE7" s="95">
        <v>56</v>
      </c>
      <c r="AF7" s="43">
        <v>21.120589918777359</v>
      </c>
      <c r="AG7" s="43">
        <v>37.96094153909803</v>
      </c>
      <c r="AH7" s="43">
        <v>4.2802382984566911</v>
      </c>
      <c r="AI7" s="101">
        <v>32</v>
      </c>
      <c r="AJ7" s="102">
        <v>12.413579337831944</v>
      </c>
      <c r="AK7" s="102">
        <v>18.441140054524801</v>
      </c>
      <c r="AL7" s="102">
        <v>6.3860186211390868</v>
      </c>
      <c r="AM7" s="184">
        <f t="shared" si="1"/>
        <v>17.954404252979028</v>
      </c>
      <c r="AN7" s="184">
        <v>13.980724360689987</v>
      </c>
      <c r="AO7" s="400">
        <f>IFERROR(VLOOKUP($B7,'2019测试'!$B:$Q,2,0),0)</f>
        <v>16</v>
      </c>
      <c r="AP7" s="217">
        <f>IFERROR(VLOOKUP($B7,'2019测试'!$B:$Q,3,0),0)</f>
        <v>13.740285645867543</v>
      </c>
      <c r="AQ7" s="401">
        <f>IFERROR(VLOOKUP($B7,'2019测试'!$B:$Q,4,0),0)</f>
        <v>0.11869039339348161</v>
      </c>
      <c r="AR7" s="401">
        <f>IFERROR(VLOOKUP($B7,'2019测试'!$B:$Q,5,0),0)</f>
        <v>14.096356826047987</v>
      </c>
      <c r="AS7" s="401">
        <f>IFERROR(VLOOKUP($B7,'2019测试'!$B:$Q,6,0),0)</f>
        <v>13.384214465687098</v>
      </c>
      <c r="AT7" s="132">
        <f t="shared" si="2"/>
        <v>15.114314210454298</v>
      </c>
      <c r="AU7" s="132">
        <f t="shared" si="3"/>
        <v>15.505992508652788</v>
      </c>
      <c r="AV7" s="132">
        <f t="shared" si="4"/>
        <v>14.722635912255809</v>
      </c>
      <c r="AW7" s="178" t="s">
        <v>417</v>
      </c>
      <c r="AX7" s="178" t="str">
        <f t="shared" si="5"/>
        <v>Down</v>
      </c>
    </row>
    <row r="8" spans="1:50" s="36" customFormat="1" ht="16.5">
      <c r="A8" s="346"/>
      <c r="B8" s="2" t="s">
        <v>155</v>
      </c>
      <c r="C8" s="3">
        <v>56</v>
      </c>
      <c r="D8" s="4">
        <v>8.0579953252467806</v>
      </c>
      <c r="E8" s="4">
        <v>3.7574696560294898</v>
      </c>
      <c r="F8" s="4">
        <v>11.8154649812763</v>
      </c>
      <c r="G8" s="4">
        <v>4.30052566921729</v>
      </c>
      <c r="H8" s="3">
        <v>98</v>
      </c>
      <c r="I8" s="4">
        <v>8.5768045785236104</v>
      </c>
      <c r="J8" s="4">
        <v>5.70563837925173</v>
      </c>
      <c r="K8" s="4">
        <v>14.2824429577753</v>
      </c>
      <c r="L8" s="4">
        <v>2.87116619927188</v>
      </c>
      <c r="M8" s="3">
        <v>50</v>
      </c>
      <c r="N8" s="4">
        <v>17.615388443300098</v>
      </c>
      <c r="O8" s="4">
        <v>20.149686004020399</v>
      </c>
      <c r="P8" s="4">
        <v>0</v>
      </c>
      <c r="Q8" s="4">
        <v>37.765074447320501</v>
      </c>
      <c r="R8" s="41">
        <v>30</v>
      </c>
      <c r="S8" s="4">
        <v>19.592993705728599</v>
      </c>
      <c r="T8" s="4">
        <v>32.543560718460199</v>
      </c>
      <c r="U8" s="4">
        <v>6.6424266929970299</v>
      </c>
      <c r="V8" s="41">
        <v>60</v>
      </c>
      <c r="W8" s="4">
        <v>14.704877555772899</v>
      </c>
      <c r="X8" s="4">
        <v>2.4243087430248198</v>
      </c>
      <c r="Y8" s="4">
        <v>26.985446368520901</v>
      </c>
      <c r="Z8" s="41">
        <v>62</v>
      </c>
      <c r="AA8" s="4">
        <v>6.3702815443136602</v>
      </c>
      <c r="AB8" s="4">
        <v>10.5157799803766</v>
      </c>
      <c r="AC8" s="4">
        <v>2.2247831082507701</v>
      </c>
      <c r="AD8" s="43">
        <f t="shared" si="0"/>
        <v>12.269999475432099</v>
      </c>
      <c r="AE8" s="15">
        <v>89</v>
      </c>
      <c r="AF8" s="4">
        <v>16.660624469781514</v>
      </c>
      <c r="AG8" s="4">
        <v>28.71309147839554</v>
      </c>
      <c r="AH8" s="4">
        <v>4.6081574611674867</v>
      </c>
      <c r="AI8" s="3">
        <v>40</v>
      </c>
      <c r="AJ8" s="103">
        <v>18.504434845388701</v>
      </c>
      <c r="AK8" s="103">
        <v>26.118105607619285</v>
      </c>
      <c r="AL8" s="103">
        <v>10.890764083158119</v>
      </c>
      <c r="AM8" s="184">
        <f t="shared" si="1"/>
        <v>17.232348617256608</v>
      </c>
      <c r="AN8" s="184">
        <v>21.494643745095267</v>
      </c>
      <c r="AO8" s="400">
        <f>IFERROR(VLOOKUP($B8,'2019测试'!$B:$Q,2,0),0)</f>
        <v>17</v>
      </c>
      <c r="AP8" s="217">
        <f>IFERROR(VLOOKUP($B8,'2019测试'!$B:$Q,3,0),0)</f>
        <v>18.058755068155673</v>
      </c>
      <c r="AQ8" s="401" t="str">
        <f>IFERROR(VLOOKUP($B8,'2019测试'!$B:$Q,4,0),0)</f>
        <v/>
      </c>
      <c r="AR8" s="401">
        <v>41.38722580795973</v>
      </c>
      <c r="AS8" s="401">
        <v>5.90099043124986</v>
      </c>
      <c r="AT8" s="132">
        <f t="shared" si="2"/>
        <v>19.86463057497124</v>
      </c>
      <c r="AU8" s="132">
        <f t="shared" si="3"/>
        <v>45.525948388755708</v>
      </c>
      <c r="AV8" s="132">
        <f t="shared" si="4"/>
        <v>6.4910894743748466</v>
      </c>
      <c r="AW8" s="178" t="s">
        <v>417</v>
      </c>
      <c r="AX8" s="178" t="str">
        <f t="shared" si="5"/>
        <v>Up</v>
      </c>
    </row>
    <row r="9" spans="1:50" s="36" customFormat="1" ht="16.5">
      <c r="A9" s="347" t="s">
        <v>21</v>
      </c>
      <c r="B9" s="21" t="s">
        <v>391</v>
      </c>
      <c r="C9" s="3">
        <v>49</v>
      </c>
      <c r="D9" s="5">
        <v>4.12677548781272E-2</v>
      </c>
      <c r="E9" s="5">
        <v>4.8243736787570303E-2</v>
      </c>
      <c r="F9" s="5">
        <v>8.9511491665697496E-2</v>
      </c>
      <c r="G9" s="5">
        <v>0</v>
      </c>
      <c r="H9" s="3">
        <v>88</v>
      </c>
      <c r="I9" s="5">
        <v>0.12276500816953501</v>
      </c>
      <c r="J9" s="5">
        <v>0.20056815246416701</v>
      </c>
      <c r="K9" s="5">
        <v>0.32333316063370199</v>
      </c>
      <c r="L9" s="5">
        <v>0</v>
      </c>
      <c r="M9" s="3">
        <v>55</v>
      </c>
      <c r="N9" s="5">
        <v>2.8990204138898301E-2</v>
      </c>
      <c r="O9" s="5">
        <v>5.8690934111220797E-2</v>
      </c>
      <c r="P9" s="5">
        <v>0</v>
      </c>
      <c r="Q9" s="5">
        <v>8.7681138250119001E-2</v>
      </c>
      <c r="R9" s="41"/>
      <c r="S9" s="5"/>
      <c r="T9" s="5"/>
      <c r="U9" s="5"/>
      <c r="V9" s="41"/>
      <c r="W9" s="5"/>
      <c r="X9" s="5"/>
      <c r="Y9" s="5"/>
      <c r="Z9" s="41"/>
      <c r="AA9" s="5"/>
      <c r="AB9" s="5"/>
      <c r="AC9" s="5"/>
      <c r="AD9" s="43" t="e">
        <f t="shared" si="0"/>
        <v>#DIV/0!</v>
      </c>
      <c r="AE9" s="96">
        <v>8</v>
      </c>
      <c r="AF9" s="5">
        <v>1.9165683621062198E-2</v>
      </c>
      <c r="AG9" s="5">
        <v>3.953788745907795E-2</v>
      </c>
      <c r="AH9" s="5">
        <v>0</v>
      </c>
      <c r="AI9" s="10">
        <v>20</v>
      </c>
      <c r="AJ9" s="16">
        <v>6.6210564934148803E-3</v>
      </c>
      <c r="AK9" s="16">
        <v>3.0665056979307818E-2</v>
      </c>
      <c r="AL9" s="16">
        <v>0</v>
      </c>
      <c r="AM9" s="185">
        <f t="shared" si="1"/>
        <v>1.0205235672742686E-2</v>
      </c>
      <c r="AN9" s="185" t="e">
        <v>#VALUE!</v>
      </c>
      <c r="AO9" s="400">
        <f>IFERROR(VLOOKUP($B9,'2019测试'!$B:$Q,2,0),0)</f>
        <v>73</v>
      </c>
      <c r="AP9" s="217">
        <f>IFERROR(VLOOKUP($B9,'2019测试'!$B:$Q,3,0),0)</f>
        <v>2.9452054794520551E-3</v>
      </c>
      <c r="AQ9" s="401">
        <f>IFERROR(VLOOKUP($B9,'2019测试'!$B:$Q,4,0),0)</f>
        <v>9.5017473721942334E-3</v>
      </c>
      <c r="AR9" s="401">
        <f>IFERROR(VLOOKUP($B9,'2019测试'!$B:$Q,5,0),0)</f>
        <v>1.2446952851646289E-2</v>
      </c>
      <c r="AS9" s="401">
        <f>IFERROR(VLOOKUP($B9,'2019测试'!$B:$Q,6,0),0)</f>
        <v>0</v>
      </c>
      <c r="AT9" s="23">
        <f t="shared" ref="AT9" si="6">IFERROR(IF(AP9*1.1&gt;100%,100%,AP9*1.1),"")</f>
        <v>3.2397260273972607E-3</v>
      </c>
      <c r="AU9" s="23">
        <f t="shared" si="3"/>
        <v>1.3691648136810919E-2</v>
      </c>
      <c r="AV9" s="23">
        <f t="shared" si="4"/>
        <v>0</v>
      </c>
      <c r="AW9" s="179"/>
      <c r="AX9" s="178" t="str">
        <f t="shared" ref="AX9:AX14" si="7">IF(AP9&lt;=AM9,"Good","Bad")</f>
        <v>Good</v>
      </c>
    </row>
    <row r="10" spans="1:50" s="36" customFormat="1" ht="16.5">
      <c r="A10" s="348"/>
      <c r="B10" s="2" t="s">
        <v>156</v>
      </c>
      <c r="C10" s="14"/>
      <c r="D10" s="5"/>
      <c r="E10" s="5"/>
      <c r="F10" s="5"/>
      <c r="G10" s="5"/>
      <c r="H10" s="10"/>
      <c r="I10" s="5"/>
      <c r="J10" s="5"/>
      <c r="K10" s="5"/>
      <c r="L10" s="5"/>
      <c r="M10" s="10"/>
      <c r="N10" s="5"/>
      <c r="O10" s="5"/>
      <c r="P10" s="5"/>
      <c r="Q10" s="5"/>
      <c r="R10" s="41">
        <v>23</v>
      </c>
      <c r="S10" s="5">
        <v>5.3306990757588803E-2</v>
      </c>
      <c r="T10" s="5">
        <v>0.121195420098945</v>
      </c>
      <c r="U10" s="5">
        <v>0</v>
      </c>
      <c r="V10" s="41"/>
      <c r="W10" s="5"/>
      <c r="X10" s="5"/>
      <c r="Y10" s="5"/>
      <c r="Z10" s="41"/>
      <c r="AA10" s="5"/>
      <c r="AB10" s="5"/>
      <c r="AC10" s="5"/>
      <c r="AD10" s="227">
        <f t="shared" si="0"/>
        <v>5.3306990757588803E-2</v>
      </c>
      <c r="AE10" s="97">
        <v>38</v>
      </c>
      <c r="AF10" s="74">
        <v>0.17612014058935935</v>
      </c>
      <c r="AG10" s="74">
        <v>0.55184744716620904</v>
      </c>
      <c r="AH10" s="74">
        <v>0</v>
      </c>
      <c r="AI10" s="74"/>
      <c r="AJ10" s="74"/>
      <c r="AK10" s="74"/>
      <c r="AL10" s="74"/>
      <c r="AM10" s="228">
        <f t="shared" si="1"/>
        <v>0.17612014058935935</v>
      </c>
      <c r="AN10" s="228">
        <v>6.2738900601232897E-2</v>
      </c>
      <c r="AO10" s="400">
        <f>IFERROR(VLOOKUP($B10,'2019测试'!$B:$Q,2,0),0)</f>
        <v>0</v>
      </c>
      <c r="AP10" s="217">
        <f>IFERROR(VLOOKUP($B10,'2019测试'!$B:$Q,3,0),0)</f>
        <v>0</v>
      </c>
      <c r="AQ10" s="401">
        <f>IFERROR(VLOOKUP($B10,'2019测试'!$B:$Q,4,0),0)</f>
        <v>0</v>
      </c>
      <c r="AR10" s="401">
        <f>IFERROR(VLOOKUP($B10,'2019测试'!$B:$Q,5,0),0)</f>
        <v>0</v>
      </c>
      <c r="AS10" s="401">
        <f>IFERROR(VLOOKUP($B10,'2019测试'!$B:$Q,6,0),0)</f>
        <v>0</v>
      </c>
      <c r="AT10" s="132">
        <f t="shared" si="2"/>
        <v>0</v>
      </c>
      <c r="AU10" s="132">
        <f t="shared" si="3"/>
        <v>0</v>
      </c>
      <c r="AV10" s="132">
        <f t="shared" si="4"/>
        <v>0</v>
      </c>
      <c r="AW10" s="178" t="s">
        <v>417</v>
      </c>
      <c r="AX10" s="178" t="str">
        <f t="shared" si="7"/>
        <v>Good</v>
      </c>
    </row>
    <row r="11" spans="1:50" s="36" customFormat="1" ht="16.5">
      <c r="A11" s="348"/>
      <c r="B11" s="21" t="s">
        <v>386</v>
      </c>
      <c r="C11" s="3"/>
      <c r="D11" s="5"/>
      <c r="E11" s="5"/>
      <c r="F11" s="5"/>
      <c r="G11" s="5"/>
      <c r="H11" s="3"/>
      <c r="I11" s="5"/>
      <c r="J11" s="5"/>
      <c r="K11" s="5"/>
      <c r="L11" s="5"/>
      <c r="M11" s="3"/>
      <c r="N11" s="5"/>
      <c r="O11" s="5"/>
      <c r="P11" s="5"/>
      <c r="Q11" s="5"/>
      <c r="R11" s="41"/>
      <c r="S11" s="5"/>
      <c r="T11" s="5"/>
      <c r="U11" s="5"/>
      <c r="V11" s="41"/>
      <c r="W11" s="5"/>
      <c r="X11" s="5"/>
      <c r="Y11" s="5"/>
      <c r="Z11" s="41"/>
      <c r="AA11" s="5"/>
      <c r="AB11" s="5"/>
      <c r="AC11" s="5"/>
      <c r="AD11" s="43" t="e">
        <f t="shared" si="0"/>
        <v>#DIV/0!</v>
      </c>
      <c r="AE11" s="96">
        <v>38</v>
      </c>
      <c r="AF11" s="99">
        <v>69.716507865318178</v>
      </c>
      <c r="AG11" s="99">
        <v>174.71606681542912</v>
      </c>
      <c r="AH11" s="99">
        <v>0</v>
      </c>
      <c r="AI11" s="10">
        <v>24</v>
      </c>
      <c r="AJ11" s="99">
        <v>29.889745062921556</v>
      </c>
      <c r="AK11" s="99">
        <v>46.882688924167525</v>
      </c>
      <c r="AL11" s="99">
        <v>12.89680120167559</v>
      </c>
      <c r="AM11" s="184">
        <f t="shared" si="1"/>
        <v>54.299696457938843</v>
      </c>
      <c r="AN11" s="184" t="e">
        <v>#VALUE!</v>
      </c>
      <c r="AO11" s="400">
        <f>IFERROR(VLOOKUP($B11,'2019测试'!$B:$Q,2,0),0)</f>
        <v>15</v>
      </c>
      <c r="AP11" s="217">
        <f>IFERROR(VLOOKUP($B11,'2019测试'!$B:$Q,3,0),0)</f>
        <v>18.326898970112104</v>
      </c>
      <c r="AQ11" s="401">
        <f>IFERROR(VLOOKUP($B11,'2019测试'!$B:$Q,4,0),0)</f>
        <v>3.0252308744964638</v>
      </c>
      <c r="AR11" s="401">
        <f>IFERROR(VLOOKUP($B11,'2019测试'!$B:$Q,5,0),0)</f>
        <v>21.352129844608569</v>
      </c>
      <c r="AS11" s="401">
        <f>IFERROR(VLOOKUP($B11,'2019测试'!$B:$Q,6,0),0)</f>
        <v>15.301668095615641</v>
      </c>
      <c r="AT11" s="4">
        <f t="shared" si="2"/>
        <v>20.159588867123315</v>
      </c>
      <c r="AU11" s="132">
        <f t="shared" si="3"/>
        <v>23.48734282906943</v>
      </c>
      <c r="AV11" s="4">
        <f t="shared" si="4"/>
        <v>16.831834905177207</v>
      </c>
      <c r="AW11" s="178"/>
      <c r="AX11" s="178" t="str">
        <f t="shared" ref="AX11:AX16" si="8">IF(AP11&gt;=AM11,"Up","Down")</f>
        <v>Down</v>
      </c>
    </row>
    <row r="12" spans="1:50" s="36" customFormat="1" ht="16.5">
      <c r="A12" s="348"/>
      <c r="B12" s="2" t="s">
        <v>157</v>
      </c>
      <c r="C12" s="3"/>
      <c r="D12" s="5"/>
      <c r="E12" s="5"/>
      <c r="F12" s="5"/>
      <c r="G12" s="5"/>
      <c r="H12" s="3"/>
      <c r="I12" s="5"/>
      <c r="J12" s="5"/>
      <c r="K12" s="5"/>
      <c r="L12" s="5"/>
      <c r="M12" s="3">
        <v>50</v>
      </c>
      <c r="N12" s="5">
        <v>0.198618723106642</v>
      </c>
      <c r="O12" s="5">
        <v>0.27517002560786802</v>
      </c>
      <c r="P12" s="5">
        <v>0.47378874871450999</v>
      </c>
      <c r="Q12" s="5">
        <v>0</v>
      </c>
      <c r="R12" s="41">
        <v>28</v>
      </c>
      <c r="S12" s="34">
        <v>0.44165054237435197</v>
      </c>
      <c r="T12" s="34">
        <v>0.79605234742688402</v>
      </c>
      <c r="U12" s="34">
        <v>8.7248737321820397E-2</v>
      </c>
      <c r="V12" s="41"/>
      <c r="W12" s="34"/>
      <c r="X12" s="34"/>
      <c r="Y12" s="34"/>
      <c r="Z12" s="41">
        <v>62</v>
      </c>
      <c r="AA12" s="34">
        <v>0.26412312107637798</v>
      </c>
      <c r="AB12" s="34">
        <v>0.58505052497177501</v>
      </c>
      <c r="AC12" s="34">
        <v>0</v>
      </c>
      <c r="AD12" s="189">
        <f t="shared" si="0"/>
        <v>0.31935387436908097</v>
      </c>
      <c r="AE12" s="33">
        <v>100</v>
      </c>
      <c r="AF12" s="34">
        <v>0.28377012411977887</v>
      </c>
      <c r="AG12" s="34">
        <v>0.59962806585438588</v>
      </c>
      <c r="AH12" s="34">
        <v>0</v>
      </c>
      <c r="AI12" s="104">
        <v>36</v>
      </c>
      <c r="AJ12" s="105">
        <v>0.3768608578260999</v>
      </c>
      <c r="AK12" s="105">
        <v>0.65229979140166239</v>
      </c>
      <c r="AL12" s="105">
        <v>0.10142192425053737</v>
      </c>
      <c r="AM12" s="185">
        <f t="shared" si="1"/>
        <v>0.3084117889243933</v>
      </c>
      <c r="AN12" s="185">
        <v>0.55770813611641945</v>
      </c>
      <c r="AO12" s="400">
        <f>IFERROR(VLOOKUP($B12,'2019测试'!$B:$Q,2,0),0)</f>
        <v>51</v>
      </c>
      <c r="AP12" s="217">
        <f>IFERROR(VLOOKUP($B12,'2019测试'!$B:$Q,3,0),0)</f>
        <v>0.68250601079902995</v>
      </c>
      <c r="AQ12" s="401">
        <f>IFERROR(VLOOKUP($B12,'2019测试'!$B:$Q,4,0),0)</f>
        <v>0.26087294419754209</v>
      </c>
      <c r="AR12" s="401">
        <f>IFERROR(VLOOKUP($B12,'2019测试'!$B:$Q,5,0),0)</f>
        <v>0.94337895499657209</v>
      </c>
      <c r="AS12" s="401">
        <f>IFERROR(VLOOKUP($B12,'2019测试'!$B:$Q,6,0),0)</f>
        <v>0.42163306660148786</v>
      </c>
      <c r="AT12" s="23">
        <f t="shared" ref="AT12:AT15" si="9">IFERROR(IF(AP12*1.1&gt;100%,100%,AP12*1.1),"")</f>
        <v>0.75075661187893306</v>
      </c>
      <c r="AU12" s="23">
        <v>1</v>
      </c>
      <c r="AV12" s="23">
        <f t="shared" si="4"/>
        <v>0.4637963732616367</v>
      </c>
      <c r="AW12" s="178" t="s">
        <v>417</v>
      </c>
      <c r="AX12" s="178" t="str">
        <f t="shared" si="8"/>
        <v>Up</v>
      </c>
    </row>
    <row r="13" spans="1:50" s="36" customFormat="1" ht="16.5">
      <c r="A13" s="348"/>
      <c r="B13" s="2" t="s">
        <v>158</v>
      </c>
      <c r="C13" s="14"/>
      <c r="D13" s="5"/>
      <c r="E13" s="5"/>
      <c r="F13" s="5"/>
      <c r="G13" s="5"/>
      <c r="H13" s="10"/>
      <c r="I13" s="5"/>
      <c r="J13" s="5"/>
      <c r="K13" s="5"/>
      <c r="L13" s="5"/>
      <c r="M13" s="10"/>
      <c r="N13" s="5"/>
      <c r="O13" s="5"/>
      <c r="P13" s="5"/>
      <c r="Q13" s="5"/>
      <c r="R13" s="41">
        <v>19</v>
      </c>
      <c r="S13" s="22">
        <v>0.86994444444444397</v>
      </c>
      <c r="T13" s="22">
        <v>0.98529768822056596</v>
      </c>
      <c r="U13" s="22">
        <v>0.75459120066832197</v>
      </c>
      <c r="V13" s="41"/>
      <c r="W13" s="22"/>
      <c r="X13" s="22"/>
      <c r="Y13" s="22"/>
      <c r="Z13" s="41"/>
      <c r="AA13" s="22"/>
      <c r="AB13" s="22"/>
      <c r="AC13" s="22"/>
      <c r="AD13" s="189">
        <f t="shared" si="0"/>
        <v>0.86994444444444385</v>
      </c>
      <c r="AE13" s="97">
        <v>20</v>
      </c>
      <c r="AF13" s="75">
        <v>0.36036219659538415</v>
      </c>
      <c r="AG13" s="75">
        <v>0.64334983155294578</v>
      </c>
      <c r="AH13" s="75">
        <v>7.737456163782247E-2</v>
      </c>
      <c r="AI13" s="106">
        <v>20</v>
      </c>
      <c r="AJ13" s="107">
        <v>0.93519918458207552</v>
      </c>
      <c r="AK13" s="107">
        <v>1.2623440573491382</v>
      </c>
      <c r="AL13" s="107">
        <v>0.60805431181501279</v>
      </c>
      <c r="AM13" s="185">
        <f t="shared" si="1"/>
        <v>0.64778069058872989</v>
      </c>
      <c r="AN13" s="185">
        <v>0.89087622471253347</v>
      </c>
      <c r="AO13" s="400">
        <f>IFERROR(VLOOKUP($B13,'2019测试'!$B:$Q,2,0),0)</f>
        <v>86</v>
      </c>
      <c r="AP13" s="217">
        <f>IFERROR(VLOOKUP($B13,'2019测试'!$B:$Q,3,0),0)</f>
        <v>0.98740581395348836</v>
      </c>
      <c r="AQ13" s="401">
        <f>IFERROR(VLOOKUP($B13,'2019测试'!$B:$Q,4,0),0)</f>
        <v>1.7532410328172054E-2</v>
      </c>
      <c r="AR13" s="401">
        <f>IFERROR(VLOOKUP($B13,'2019测试'!$B:$Q,5,0),0)</f>
        <v>1.0400030449380044</v>
      </c>
      <c r="AS13" s="401">
        <f>IFERROR(VLOOKUP($B13,'2019测试'!$B:$Q,6,0),0)</f>
        <v>0.93480858296897218</v>
      </c>
      <c r="AT13" s="23">
        <f t="shared" si="9"/>
        <v>1</v>
      </c>
      <c r="AU13" s="23">
        <v>1</v>
      </c>
      <c r="AV13" s="23">
        <v>1</v>
      </c>
      <c r="AW13" s="178" t="s">
        <v>417</v>
      </c>
      <c r="AX13" s="178" t="str">
        <f t="shared" si="8"/>
        <v>Up</v>
      </c>
    </row>
    <row r="14" spans="1:50" s="36" customFormat="1" ht="16.5">
      <c r="A14" s="348"/>
      <c r="B14" s="21" t="s">
        <v>390</v>
      </c>
      <c r="C14" s="3"/>
      <c r="D14" s="5"/>
      <c r="E14" s="5"/>
      <c r="F14" s="5"/>
      <c r="G14" s="5"/>
      <c r="H14" s="3"/>
      <c r="I14" s="5"/>
      <c r="J14" s="5"/>
      <c r="K14" s="5"/>
      <c r="L14" s="5"/>
      <c r="M14" s="3"/>
      <c r="N14" s="5"/>
      <c r="O14" s="5"/>
      <c r="P14" s="5"/>
      <c r="Q14" s="5"/>
      <c r="R14" s="41"/>
      <c r="S14" s="5"/>
      <c r="T14" s="5"/>
      <c r="U14" s="5"/>
      <c r="V14" s="41"/>
      <c r="W14" s="5"/>
      <c r="X14" s="5"/>
      <c r="Y14" s="5"/>
      <c r="Z14" s="41"/>
      <c r="AA14" s="5"/>
      <c r="AB14" s="5"/>
      <c r="AC14" s="5"/>
      <c r="AD14" s="189" t="e">
        <f t="shared" si="0"/>
        <v>#DIV/0!</v>
      </c>
      <c r="AE14" s="96">
        <v>79</v>
      </c>
      <c r="AF14" s="5">
        <v>2.194649308399391E-3</v>
      </c>
      <c r="AG14" s="5">
        <v>9.4910580222501463E-3</v>
      </c>
      <c r="AH14" s="5">
        <v>0</v>
      </c>
      <c r="AI14" s="10">
        <v>22</v>
      </c>
      <c r="AJ14" s="16">
        <v>0.63346838018624041</v>
      </c>
      <c r="AK14" s="16">
        <v>0.82943644974970931</v>
      </c>
      <c r="AL14" s="16">
        <v>0.43750031062277156</v>
      </c>
      <c r="AM14" s="185">
        <f t="shared" si="1"/>
        <v>0.13969981841050338</v>
      </c>
      <c r="AN14" s="185" t="e">
        <v>#VALUE!</v>
      </c>
      <c r="AO14" s="400">
        <f>IFERROR(VLOOKUP($B14,'2019测试'!$B:$Q,2,0),0)</f>
        <v>12</v>
      </c>
      <c r="AP14" s="217">
        <f>IFERROR(VLOOKUP($B14,'2019测试'!$B:$Q,3,0),0)</f>
        <v>0.4078556283917803</v>
      </c>
      <c r="AQ14" s="401" t="str">
        <f>IFERROR(VLOOKUP($B14,'2019测试'!$B:$Q,4,0),0)</f>
        <v/>
      </c>
      <c r="AR14" s="401"/>
      <c r="AS14" s="401"/>
      <c r="AT14" s="23">
        <f t="shared" si="9"/>
        <v>0.44864119123095836</v>
      </c>
      <c r="AU14" s="23">
        <v>0.82943644974970931</v>
      </c>
      <c r="AV14" s="23">
        <v>0.43750031062277156</v>
      </c>
      <c r="AW14" s="178"/>
      <c r="AX14" s="178" t="str">
        <f t="shared" si="7"/>
        <v>Bad</v>
      </c>
    </row>
    <row r="15" spans="1:50" s="36" customFormat="1" ht="16.5">
      <c r="A15" s="348"/>
      <c r="B15" s="2" t="s">
        <v>387</v>
      </c>
      <c r="C15" s="3">
        <v>47</v>
      </c>
      <c r="D15" s="5">
        <v>0.51454468085106397</v>
      </c>
      <c r="E15" s="5">
        <v>0.443274961683913</v>
      </c>
      <c r="F15" s="5">
        <v>0.95781964253497598</v>
      </c>
      <c r="G15" s="5">
        <v>7.1269719167151094E-2</v>
      </c>
      <c r="H15" s="3">
        <v>48</v>
      </c>
      <c r="I15" s="5">
        <v>0.89129709477235997</v>
      </c>
      <c r="J15" s="5">
        <v>0.194020214356177</v>
      </c>
      <c r="K15" s="5">
        <v>1</v>
      </c>
      <c r="L15" s="5">
        <v>0.69727688041618197</v>
      </c>
      <c r="M15" s="3">
        <v>44</v>
      </c>
      <c r="N15" s="5">
        <v>0.93172320060817704</v>
      </c>
      <c r="O15" s="5">
        <v>0.16928391088879099</v>
      </c>
      <c r="P15" s="5">
        <v>0.76243928971938602</v>
      </c>
      <c r="Q15" s="5">
        <v>1.1010071114969699</v>
      </c>
      <c r="R15" s="41">
        <v>25</v>
      </c>
      <c r="S15" s="34">
        <v>0.95162114142160004</v>
      </c>
      <c r="T15" s="34">
        <v>1</v>
      </c>
      <c r="U15" s="34">
        <v>0.80676644067772496</v>
      </c>
      <c r="V15" s="41">
        <v>55</v>
      </c>
      <c r="W15" s="34">
        <v>0.89145272727272695</v>
      </c>
      <c r="X15" s="90">
        <v>0.63584922656164999</v>
      </c>
      <c r="Y15" s="90">
        <v>1.1470562279837999</v>
      </c>
      <c r="Z15" s="90"/>
      <c r="AA15" s="90"/>
      <c r="AB15" s="90"/>
      <c r="AC15" s="90"/>
      <c r="AD15" s="189">
        <f t="shared" si="0"/>
        <v>0.91025535669424984</v>
      </c>
      <c r="AE15" s="98">
        <v>61</v>
      </c>
      <c r="AF15" s="90">
        <v>0.9671904735405874</v>
      </c>
      <c r="AG15" s="90">
        <v>1</v>
      </c>
      <c r="AH15" s="90">
        <v>0.75008774356382457</v>
      </c>
      <c r="AI15" s="108">
        <v>35</v>
      </c>
      <c r="AJ15" s="109">
        <v>0.74757546315086065</v>
      </c>
      <c r="AK15" s="109">
        <v>0.85211348985167801</v>
      </c>
      <c r="AL15" s="109">
        <v>0.6430374364500433</v>
      </c>
      <c r="AM15" s="185">
        <f t="shared" si="1"/>
        <v>0.88712250100266621</v>
      </c>
      <c r="AN15" s="185">
        <v>0.88166282228538673</v>
      </c>
      <c r="AO15" s="400">
        <f>IFERROR(VLOOKUP($B15,'2019测试'!$B:$Q,2,0),0)</f>
        <v>15</v>
      </c>
      <c r="AP15" s="217">
        <f>IFERROR(VLOOKUP($B15,'2019测试'!$B:$Q,3,0),0)</f>
        <v>0.95878917408824449</v>
      </c>
      <c r="AQ15" s="401" t="str">
        <f>IFERROR(VLOOKUP($B15,'2019测试'!$B:$Q,4,0),0)</f>
        <v/>
      </c>
      <c r="AR15" s="401">
        <v>1.1684114364562439</v>
      </c>
      <c r="AS15" s="401">
        <v>0.7712467725716069</v>
      </c>
      <c r="AT15" s="23">
        <f t="shared" si="9"/>
        <v>1</v>
      </c>
      <c r="AU15" s="23">
        <f t="shared" si="3"/>
        <v>1.2852525801018684</v>
      </c>
      <c r="AV15" s="23">
        <f t="shared" si="4"/>
        <v>0.84837144982876767</v>
      </c>
      <c r="AW15" s="178" t="s">
        <v>417</v>
      </c>
      <c r="AX15" s="178" t="str">
        <f t="shared" si="8"/>
        <v>Up</v>
      </c>
    </row>
    <row r="16" spans="1:50" s="36" customFormat="1" ht="16.5">
      <c r="A16" s="348"/>
      <c r="B16" s="21" t="s">
        <v>388</v>
      </c>
      <c r="C16" s="3">
        <v>39</v>
      </c>
      <c r="D16" s="12">
        <v>1.8974358974359</v>
      </c>
      <c r="E16" s="12">
        <v>0.78789766216551504</v>
      </c>
      <c r="F16" s="12">
        <v>2.6853335596014101</v>
      </c>
      <c r="G16" s="12">
        <v>1.10953823527038</v>
      </c>
      <c r="H16" s="3">
        <v>71</v>
      </c>
      <c r="I16" s="12">
        <v>1.8167605633802799</v>
      </c>
      <c r="J16" s="12">
        <v>0.79853575758185102</v>
      </c>
      <c r="K16" s="12">
        <v>2.61529632096213</v>
      </c>
      <c r="L16" s="12">
        <v>1.01822480579843</v>
      </c>
      <c r="M16" s="3">
        <v>57</v>
      </c>
      <c r="N16" s="12">
        <v>1.6315789473684199</v>
      </c>
      <c r="O16" s="12">
        <v>0.89903875149613499</v>
      </c>
      <c r="P16" s="12">
        <v>0.73254019587228603</v>
      </c>
      <c r="Q16" s="12">
        <v>2.5306176988645599</v>
      </c>
      <c r="R16" s="41"/>
      <c r="S16" s="12"/>
      <c r="T16" s="12"/>
      <c r="U16" s="12"/>
      <c r="V16" s="41">
        <v>60</v>
      </c>
      <c r="W16" s="12">
        <v>1.81666666666667</v>
      </c>
      <c r="X16" s="12">
        <v>0.45755845123901501</v>
      </c>
      <c r="Y16" s="12">
        <v>3.1757748820943199</v>
      </c>
      <c r="Z16" s="41"/>
      <c r="AA16" s="12"/>
      <c r="AB16" s="12"/>
      <c r="AC16" s="12"/>
      <c r="AD16" s="43">
        <f t="shared" si="0"/>
        <v>1.81666666666667</v>
      </c>
      <c r="AE16" s="96">
        <v>66</v>
      </c>
      <c r="AF16" s="12">
        <v>0.93549914003232004</v>
      </c>
      <c r="AG16" s="12">
        <v>1</v>
      </c>
      <c r="AH16" s="12">
        <v>0.7843143416743158</v>
      </c>
      <c r="AI16" s="10">
        <v>31</v>
      </c>
      <c r="AJ16" s="99">
        <v>2.5483870967741935</v>
      </c>
      <c r="AK16" s="99">
        <v>3.6692841734098036</v>
      </c>
      <c r="AL16" s="99">
        <v>1.4274900201385834</v>
      </c>
      <c r="AM16" s="184">
        <f t="shared" si="1"/>
        <v>1.4509581777539498</v>
      </c>
      <c r="AN16" s="184" t="e">
        <v>#VALUE!</v>
      </c>
      <c r="AO16" s="400">
        <f>IFERROR(VLOOKUP($B16,'2019测试'!$B:$Q,2,0),0)</f>
        <v>16</v>
      </c>
      <c r="AP16" s="217">
        <f>IFERROR(VLOOKUP($B16,'2019测试'!$B:$Q,3,0),0)</f>
        <v>3.75</v>
      </c>
      <c r="AQ16" s="401">
        <f>IFERROR(VLOOKUP($B16,'2019测试'!$B:$Q,4,0),0)</f>
        <v>0.65271395186450298</v>
      </c>
      <c r="AR16" s="401">
        <f>IFERROR(VLOOKUP($B16,'2019测试'!$B:$Q,5,0),0)</f>
        <v>4.4027139518645031</v>
      </c>
      <c r="AS16" s="401">
        <f>IFERROR(VLOOKUP($B16,'2019测试'!$B:$Q,6,0),0)</f>
        <v>3.0972860481354969</v>
      </c>
      <c r="AT16" s="4">
        <f t="shared" si="2"/>
        <v>4.125</v>
      </c>
      <c r="AU16" s="132">
        <f t="shared" si="3"/>
        <v>4.8429853470509538</v>
      </c>
      <c r="AV16" s="4">
        <f t="shared" si="4"/>
        <v>3.407014652949047</v>
      </c>
      <c r="AW16" s="178"/>
      <c r="AX16" s="178" t="str">
        <f t="shared" si="8"/>
        <v>Up</v>
      </c>
    </row>
    <row r="17" spans="1:50" s="36" customFormat="1" ht="16.5">
      <c r="A17" s="349"/>
      <c r="B17" s="2" t="s">
        <v>389</v>
      </c>
      <c r="C17" s="3">
        <v>59</v>
      </c>
      <c r="D17" s="5">
        <v>8.4745762711864406E-6</v>
      </c>
      <c r="E17" s="5">
        <v>6.5094455490411905E-5</v>
      </c>
      <c r="F17" s="5">
        <v>7.3569031761598397E-5</v>
      </c>
      <c r="G17" s="5">
        <v>0</v>
      </c>
      <c r="H17" s="3">
        <v>84</v>
      </c>
      <c r="I17" s="5">
        <v>3.4154751677303199E-3</v>
      </c>
      <c r="J17" s="5">
        <v>1.8276277206389999E-2</v>
      </c>
      <c r="K17" s="5">
        <v>2.1691752374120299E-2</v>
      </c>
      <c r="L17" s="5">
        <v>0</v>
      </c>
      <c r="M17" s="3">
        <v>57</v>
      </c>
      <c r="N17" s="5">
        <v>2.0905054902054299E-3</v>
      </c>
      <c r="O17" s="5">
        <v>9.0784738587204993E-3</v>
      </c>
      <c r="P17" s="5">
        <v>0</v>
      </c>
      <c r="Q17" s="5">
        <v>1.1168979348925899E-2</v>
      </c>
      <c r="R17" s="41">
        <v>27</v>
      </c>
      <c r="S17" s="23">
        <v>1.8370640831429998E-2</v>
      </c>
      <c r="T17" s="23">
        <v>6.0598346291764402E-2</v>
      </c>
      <c r="U17" s="23">
        <v>0</v>
      </c>
      <c r="V17" s="41">
        <v>60</v>
      </c>
      <c r="W17" s="23">
        <v>5.8833333333333296E-4</v>
      </c>
      <c r="X17" s="23">
        <v>0</v>
      </c>
      <c r="Y17" s="23">
        <v>4.5098555069531697E-3</v>
      </c>
      <c r="Z17" s="41"/>
      <c r="AA17" s="23"/>
      <c r="AB17" s="23"/>
      <c r="AC17" s="23"/>
      <c r="AD17" s="43">
        <f t="shared" si="0"/>
        <v>6.1069804879150561E-3</v>
      </c>
      <c r="AE17" s="15">
        <v>33</v>
      </c>
      <c r="AF17" s="23">
        <v>4.0366310323837898E-3</v>
      </c>
      <c r="AG17" s="23">
        <v>6.8816359826572504E-3</v>
      </c>
      <c r="AH17" s="23">
        <v>1.1916260821103299E-3</v>
      </c>
      <c r="AI17" s="3">
        <v>37</v>
      </c>
      <c r="AJ17" s="110">
        <v>8.8449261499192987E-3</v>
      </c>
      <c r="AK17" s="110">
        <v>6.7878745358312509E-2</v>
      </c>
      <c r="AL17" s="110">
        <v>0</v>
      </c>
      <c r="AM17" s="185">
        <f t="shared" si="1"/>
        <v>6.5781584516525589E-3</v>
      </c>
      <c r="AN17" s="185">
        <v>1.7483509504226354E-3</v>
      </c>
      <c r="AO17" s="400">
        <f>IFERROR(VLOOKUP($B17,'2019测试'!$B:$Q,2,0),0)</f>
        <v>51</v>
      </c>
      <c r="AP17" s="217">
        <f>IFERROR(VLOOKUP($B17,'2019测试'!$B:$Q,3,0),0)</f>
        <v>2.593456445544482E-3</v>
      </c>
      <c r="AQ17" s="401">
        <f>IFERROR(VLOOKUP($B17,'2019测试'!$B:$Q,4,0),0)</f>
        <v>6.3636643021083763E-3</v>
      </c>
      <c r="AR17" s="401">
        <f>IFERROR(VLOOKUP($B17,'2019测试'!$B:$Q,5,0),0)</f>
        <v>8.9571207476528587E-3</v>
      </c>
      <c r="AS17" s="401">
        <f>IFERROR(VLOOKUP($B17,'2019测试'!$B:$Q,6,0),0)</f>
        <v>0</v>
      </c>
      <c r="AT17" s="23">
        <f t="shared" ref="AT17" si="10">IFERROR(IF(AP17*1.1&gt;100%,100%,AP17*1.1),"")</f>
        <v>2.8528020900989303E-3</v>
      </c>
      <c r="AU17" s="23">
        <f t="shared" si="3"/>
        <v>9.8528328224181446E-3</v>
      </c>
      <c r="AV17" s="23">
        <f t="shared" si="4"/>
        <v>0</v>
      </c>
      <c r="AW17" s="178" t="s">
        <v>417</v>
      </c>
      <c r="AX17" s="178" t="str">
        <f>IF(AP17&lt;=AM17,"Good","Bad")</f>
        <v>Good</v>
      </c>
    </row>
    <row r="18" spans="1:50" s="37" customFormat="1" ht="17.25">
      <c r="A18" s="42"/>
      <c r="B18" s="21" t="s">
        <v>129</v>
      </c>
      <c r="C18" s="3"/>
      <c r="D18" s="12"/>
      <c r="E18" s="12"/>
      <c r="F18" s="12"/>
      <c r="G18" s="12"/>
      <c r="H18" s="3"/>
      <c r="I18" s="12"/>
      <c r="J18" s="12"/>
      <c r="K18" s="12"/>
      <c r="L18" s="12"/>
      <c r="M18" s="3"/>
      <c r="N18" s="12"/>
      <c r="O18" s="12"/>
      <c r="P18" s="12"/>
      <c r="Q18" s="12"/>
      <c r="R18" s="12"/>
      <c r="S18" s="12"/>
      <c r="T18" s="12"/>
      <c r="U18" s="12"/>
      <c r="V18" s="12">
        <v>56</v>
      </c>
      <c r="W18" s="12">
        <v>0.23214285714285701</v>
      </c>
      <c r="X18" s="12">
        <v>0</v>
      </c>
      <c r="Y18" s="12">
        <v>1.4530377811983299</v>
      </c>
      <c r="Z18" s="12"/>
      <c r="AA18" s="12"/>
      <c r="AB18" s="12"/>
      <c r="AC18" s="12"/>
      <c r="AD18" s="43">
        <f t="shared" si="0"/>
        <v>0.23214285714285701</v>
      </c>
      <c r="AE18" s="96"/>
      <c r="AF18" s="12"/>
      <c r="AG18" s="12"/>
      <c r="AH18" s="12"/>
      <c r="AI18" s="12"/>
      <c r="AJ18" s="12"/>
      <c r="AK18" s="12"/>
      <c r="AL18" s="12"/>
      <c r="AM18" s="184" t="e">
        <f t="shared" si="1"/>
        <v>#DIV/0!</v>
      </c>
      <c r="AN18" s="184"/>
      <c r="AO18" s="400">
        <f>IFERROR(VLOOKUP($B18,'2019测试'!$B:$Q,2,0),0)</f>
        <v>0</v>
      </c>
      <c r="AP18" s="217">
        <f>IFERROR(VLOOKUP($B18,'2019测试'!$B:$Q,3,0),0)</f>
        <v>0</v>
      </c>
      <c r="AQ18" s="401">
        <f>IFERROR(VLOOKUP($B18,'2019测试'!$B:$Q,4,0),0)</f>
        <v>0</v>
      </c>
      <c r="AR18" s="401">
        <f>IFERROR(VLOOKUP($B18,'2019测试'!$B:$Q,5,0),0)</f>
        <v>0</v>
      </c>
      <c r="AS18" s="401">
        <f>IFERROR(VLOOKUP($B18,'2019测试'!$B:$Q,6,0),0)</f>
        <v>0</v>
      </c>
      <c r="AT18" s="4">
        <f t="shared" si="2"/>
        <v>0</v>
      </c>
      <c r="AU18" s="132">
        <f t="shared" si="3"/>
        <v>0</v>
      </c>
      <c r="AV18" s="4">
        <f t="shared" si="4"/>
        <v>0</v>
      </c>
      <c r="AW18" s="178"/>
      <c r="AX18" s="178" t="e">
        <f>IF(AP18&lt;=AM18,"Good","Bad")</f>
        <v>#DIV/0!</v>
      </c>
    </row>
  </sheetData>
  <autoFilter ref="AW1:AW18"/>
  <mergeCells count="13">
    <mergeCell ref="AE1:AH1"/>
    <mergeCell ref="AI1:AL1"/>
    <mergeCell ref="Z1:AC1"/>
    <mergeCell ref="A3:A8"/>
    <mergeCell ref="A9:A17"/>
    <mergeCell ref="A1:B2"/>
    <mergeCell ref="C1:G1"/>
    <mergeCell ref="H1:L1"/>
    <mergeCell ref="M1:Q1"/>
    <mergeCell ref="R1:U1"/>
    <mergeCell ref="V1:Y1"/>
    <mergeCell ref="AO1:AS1"/>
    <mergeCell ref="AT1:AV1"/>
  </mergeCells>
  <phoneticPr fontId="26" type="noConversion"/>
  <conditionalFormatting sqref="AO4:AO18">
    <cfRule type="cellIs" dxfId="19" priority="1" operator="equal">
      <formula>0</formula>
    </cfRule>
  </conditionalFormatting>
  <pageMargins left="0.74791666666666701" right="0.74791666666666701" top="0.98402777777777795" bottom="0.98402777777777795" header="0.51180555555555596" footer="0.51180555555555596"/>
  <pageSetup paperSize="9" orientation="portrait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L17"/>
  <sheetViews>
    <sheetView workbookViewId="0">
      <pane xSplit="2" ySplit="2" topLeftCell="BA3" activePane="bottomRight" state="frozen"/>
      <selection activeCell="AD1" sqref="AD1:AG1"/>
      <selection pane="topRight" activeCell="AD1" sqref="AD1:AG1"/>
      <selection pane="bottomLeft" activeCell="AD1" sqref="AD1:AG1"/>
      <selection pane="bottomRight" activeCell="BH17" sqref="BH17"/>
    </sheetView>
  </sheetViews>
  <sheetFormatPr defaultColWidth="9" defaultRowHeight="14.25"/>
  <cols>
    <col min="1" max="1" width="5.875" style="26" customWidth="1"/>
    <col min="2" max="2" width="31.75" style="26" customWidth="1"/>
    <col min="3" max="12" width="7" style="26" hidden="1" customWidth="1"/>
    <col min="13" max="46" width="7.125" style="26" hidden="1" customWidth="1"/>
    <col min="47" max="47" width="10.875" style="26" hidden="1" customWidth="1"/>
    <col min="48" max="48" width="7.125" style="26" hidden="1" customWidth="1"/>
    <col min="49" max="49" width="10.25" style="26" hidden="1" customWidth="1"/>
    <col min="50" max="50" width="10.125" style="26" hidden="1" customWidth="1"/>
    <col min="51" max="51" width="9.25" style="26" hidden="1" customWidth="1"/>
    <col min="52" max="52" width="10.75" style="26" hidden="1" customWidth="1"/>
    <col min="53" max="54" width="8.375" style="26" customWidth="1"/>
    <col min="55" max="55" width="8.25" style="26" customWidth="1"/>
    <col min="56" max="56" width="9" style="26"/>
    <col min="57" max="57" width="5.875" style="26" customWidth="1"/>
    <col min="58" max="59" width="9" style="26" customWidth="1"/>
    <col min="60" max="64" width="8.125" customWidth="1"/>
    <col min="65" max="16384" width="9" style="26"/>
  </cols>
  <sheetData>
    <row r="1" spans="1:64" s="24" customFormat="1" ht="28.5" customHeight="1">
      <c r="A1" s="146" t="s">
        <v>404</v>
      </c>
      <c r="B1" s="332" t="s">
        <v>404</v>
      </c>
      <c r="C1" s="357" t="s">
        <v>97</v>
      </c>
      <c r="D1" s="357"/>
      <c r="E1" s="357"/>
      <c r="F1" s="357"/>
      <c r="G1" s="357"/>
      <c r="H1" s="357" t="s">
        <v>98</v>
      </c>
      <c r="I1" s="357"/>
      <c r="J1" s="357"/>
      <c r="K1" s="357"/>
      <c r="L1" s="357"/>
      <c r="M1" s="357" t="s">
        <v>28</v>
      </c>
      <c r="N1" s="357"/>
      <c r="O1" s="357"/>
      <c r="P1" s="357"/>
      <c r="Q1" s="357"/>
      <c r="R1" s="357" t="s">
        <v>99</v>
      </c>
      <c r="S1" s="357"/>
      <c r="T1" s="357"/>
      <c r="U1" s="357"/>
      <c r="V1" s="357"/>
      <c r="W1" s="357" t="s">
        <v>100</v>
      </c>
      <c r="X1" s="357"/>
      <c r="Y1" s="357"/>
      <c r="Z1" s="357"/>
      <c r="AA1" s="357"/>
      <c r="AB1" s="353" t="s">
        <v>101</v>
      </c>
      <c r="AC1" s="353"/>
      <c r="AD1" s="353"/>
      <c r="AE1" s="353"/>
      <c r="AF1" s="353" t="s">
        <v>102</v>
      </c>
      <c r="AG1" s="353"/>
      <c r="AH1" s="353"/>
      <c r="AI1" s="353"/>
      <c r="AJ1" s="353" t="s">
        <v>103</v>
      </c>
      <c r="AK1" s="353"/>
      <c r="AL1" s="353"/>
      <c r="AM1" s="353"/>
      <c r="AN1" s="353" t="s">
        <v>104</v>
      </c>
      <c r="AO1" s="353"/>
      <c r="AP1" s="353"/>
      <c r="AQ1" s="353"/>
      <c r="AR1" s="170" t="s">
        <v>429</v>
      </c>
      <c r="AS1" s="353" t="s">
        <v>186</v>
      </c>
      <c r="AT1" s="353"/>
      <c r="AU1" s="353"/>
      <c r="AV1" s="353"/>
      <c r="AW1" s="353" t="s">
        <v>250</v>
      </c>
      <c r="AX1" s="353"/>
      <c r="AY1" s="353"/>
      <c r="AZ1" s="353"/>
      <c r="BA1" s="170" t="s">
        <v>422</v>
      </c>
      <c r="BB1" s="319" t="s">
        <v>571</v>
      </c>
      <c r="BC1" s="330" t="s">
        <v>572</v>
      </c>
      <c r="BD1" s="330"/>
      <c r="BE1" s="330"/>
      <c r="BF1" s="330"/>
      <c r="BG1" s="330"/>
      <c r="BH1" s="330" t="s">
        <v>570</v>
      </c>
      <c r="BI1" s="351"/>
      <c r="BJ1" s="351"/>
      <c r="BK1" s="177" t="s">
        <v>414</v>
      </c>
      <c r="BL1" s="177" t="s">
        <v>418</v>
      </c>
    </row>
    <row r="2" spans="1:64" s="25" customFormat="1">
      <c r="A2" s="146"/>
      <c r="B2" s="352"/>
      <c r="C2" s="146" t="s">
        <v>0</v>
      </c>
      <c r="D2" s="146" t="s">
        <v>105</v>
      </c>
      <c r="E2" s="146" t="s">
        <v>29</v>
      </c>
      <c r="F2" s="146" t="s">
        <v>2</v>
      </c>
      <c r="G2" s="146" t="s">
        <v>3</v>
      </c>
      <c r="H2" s="146" t="s">
        <v>0</v>
      </c>
      <c r="I2" s="146" t="s">
        <v>105</v>
      </c>
      <c r="J2" s="146" t="s">
        <v>29</v>
      </c>
      <c r="K2" s="146" t="s">
        <v>2</v>
      </c>
      <c r="L2" s="146" t="s">
        <v>3</v>
      </c>
      <c r="M2" s="146" t="s">
        <v>0</v>
      </c>
      <c r="N2" s="146" t="s">
        <v>105</v>
      </c>
      <c r="O2" s="146" t="s">
        <v>29</v>
      </c>
      <c r="P2" s="146" t="s">
        <v>2</v>
      </c>
      <c r="Q2" s="146" t="s">
        <v>3</v>
      </c>
      <c r="R2" s="146" t="s">
        <v>0</v>
      </c>
      <c r="S2" s="146" t="s">
        <v>105</v>
      </c>
      <c r="T2" s="146" t="s">
        <v>29</v>
      </c>
      <c r="U2" s="146" t="s">
        <v>2</v>
      </c>
      <c r="V2" s="146" t="s">
        <v>3</v>
      </c>
      <c r="W2" s="146" t="s">
        <v>0</v>
      </c>
      <c r="X2" s="146" t="s">
        <v>105</v>
      </c>
      <c r="Y2" s="146" t="s">
        <v>29</v>
      </c>
      <c r="Z2" s="146" t="s">
        <v>2</v>
      </c>
      <c r="AA2" s="146" t="s">
        <v>3</v>
      </c>
      <c r="AB2" s="146" t="s">
        <v>0</v>
      </c>
      <c r="AC2" s="146" t="s">
        <v>1</v>
      </c>
      <c r="AD2" s="146" t="s">
        <v>2</v>
      </c>
      <c r="AE2" s="146" t="s">
        <v>3</v>
      </c>
      <c r="AF2" s="146" t="s">
        <v>0</v>
      </c>
      <c r="AG2" s="146" t="s">
        <v>1</v>
      </c>
      <c r="AH2" s="146" t="s">
        <v>2</v>
      </c>
      <c r="AI2" s="146" t="s">
        <v>3</v>
      </c>
      <c r="AJ2" s="146" t="s">
        <v>0</v>
      </c>
      <c r="AK2" s="146" t="s">
        <v>1</v>
      </c>
      <c r="AL2" s="146" t="s">
        <v>2</v>
      </c>
      <c r="AM2" s="146" t="s">
        <v>3</v>
      </c>
      <c r="AN2" s="146" t="s">
        <v>0</v>
      </c>
      <c r="AO2" s="146" t="s">
        <v>1</v>
      </c>
      <c r="AP2" s="146" t="s">
        <v>2</v>
      </c>
      <c r="AQ2" s="146" t="s">
        <v>3</v>
      </c>
      <c r="AR2" s="169"/>
      <c r="AS2" s="146" t="s">
        <v>0</v>
      </c>
      <c r="AT2" s="146" t="s">
        <v>1</v>
      </c>
      <c r="AU2" s="146" t="s">
        <v>2</v>
      </c>
      <c r="AV2" s="146" t="s">
        <v>3</v>
      </c>
      <c r="AW2" s="146" t="s">
        <v>0</v>
      </c>
      <c r="AX2" s="146" t="s">
        <v>1</v>
      </c>
      <c r="AY2" s="146" t="s">
        <v>2</v>
      </c>
      <c r="AZ2" s="146" t="s">
        <v>3</v>
      </c>
      <c r="BA2" s="169"/>
      <c r="BB2" s="316"/>
      <c r="BC2" s="146" t="s">
        <v>341</v>
      </c>
      <c r="BD2" s="146" t="s">
        <v>364</v>
      </c>
      <c r="BE2" s="146" t="s">
        <v>363</v>
      </c>
      <c r="BF2" s="146" t="s">
        <v>2</v>
      </c>
      <c r="BG2" s="146" t="s">
        <v>3</v>
      </c>
      <c r="BH2" s="146" t="s">
        <v>399</v>
      </c>
      <c r="BI2" s="146" t="s">
        <v>401</v>
      </c>
      <c r="BJ2" s="146" t="s">
        <v>400</v>
      </c>
      <c r="BK2" s="169"/>
      <c r="BL2" s="169"/>
    </row>
    <row r="3" spans="1:64" s="25" customFormat="1" ht="14.25" customHeight="1">
      <c r="A3" s="354" t="s">
        <v>22</v>
      </c>
      <c r="B3" s="166" t="s">
        <v>4</v>
      </c>
      <c r="C3" s="44" t="s">
        <v>5</v>
      </c>
      <c r="D3" s="45" t="s">
        <v>6</v>
      </c>
      <c r="E3" s="45" t="s">
        <v>7</v>
      </c>
      <c r="F3" s="45" t="s">
        <v>8</v>
      </c>
      <c r="G3" s="45" t="s">
        <v>9</v>
      </c>
      <c r="H3" s="44" t="s">
        <v>10</v>
      </c>
      <c r="I3" s="45" t="s">
        <v>11</v>
      </c>
      <c r="J3" s="45" t="s">
        <v>12</v>
      </c>
      <c r="K3" s="45" t="s">
        <v>13</v>
      </c>
      <c r="L3" s="45" t="s">
        <v>20</v>
      </c>
      <c r="M3" s="44" t="s">
        <v>106</v>
      </c>
      <c r="N3" s="45" t="s">
        <v>107</v>
      </c>
      <c r="O3" s="45" t="s">
        <v>108</v>
      </c>
      <c r="P3" s="45" t="s">
        <v>109</v>
      </c>
      <c r="Q3" s="45" t="s">
        <v>110</v>
      </c>
      <c r="R3" s="44" t="s">
        <v>40</v>
      </c>
      <c r="S3" s="45" t="s">
        <v>41</v>
      </c>
      <c r="T3" s="45" t="s">
        <v>42</v>
      </c>
      <c r="U3" s="45" t="s">
        <v>43</v>
      </c>
      <c r="V3" s="45" t="s">
        <v>30</v>
      </c>
      <c r="W3" s="45" t="s">
        <v>111</v>
      </c>
      <c r="X3" s="45" t="s">
        <v>112</v>
      </c>
      <c r="Y3" s="45" t="s">
        <v>113</v>
      </c>
      <c r="Z3" s="45" t="s">
        <v>114</v>
      </c>
      <c r="AA3" s="45" t="s">
        <v>44</v>
      </c>
      <c r="AB3" s="45" t="s">
        <v>45</v>
      </c>
      <c r="AC3" s="45" t="s">
        <v>46</v>
      </c>
      <c r="AD3" s="45" t="s">
        <v>47</v>
      </c>
      <c r="AE3" s="45" t="s">
        <v>48</v>
      </c>
      <c r="AF3" s="45" t="s">
        <v>50</v>
      </c>
      <c r="AG3" s="45" t="s">
        <v>51</v>
      </c>
      <c r="AH3" s="45" t="s">
        <v>52</v>
      </c>
      <c r="AI3" s="45" t="s">
        <v>115</v>
      </c>
      <c r="AJ3" s="45" t="s">
        <v>116</v>
      </c>
      <c r="AK3" s="45" t="s">
        <v>117</v>
      </c>
      <c r="AL3" s="45" t="s">
        <v>118</v>
      </c>
      <c r="AM3" s="45" t="s">
        <v>119</v>
      </c>
      <c r="AN3" s="45" t="s">
        <v>120</v>
      </c>
      <c r="AO3" s="45" t="s">
        <v>121</v>
      </c>
      <c r="AP3" s="45" t="s">
        <v>122</v>
      </c>
      <c r="AQ3" s="45" t="s">
        <v>123</v>
      </c>
      <c r="AR3" s="45" t="s">
        <v>428</v>
      </c>
      <c r="AS3" s="45" t="s">
        <v>177</v>
      </c>
      <c r="AT3" s="45" t="s">
        <v>179</v>
      </c>
      <c r="AU3" s="45" t="s">
        <v>178</v>
      </c>
      <c r="AV3" s="45" t="s">
        <v>164</v>
      </c>
      <c r="AW3" s="45" t="s">
        <v>249</v>
      </c>
      <c r="AX3" s="45" t="s">
        <v>248</v>
      </c>
      <c r="AY3" s="45" t="s">
        <v>247</v>
      </c>
      <c r="AZ3" s="45" t="s">
        <v>246</v>
      </c>
      <c r="BA3" s="45" t="s">
        <v>423</v>
      </c>
      <c r="BB3" s="45" t="s">
        <v>423</v>
      </c>
      <c r="BC3" s="20" t="s">
        <v>53</v>
      </c>
      <c r="BD3" s="20" t="s">
        <v>164</v>
      </c>
      <c r="BE3" s="20" t="s">
        <v>246</v>
      </c>
      <c r="BF3" s="20" t="s">
        <v>54</v>
      </c>
      <c r="BG3" s="20" t="s">
        <v>55</v>
      </c>
      <c r="BH3" s="4"/>
      <c r="BI3" s="4"/>
      <c r="BJ3" s="4"/>
      <c r="BK3" s="4"/>
      <c r="BL3" s="4"/>
    </row>
    <row r="4" spans="1:64" s="25" customFormat="1">
      <c r="A4" s="355"/>
      <c r="B4" s="2" t="s">
        <v>124</v>
      </c>
      <c r="C4" s="3">
        <v>9</v>
      </c>
      <c r="D4" s="4">
        <v>3.2384850295062599</v>
      </c>
      <c r="E4" s="4">
        <v>1.8109132287629299</v>
      </c>
      <c r="F4" s="4">
        <v>5.0493982582691901</v>
      </c>
      <c r="G4" s="4">
        <v>1.42757180074332</v>
      </c>
      <c r="H4" s="3">
        <v>40</v>
      </c>
      <c r="I4" s="4">
        <v>4.3395422295834303</v>
      </c>
      <c r="J4" s="4">
        <v>2.0363839587409802</v>
      </c>
      <c r="K4" s="4">
        <v>6.37592618832441</v>
      </c>
      <c r="L4" s="4">
        <v>2.3031582708424398</v>
      </c>
      <c r="M4" s="3">
        <v>49</v>
      </c>
      <c r="N4" s="4">
        <v>4.3</v>
      </c>
      <c r="O4" s="4">
        <v>2</v>
      </c>
      <c r="P4" s="4">
        <v>6.37592618832441</v>
      </c>
      <c r="Q4" s="4">
        <v>2.3031582708424398</v>
      </c>
      <c r="R4" s="3">
        <v>42</v>
      </c>
      <c r="S4" s="4">
        <v>4.4494952258483798</v>
      </c>
      <c r="T4" s="4">
        <v>3.1539413022150602</v>
      </c>
      <c r="U4" s="4">
        <v>7.6034365280634297</v>
      </c>
      <c r="V4" s="4">
        <v>1.29555392363332</v>
      </c>
      <c r="W4" s="3">
        <v>34</v>
      </c>
      <c r="X4" s="4">
        <v>4.4000000000000004</v>
      </c>
      <c r="Y4" s="4">
        <v>2.28222445168007</v>
      </c>
      <c r="Z4" s="4">
        <v>6.67784321306085</v>
      </c>
      <c r="AA4" s="4">
        <v>2.1133943097007202</v>
      </c>
      <c r="AB4" s="33">
        <v>21</v>
      </c>
      <c r="AC4" s="50">
        <v>4.39521187253942</v>
      </c>
      <c r="AD4" s="50">
        <v>7.2161799717160804</v>
      </c>
      <c r="AE4" s="50">
        <v>1.5742437733627701</v>
      </c>
      <c r="AF4" s="33">
        <v>10</v>
      </c>
      <c r="AG4" s="50">
        <v>4.8789482954380103</v>
      </c>
      <c r="AH4" s="50">
        <v>6.4427487745641603</v>
      </c>
      <c r="AI4" s="50">
        <v>3.3151478163118502</v>
      </c>
      <c r="AJ4" s="52">
        <v>36</v>
      </c>
      <c r="AK4" s="50">
        <v>4.58958024691358</v>
      </c>
      <c r="AL4" s="50">
        <v>10.452347435267599</v>
      </c>
      <c r="AM4" s="50">
        <v>0</v>
      </c>
      <c r="AN4" s="52">
        <v>12</v>
      </c>
      <c r="AO4" s="50">
        <v>7.2286591880341904</v>
      </c>
      <c r="AP4" s="50">
        <v>10.4191081502202</v>
      </c>
      <c r="AQ4" s="50">
        <v>4.0382102258481902</v>
      </c>
      <c r="AR4" s="43">
        <f>(AF4*AG4+AJ4*AK4+AN4*AO4)/(AF4+AJ4+AN4)</f>
        <v>5.1854876224082629</v>
      </c>
      <c r="AS4" s="52">
        <v>39</v>
      </c>
      <c r="AT4" s="50">
        <v>3.1029023330737289</v>
      </c>
      <c r="AU4" s="50">
        <v>5.9315545060324721</v>
      </c>
      <c r="AV4" s="50">
        <v>0.2742501601149856</v>
      </c>
      <c r="AW4" s="52">
        <v>24</v>
      </c>
      <c r="AX4" s="50">
        <v>3.2030330982155513</v>
      </c>
      <c r="AY4" s="50">
        <v>2.5374466783536578</v>
      </c>
      <c r="AZ4" s="50">
        <v>5.7404797765692095</v>
      </c>
      <c r="BA4" s="184">
        <f>(AS4*AT4+AW4*AX4)/(AS4+AW4)</f>
        <v>3.1410473864610897</v>
      </c>
      <c r="BB4" s="184">
        <v>4.5262156677277927</v>
      </c>
      <c r="BC4" s="400">
        <f>IFERROR(VLOOKUP($B4,'2019自动化'!$B:$Q,2,0),0)</f>
        <v>5</v>
      </c>
      <c r="BD4" s="217">
        <f>IFERROR(VLOOKUP($B4,'2019自动化'!$B:$Q,3,0),0)</f>
        <v>1.9150040225261464</v>
      </c>
      <c r="BE4" s="401" t="str">
        <f>IFERROR(VLOOKUP($B4,'2019自动化'!$B:$Q,4,0),0)</f>
        <v/>
      </c>
      <c r="BF4" s="401" t="str">
        <f>IFERROR(VLOOKUP($B4,'2019自动化'!$B:$Q,5,0),0)</f>
        <v/>
      </c>
      <c r="BG4" s="401" t="str">
        <f>IFERROR(VLOOKUP($B4,'2019自动化'!$B:$Q,6,0),0)</f>
        <v/>
      </c>
      <c r="BH4" s="132">
        <f>BD4*1.1</f>
        <v>2.1065044247787612</v>
      </c>
      <c r="BI4" s="132" t="e">
        <f>BF4*1.1</f>
        <v>#VALUE!</v>
      </c>
      <c r="BJ4" s="132" t="e">
        <f>BG4*1.1</f>
        <v>#VALUE!</v>
      </c>
      <c r="BK4" s="132" t="s">
        <v>413</v>
      </c>
      <c r="BL4" s="132" t="str">
        <f>IF(BD4&gt;=BA4,"Up","Down")</f>
        <v>Down</v>
      </c>
    </row>
    <row r="5" spans="1:64" s="25" customFormat="1">
      <c r="A5" s="356"/>
      <c r="B5" s="21" t="s">
        <v>125</v>
      </c>
      <c r="C5" s="3"/>
      <c r="D5" s="4"/>
      <c r="E5" s="4"/>
      <c r="F5" s="4"/>
      <c r="G5" s="4"/>
      <c r="H5" s="3"/>
      <c r="I5" s="4"/>
      <c r="J5" s="4"/>
      <c r="K5" s="4"/>
      <c r="L5" s="4"/>
      <c r="M5" s="3"/>
      <c r="N5" s="4"/>
      <c r="O5" s="4"/>
      <c r="P5" s="4"/>
      <c r="Q5" s="4"/>
      <c r="R5" s="3">
        <v>11</v>
      </c>
      <c r="S5" s="4">
        <v>12.7345884521953</v>
      </c>
      <c r="T5" s="4">
        <v>8.1931034534456995</v>
      </c>
      <c r="U5" s="4">
        <v>20.927691905641002</v>
      </c>
      <c r="V5" s="4">
        <v>4.5414849987496204</v>
      </c>
      <c r="W5" s="3">
        <v>4</v>
      </c>
      <c r="X5" s="4">
        <v>13.4412704918033</v>
      </c>
      <c r="Y5" s="4">
        <v>6.2166332416324304</v>
      </c>
      <c r="Z5" s="4">
        <v>7.2246372501708498</v>
      </c>
      <c r="AA5" s="4">
        <v>19.657903733435699</v>
      </c>
      <c r="AB5" s="15"/>
      <c r="AC5" s="6"/>
      <c r="AD5" s="6"/>
      <c r="AE5" s="6"/>
      <c r="AF5" s="15" t="s">
        <v>87</v>
      </c>
      <c r="AG5" s="6" t="s">
        <v>87</v>
      </c>
      <c r="AH5" s="6" t="s">
        <v>87</v>
      </c>
      <c r="AI5" s="6" t="s">
        <v>87</v>
      </c>
      <c r="AJ5" s="17">
        <v>7</v>
      </c>
      <c r="AK5" s="6">
        <v>13.4628571428571</v>
      </c>
      <c r="AL5" s="6">
        <v>15.8816772015201</v>
      </c>
      <c r="AM5" s="6">
        <v>11.0440370841941</v>
      </c>
      <c r="AN5" s="17"/>
      <c r="AO5" s="6"/>
      <c r="AP5" s="6"/>
      <c r="AQ5" s="6"/>
      <c r="AR5" s="6">
        <v>13.4628571428571</v>
      </c>
      <c r="AS5" s="17"/>
      <c r="AT5" s="6"/>
      <c r="AU5" s="6"/>
      <c r="AV5" s="6"/>
      <c r="AW5" s="6"/>
      <c r="AX5" s="6"/>
      <c r="AY5" s="6"/>
      <c r="AZ5" s="6"/>
      <c r="BA5" s="184" t="e">
        <f t="shared" ref="BA5:BA17" si="0">(AS5*AT5+AW5*AX5)/(AS5+AW5)</f>
        <v>#DIV/0!</v>
      </c>
      <c r="BB5" s="184"/>
      <c r="BC5" s="400">
        <f>IFERROR(VLOOKUP($B5,'2019自动化'!$B:$Q,2,0),0)</f>
        <v>0</v>
      </c>
      <c r="BD5" s="217">
        <f>IFERROR(VLOOKUP($B5,'2019自动化'!$B:$Q,3,0),0)</f>
        <v>0</v>
      </c>
      <c r="BE5" s="401">
        <f>IFERROR(VLOOKUP($B5,'2019自动化'!$B:$Q,4,0),0)</f>
        <v>0</v>
      </c>
      <c r="BF5" s="401">
        <f>IFERROR(VLOOKUP($B5,'2019自动化'!$B:$Q,5,0),0)</f>
        <v>0</v>
      </c>
      <c r="BG5" s="401">
        <f>IFERROR(VLOOKUP($B5,'2019自动化'!$B:$Q,6,0),0)</f>
        <v>0</v>
      </c>
      <c r="BH5" s="4">
        <f t="shared" ref="BH5:BH16" si="1">BD5*1.1</f>
        <v>0</v>
      </c>
      <c r="BI5" s="4">
        <f t="shared" ref="BI5:BI17" si="2">BF5*1.1</f>
        <v>0</v>
      </c>
      <c r="BJ5" s="132">
        <f t="shared" ref="BJ5:BJ17" si="3">BG5*1.1</f>
        <v>0</v>
      </c>
      <c r="BK5" s="132"/>
      <c r="BL5" s="132"/>
    </row>
    <row r="6" spans="1:64" s="25" customFormat="1">
      <c r="A6" s="70"/>
      <c r="B6" s="21" t="s">
        <v>180</v>
      </c>
      <c r="C6" s="3"/>
      <c r="D6" s="4"/>
      <c r="E6" s="4"/>
      <c r="F6" s="4"/>
      <c r="G6" s="4"/>
      <c r="H6" s="3"/>
      <c r="I6" s="4"/>
      <c r="J6" s="4"/>
      <c r="K6" s="4"/>
      <c r="L6" s="4"/>
      <c r="M6" s="3"/>
      <c r="N6" s="4"/>
      <c r="O6" s="4"/>
      <c r="P6" s="4"/>
      <c r="Q6" s="4"/>
      <c r="R6" s="3"/>
      <c r="S6" s="4"/>
      <c r="T6" s="4"/>
      <c r="U6" s="4"/>
      <c r="V6" s="4"/>
      <c r="W6" s="3"/>
      <c r="X6" s="4"/>
      <c r="Y6" s="4"/>
      <c r="Z6" s="4"/>
      <c r="AA6" s="4"/>
      <c r="AB6" s="15"/>
      <c r="AC6" s="6"/>
      <c r="AD6" s="6"/>
      <c r="AE6" s="6"/>
      <c r="AF6" s="15"/>
      <c r="AG6" s="6"/>
      <c r="AH6" s="6"/>
      <c r="AI6" s="6"/>
      <c r="AJ6" s="17"/>
      <c r="AK6" s="6"/>
      <c r="AL6" s="6"/>
      <c r="AM6" s="6"/>
      <c r="AN6" s="17"/>
      <c r="AO6" s="6"/>
      <c r="AP6" s="6"/>
      <c r="AQ6" s="6"/>
      <c r="AR6" s="43" t="e">
        <f t="shared" ref="AR6:AR17" si="4">(AF6*AG6+AJ6*AK6+AN6*AO6)/(AF6+AJ6+AN6)</f>
        <v>#DIV/0!</v>
      </c>
      <c r="AS6" s="17">
        <v>41</v>
      </c>
      <c r="AT6" s="6">
        <v>0</v>
      </c>
      <c r="AU6" s="6">
        <v>0</v>
      </c>
      <c r="AV6" s="6">
        <v>0</v>
      </c>
      <c r="AW6" s="52">
        <v>26</v>
      </c>
      <c r="AX6" s="6">
        <v>0</v>
      </c>
      <c r="AY6" s="6">
        <v>0</v>
      </c>
      <c r="AZ6" s="6">
        <v>0</v>
      </c>
      <c r="BA6" s="184">
        <f t="shared" si="0"/>
        <v>0</v>
      </c>
      <c r="BB6" s="185">
        <v>0</v>
      </c>
      <c r="BC6" s="400">
        <f>IFERROR(VLOOKUP($B6,'2019自动化'!$B:$Q,2,0),0)</f>
        <v>5</v>
      </c>
      <c r="BD6" s="217">
        <f>IFERROR(VLOOKUP($B6,'2019自动化'!$B:$Q,3,0),0)</f>
        <v>0</v>
      </c>
      <c r="BE6" s="401" t="str">
        <f>IFERROR(VLOOKUP($B6,'2019自动化'!$B:$Q,4,0),0)</f>
        <v/>
      </c>
      <c r="BF6" s="401" t="str">
        <f>IFERROR(VLOOKUP($B6,'2019自动化'!$B:$Q,5,0),0)</f>
        <v/>
      </c>
      <c r="BG6" s="401" t="str">
        <f>IFERROR(VLOOKUP($B6,'2019自动化'!$B:$Q,6,0),0)</f>
        <v/>
      </c>
      <c r="BH6" s="23">
        <f t="shared" ref="BH6:BH7" si="5">IFERROR(IF(BD6*1.1&gt;100%,100%,BD6*1.1),"")</f>
        <v>0</v>
      </c>
      <c r="BI6" s="4" t="e">
        <f t="shared" si="2"/>
        <v>#VALUE!</v>
      </c>
      <c r="BJ6" s="23" t="e">
        <f t="shared" si="3"/>
        <v>#VALUE!</v>
      </c>
      <c r="BK6" s="23"/>
      <c r="BL6" s="23"/>
    </row>
    <row r="7" spans="1:64" s="25" customFormat="1">
      <c r="A7" s="354" t="s">
        <v>21</v>
      </c>
      <c r="B7" s="21" t="s">
        <v>65</v>
      </c>
      <c r="C7" s="3">
        <v>12</v>
      </c>
      <c r="D7" s="5">
        <v>7.9117318956735199E-4</v>
      </c>
      <c r="E7" s="5">
        <v>1.4454094755608001E-3</v>
      </c>
      <c r="F7" s="5">
        <v>3.5842293906810001E-3</v>
      </c>
      <c r="G7" s="5">
        <v>0</v>
      </c>
      <c r="H7" s="3">
        <v>35</v>
      </c>
      <c r="I7" s="5">
        <v>6.4954879980817698E-2</v>
      </c>
      <c r="J7" s="5">
        <v>6.4990320263895104E-2</v>
      </c>
      <c r="K7" s="5">
        <v>0.12994520024471301</v>
      </c>
      <c r="L7" s="5">
        <v>0</v>
      </c>
      <c r="M7" s="3">
        <v>47</v>
      </c>
      <c r="N7" s="5">
        <v>4.8572656970285698E-2</v>
      </c>
      <c r="O7" s="5">
        <v>4.8766087722192701E-2</v>
      </c>
      <c r="P7" s="5">
        <v>9.7682824707513202E-2</v>
      </c>
      <c r="Q7" s="5">
        <v>0</v>
      </c>
      <c r="R7" s="3">
        <v>48</v>
      </c>
      <c r="S7" s="5">
        <v>6.6088441974150702E-2</v>
      </c>
      <c r="T7" s="5">
        <v>0.15217724903754901</v>
      </c>
      <c r="U7" s="5">
        <v>0.21826569101170001</v>
      </c>
      <c r="V7" s="5">
        <v>0</v>
      </c>
      <c r="W7" s="10">
        <v>35</v>
      </c>
      <c r="X7" s="5">
        <v>3.5433024513798497E-2</v>
      </c>
      <c r="Y7" s="5">
        <v>4.7284843888613003E-2</v>
      </c>
      <c r="Z7" s="5">
        <v>8.2717868402411507E-2</v>
      </c>
      <c r="AA7" s="5">
        <v>3.0966231551225101E-3</v>
      </c>
      <c r="AB7" s="33"/>
      <c r="AC7" s="34"/>
      <c r="AD7" s="34"/>
      <c r="AE7" s="34"/>
      <c r="AF7" s="33">
        <v>10</v>
      </c>
      <c r="AG7" s="34">
        <v>6.6909529759990705E-2</v>
      </c>
      <c r="AH7" s="34">
        <v>0.14523237492813501</v>
      </c>
      <c r="AI7" s="34">
        <v>0</v>
      </c>
      <c r="AJ7" s="52"/>
      <c r="AK7" s="34"/>
      <c r="AL7" s="34"/>
      <c r="AM7" s="34"/>
      <c r="AN7" s="52">
        <v>12</v>
      </c>
      <c r="AO7" s="34">
        <v>0</v>
      </c>
      <c r="AP7" s="34">
        <v>0</v>
      </c>
      <c r="AQ7" s="34">
        <v>0</v>
      </c>
      <c r="AR7" s="43">
        <f t="shared" si="4"/>
        <v>3.0413422618177591E-2</v>
      </c>
      <c r="AS7" s="89">
        <v>46</v>
      </c>
      <c r="AT7" s="90">
        <v>1.9520898755388622E-2</v>
      </c>
      <c r="AU7" s="90">
        <v>6.5538049500241571E-2</v>
      </c>
      <c r="AV7" s="90">
        <v>0</v>
      </c>
      <c r="AW7" s="89">
        <v>28</v>
      </c>
      <c r="AX7" s="90">
        <v>0</v>
      </c>
      <c r="AY7" s="90">
        <v>0</v>
      </c>
      <c r="AZ7" s="90">
        <v>0</v>
      </c>
      <c r="BA7" s="185">
        <f t="shared" si="0"/>
        <v>1.2134612739836169E-2</v>
      </c>
      <c r="BB7" s="185">
        <v>0</v>
      </c>
      <c r="BC7" s="400">
        <f>IFERROR(VLOOKUP($B7,'2019自动化'!$B:$Q,2,0),0)</f>
        <v>0</v>
      </c>
      <c r="BD7" s="217">
        <f>IFERROR(VLOOKUP($B7,'2019自动化'!$B:$Q,3,0),0)</f>
        <v>0</v>
      </c>
      <c r="BE7" s="401" t="str">
        <f>IFERROR(VLOOKUP($B7,'2019自动化'!$B:$Q,4,0),0)</f>
        <v/>
      </c>
      <c r="BF7" s="401" t="str">
        <f>IFERROR(VLOOKUP($B7,'2019自动化'!$B:$Q,5,0),0)</f>
        <v xml:space="preserve"> </v>
      </c>
      <c r="BG7" s="401" t="str">
        <f>IFERROR(VLOOKUP($B7,'2019自动化'!$B:$Q,6,0),0)</f>
        <v/>
      </c>
      <c r="BH7" s="23">
        <f t="shared" si="5"/>
        <v>0</v>
      </c>
      <c r="BI7" s="4" t="e">
        <f t="shared" si="2"/>
        <v>#VALUE!</v>
      </c>
      <c r="BJ7" s="23" t="e">
        <f t="shared" si="3"/>
        <v>#VALUE!</v>
      </c>
      <c r="BK7" s="23"/>
      <c r="BL7" s="23"/>
    </row>
    <row r="8" spans="1:64" s="25" customFormat="1">
      <c r="A8" s="355"/>
      <c r="B8" s="21" t="s">
        <v>181</v>
      </c>
      <c r="C8" s="3"/>
      <c r="D8" s="5"/>
      <c r="E8" s="5"/>
      <c r="F8" s="5"/>
      <c r="G8" s="5"/>
      <c r="H8" s="3"/>
      <c r="I8" s="5"/>
      <c r="J8" s="5"/>
      <c r="K8" s="5"/>
      <c r="L8" s="5"/>
      <c r="M8" s="3"/>
      <c r="N8" s="5"/>
      <c r="O8" s="5"/>
      <c r="P8" s="5"/>
      <c r="Q8" s="5"/>
      <c r="R8" s="3"/>
      <c r="S8" s="5"/>
      <c r="T8" s="5"/>
      <c r="U8" s="5"/>
      <c r="V8" s="5"/>
      <c r="W8" s="10"/>
      <c r="X8" s="5"/>
      <c r="Y8" s="5"/>
      <c r="Z8" s="5"/>
      <c r="AA8" s="5"/>
      <c r="AB8" s="33"/>
      <c r="AC8" s="34"/>
      <c r="AD8" s="34"/>
      <c r="AE8" s="34"/>
      <c r="AF8" s="33"/>
      <c r="AG8" s="34"/>
      <c r="AH8" s="34"/>
      <c r="AI8" s="34"/>
      <c r="AJ8" s="52"/>
      <c r="AK8" s="34"/>
      <c r="AL8" s="34"/>
      <c r="AM8" s="34"/>
      <c r="AN8" s="52"/>
      <c r="AO8" s="34"/>
      <c r="AP8" s="34"/>
      <c r="AQ8" s="34"/>
      <c r="AR8" s="43" t="e">
        <f t="shared" si="4"/>
        <v>#DIV/0!</v>
      </c>
      <c r="AS8" s="52">
        <v>42</v>
      </c>
      <c r="AT8" s="34">
        <v>0.83441474810352001</v>
      </c>
      <c r="AU8" s="34">
        <v>1</v>
      </c>
      <c r="AV8" s="34">
        <v>0.38780563079513569</v>
      </c>
      <c r="AW8" s="52">
        <v>25</v>
      </c>
      <c r="AX8" s="34">
        <v>0.64404122502310901</v>
      </c>
      <c r="AY8" s="34">
        <v>0.2544483065141705</v>
      </c>
      <c r="AZ8" s="34">
        <v>0.89848953153727951</v>
      </c>
      <c r="BA8" s="185">
        <f t="shared" si="0"/>
        <v>0.76337985143172482</v>
      </c>
      <c r="BB8" s="185">
        <v>0.99445510769886958</v>
      </c>
      <c r="BC8" s="400">
        <f>IFERROR(VLOOKUP($B8,'2019自动化'!$B:$Q,2,0),0)</f>
        <v>5</v>
      </c>
      <c r="BD8" s="217">
        <f>IFERROR(VLOOKUP($B8,'2019自动化'!$B:$Q,3,0),0)</f>
        <v>1</v>
      </c>
      <c r="BE8" s="401" t="str">
        <f>IFERROR(VLOOKUP($B8,'2019自动化'!$B:$Q,4,0),0)</f>
        <v/>
      </c>
      <c r="BF8" s="401" t="str">
        <f>IFERROR(VLOOKUP($B8,'2019自动化'!$B:$Q,5,0),0)</f>
        <v/>
      </c>
      <c r="BG8" s="401" t="str">
        <f>IFERROR(VLOOKUP($B8,'2019自动化'!$B:$Q,6,0),0)</f>
        <v/>
      </c>
      <c r="BH8" s="23">
        <f>IFERROR(IF(BD8*1.1&gt;100%,100%,BD8*1.1),"")</f>
        <v>1</v>
      </c>
      <c r="BI8" s="4" t="e">
        <f t="shared" si="2"/>
        <v>#VALUE!</v>
      </c>
      <c r="BJ8" s="23" t="e">
        <f t="shared" si="3"/>
        <v>#VALUE!</v>
      </c>
      <c r="BK8" s="23"/>
      <c r="BL8" s="23"/>
    </row>
    <row r="9" spans="1:64" s="25" customFormat="1">
      <c r="A9" s="355"/>
      <c r="B9" s="21" t="s">
        <v>182</v>
      </c>
      <c r="C9" s="3"/>
      <c r="D9" s="5"/>
      <c r="E9" s="5"/>
      <c r="F9" s="5"/>
      <c r="G9" s="5"/>
      <c r="H9" s="3"/>
      <c r="I9" s="5"/>
      <c r="J9" s="5"/>
      <c r="K9" s="5"/>
      <c r="L9" s="5"/>
      <c r="M9" s="3"/>
      <c r="N9" s="5"/>
      <c r="O9" s="5"/>
      <c r="P9" s="5"/>
      <c r="Q9" s="5"/>
      <c r="R9" s="3"/>
      <c r="S9" s="5"/>
      <c r="T9" s="5"/>
      <c r="U9" s="5"/>
      <c r="V9" s="5"/>
      <c r="W9" s="10"/>
      <c r="X9" s="5"/>
      <c r="Y9" s="5"/>
      <c r="Z9" s="5"/>
      <c r="AA9" s="5"/>
      <c r="AB9" s="33"/>
      <c r="AC9" s="34"/>
      <c r="AD9" s="34"/>
      <c r="AE9" s="34"/>
      <c r="AF9" s="33"/>
      <c r="AG9" s="34"/>
      <c r="AH9" s="34"/>
      <c r="AI9" s="34"/>
      <c r="AJ9" s="52"/>
      <c r="AK9" s="34"/>
      <c r="AL9" s="34"/>
      <c r="AM9" s="34"/>
      <c r="AN9" s="52"/>
      <c r="AO9" s="34"/>
      <c r="AP9" s="34"/>
      <c r="AQ9" s="34"/>
      <c r="AR9" s="43" t="e">
        <f t="shared" si="4"/>
        <v>#DIV/0!</v>
      </c>
      <c r="AS9" s="89">
        <v>40</v>
      </c>
      <c r="AT9" s="90">
        <v>0.63752610667907239</v>
      </c>
      <c r="AU9" s="90">
        <v>0.92652930620057306</v>
      </c>
      <c r="AV9" s="90">
        <v>0.34852290715757173</v>
      </c>
      <c r="AW9" s="89">
        <v>24</v>
      </c>
      <c r="AX9" s="90">
        <v>0.57340548427555749</v>
      </c>
      <c r="AY9" s="90">
        <v>0.24847086816125233</v>
      </c>
      <c r="AZ9" s="90">
        <v>0.82187635243680979</v>
      </c>
      <c r="BA9" s="185">
        <f t="shared" si="0"/>
        <v>0.61348087327775436</v>
      </c>
      <c r="BB9" s="185">
        <v>0.98340897384571824</v>
      </c>
      <c r="BC9" s="400">
        <f>IFERROR(VLOOKUP($B9,'2019自动化'!$B:$Q,2,0),0)</f>
        <v>5</v>
      </c>
      <c r="BD9" s="217">
        <f>IFERROR(VLOOKUP($B9,'2019自动化'!$B:$Q,3,0),0)</f>
        <v>1</v>
      </c>
      <c r="BE9" s="401" t="str">
        <f>IFERROR(VLOOKUP($B9,'2019自动化'!$B:$Q,4,0),0)</f>
        <v/>
      </c>
      <c r="BF9" s="401" t="str">
        <f>IFERROR(VLOOKUP($B9,'2019自动化'!$B:$Q,5,0),0)</f>
        <v/>
      </c>
      <c r="BG9" s="401" t="str">
        <f>IFERROR(VLOOKUP($B9,'2019自动化'!$B:$Q,6,0),0)</f>
        <v/>
      </c>
      <c r="BH9" s="23">
        <f t="shared" ref="BH9:BH14" si="6">IFERROR(IF(BD9*1.1&gt;100%,100%,BD9*1.1),"")</f>
        <v>1</v>
      </c>
      <c r="BI9" s="4" t="e">
        <f t="shared" si="2"/>
        <v>#VALUE!</v>
      </c>
      <c r="BJ9" s="23" t="e">
        <f t="shared" si="3"/>
        <v>#VALUE!</v>
      </c>
      <c r="BK9" s="23"/>
      <c r="BL9" s="23"/>
    </row>
    <row r="10" spans="1:64" s="25" customFormat="1">
      <c r="A10" s="355"/>
      <c r="B10" s="2" t="s">
        <v>126</v>
      </c>
      <c r="C10" s="3">
        <v>31</v>
      </c>
      <c r="D10" s="11">
        <v>0.02</v>
      </c>
      <c r="E10" s="11">
        <v>0.03</v>
      </c>
      <c r="F10" s="11">
        <v>0.05</v>
      </c>
      <c r="G10" s="11">
        <v>5.0000000000000001E-3</v>
      </c>
      <c r="H10" s="3">
        <v>29</v>
      </c>
      <c r="I10" s="11">
        <v>0.31105936080423802</v>
      </c>
      <c r="J10" s="11">
        <v>0.45098481402881402</v>
      </c>
      <c r="K10" s="11">
        <v>0.76204417483305198</v>
      </c>
      <c r="L10" s="11">
        <v>0</v>
      </c>
      <c r="M10" s="3">
        <v>60</v>
      </c>
      <c r="N10" s="11">
        <v>0.16067869105538199</v>
      </c>
      <c r="O10" s="11">
        <v>0.23347599344726</v>
      </c>
      <c r="P10" s="11">
        <v>0.39415468450264202</v>
      </c>
      <c r="Q10" s="11">
        <v>2.5833333333333298E-3</v>
      </c>
      <c r="R10" s="3">
        <v>46</v>
      </c>
      <c r="S10" s="11">
        <v>0.17544427764807199</v>
      </c>
      <c r="T10" s="11">
        <v>0.29602658490183897</v>
      </c>
      <c r="U10" s="11">
        <v>0.471470862549911</v>
      </c>
      <c r="V10" s="11">
        <v>0</v>
      </c>
      <c r="W10" s="10">
        <v>31</v>
      </c>
      <c r="X10" s="11">
        <v>8.2459051536195496E-2</v>
      </c>
      <c r="Y10" s="11">
        <v>8.6129646111082495E-2</v>
      </c>
      <c r="Z10" s="11">
        <v>0.16858869764727799</v>
      </c>
      <c r="AA10" s="11">
        <v>0</v>
      </c>
      <c r="AB10" s="15">
        <v>16</v>
      </c>
      <c r="AC10" s="11">
        <v>0.143661581922677</v>
      </c>
      <c r="AD10" s="11">
        <v>0.35425390836611798</v>
      </c>
      <c r="AE10" s="11">
        <v>0</v>
      </c>
      <c r="AF10" s="15">
        <v>10</v>
      </c>
      <c r="AG10" s="11">
        <v>0</v>
      </c>
      <c r="AH10" s="11">
        <v>0</v>
      </c>
      <c r="AI10" s="11">
        <v>0</v>
      </c>
      <c r="AJ10" s="13">
        <v>27</v>
      </c>
      <c r="AK10" s="11">
        <v>0.76407407407407402</v>
      </c>
      <c r="AL10" s="11">
        <v>2.0238910170013402</v>
      </c>
      <c r="AM10" s="11">
        <v>0</v>
      </c>
      <c r="AN10" s="13">
        <v>12</v>
      </c>
      <c r="AO10" s="11">
        <v>8.0173528179993694E-2</v>
      </c>
      <c r="AP10" s="11">
        <v>0.187384995377819</v>
      </c>
      <c r="AQ10" s="11">
        <v>-2.7037939017831698E-2</v>
      </c>
      <c r="AR10" s="43">
        <f t="shared" si="4"/>
        <v>0.44065474159510049</v>
      </c>
      <c r="AS10" s="13">
        <v>35</v>
      </c>
      <c r="AT10" s="11">
        <v>0.25002240707072193</v>
      </c>
      <c r="AU10" s="11">
        <v>0.54478313736596329</v>
      </c>
      <c r="AV10" s="11">
        <v>0</v>
      </c>
      <c r="AW10" s="52">
        <v>10</v>
      </c>
      <c r="AX10" s="11">
        <v>0.18863873884596366</v>
      </c>
      <c r="AY10" s="11">
        <v>0.14475429326745795</v>
      </c>
      <c r="AZ10" s="11">
        <v>0.33339303211342164</v>
      </c>
      <c r="BA10" s="184">
        <f t="shared" si="0"/>
        <v>0.23638159190966457</v>
      </c>
      <c r="BB10" s="184">
        <v>0.33528581079866782</v>
      </c>
      <c r="BC10" s="400">
        <f>IFERROR(VLOOKUP($B10,'2019自动化'!$B:$Q,2,0),0)</f>
        <v>5</v>
      </c>
      <c r="BD10" s="217">
        <f>IFERROR(VLOOKUP($B10,'2019自动化'!$B:$Q,3,0),0)</f>
        <v>0.46658654517525483</v>
      </c>
      <c r="BE10" s="401" t="str">
        <f>IFERROR(VLOOKUP($B10,'2019自动化'!$B:$Q,4,0),0)</f>
        <v/>
      </c>
      <c r="BF10" s="401" t="str">
        <f>IFERROR(VLOOKUP($B10,'2019自动化'!$B:$Q,5,0),0)</f>
        <v/>
      </c>
      <c r="BG10" s="401" t="str">
        <f>IFERROR(VLOOKUP($B10,'2019自动化'!$B:$Q,6,0),0)</f>
        <v/>
      </c>
      <c r="BH10" s="132">
        <f t="shared" si="6"/>
        <v>0.51324519969278037</v>
      </c>
      <c r="BI10" s="132" t="e">
        <f t="shared" si="2"/>
        <v>#VALUE!</v>
      </c>
      <c r="BJ10" s="132" t="e">
        <f t="shared" si="3"/>
        <v>#VALUE!</v>
      </c>
      <c r="BK10" s="132" t="s">
        <v>415</v>
      </c>
      <c r="BL10" s="132" t="str">
        <f>IF(BD10&gt;=BA10,"Up","Down")</f>
        <v>Up</v>
      </c>
    </row>
    <row r="11" spans="1:64" s="25" customFormat="1">
      <c r="A11" s="355"/>
      <c r="B11" s="21" t="s">
        <v>183</v>
      </c>
      <c r="C11" s="3"/>
      <c r="D11" s="11"/>
      <c r="E11" s="11"/>
      <c r="F11" s="11"/>
      <c r="G11" s="11"/>
      <c r="H11" s="3"/>
      <c r="I11" s="11"/>
      <c r="J11" s="11"/>
      <c r="K11" s="11"/>
      <c r="L11" s="11"/>
      <c r="M11" s="3"/>
      <c r="N11" s="11"/>
      <c r="O11" s="11"/>
      <c r="P11" s="11"/>
      <c r="Q11" s="11"/>
      <c r="R11" s="3"/>
      <c r="S11" s="11"/>
      <c r="T11" s="11"/>
      <c r="U11" s="11"/>
      <c r="V11" s="11"/>
      <c r="W11" s="10"/>
      <c r="X11" s="11"/>
      <c r="Y11" s="11"/>
      <c r="Z11" s="11"/>
      <c r="AA11" s="11"/>
      <c r="AB11" s="15"/>
      <c r="AC11" s="11"/>
      <c r="AD11" s="11"/>
      <c r="AE11" s="11"/>
      <c r="AF11" s="15"/>
      <c r="AG11" s="11"/>
      <c r="AH11" s="11"/>
      <c r="AI11" s="11"/>
      <c r="AJ11" s="13"/>
      <c r="AK11" s="11"/>
      <c r="AL11" s="11"/>
      <c r="AM11" s="11"/>
      <c r="AN11" s="13"/>
      <c r="AO11" s="11"/>
      <c r="AP11" s="11"/>
      <c r="AQ11" s="11"/>
      <c r="AR11" s="43" t="e">
        <f t="shared" si="4"/>
        <v>#DIV/0!</v>
      </c>
      <c r="AS11" s="91">
        <v>38</v>
      </c>
      <c r="AT11" s="92">
        <v>0.88742357754286727</v>
      </c>
      <c r="AU11" s="92">
        <v>1</v>
      </c>
      <c r="AV11" s="92">
        <v>0.6034032710656223</v>
      </c>
      <c r="AW11" s="89">
        <v>26</v>
      </c>
      <c r="AX11" s="92">
        <v>0.91005685889665844</v>
      </c>
      <c r="AY11" s="92">
        <v>0.22873699027168146</v>
      </c>
      <c r="AZ11" s="92">
        <v>1.1387938491683398</v>
      </c>
      <c r="BA11" s="184">
        <f t="shared" si="0"/>
        <v>0.89661834809284491</v>
      </c>
      <c r="BB11" s="185">
        <v>0.98917378917378918</v>
      </c>
      <c r="BC11" s="400">
        <f>IFERROR(VLOOKUP($B11,'2019自动化'!$B:$Q,2,0),0)</f>
        <v>5</v>
      </c>
      <c r="BD11" s="217">
        <f>IFERROR(VLOOKUP($B11,'2019自动化'!$B:$Q,3,0),0)</f>
        <v>1</v>
      </c>
      <c r="BE11" s="401" t="str">
        <f>IFERROR(VLOOKUP($B11,'2019自动化'!$B:$Q,4,0),0)</f>
        <v/>
      </c>
      <c r="BF11" s="401" t="str">
        <f>IFERROR(VLOOKUP($B11,'2019自动化'!$B:$Q,5,0),0)</f>
        <v/>
      </c>
      <c r="BG11" s="401" t="str">
        <f>IFERROR(VLOOKUP($B11,'2019自动化'!$B:$Q,6,0),0)</f>
        <v/>
      </c>
      <c r="BH11" s="23">
        <f t="shared" si="6"/>
        <v>1</v>
      </c>
      <c r="BI11" s="4" t="e">
        <f t="shared" si="2"/>
        <v>#VALUE!</v>
      </c>
      <c r="BJ11" s="23" t="e">
        <f t="shared" si="3"/>
        <v>#VALUE!</v>
      </c>
      <c r="BK11" s="23"/>
      <c r="BL11" s="23"/>
    </row>
    <row r="12" spans="1:64" s="25" customFormat="1">
      <c r="A12" s="355"/>
      <c r="B12" s="2" t="s">
        <v>127</v>
      </c>
      <c r="C12" s="3"/>
      <c r="D12" s="5"/>
      <c r="E12" s="5"/>
      <c r="F12" s="5"/>
      <c r="G12" s="5"/>
      <c r="H12" s="3">
        <v>45</v>
      </c>
      <c r="I12" s="5">
        <v>0.98493333333333299</v>
      </c>
      <c r="J12" s="5">
        <v>4.6663885198495798E-2</v>
      </c>
      <c r="K12" s="5">
        <v>1</v>
      </c>
      <c r="L12" s="5">
        <v>0.84494167773784601</v>
      </c>
      <c r="M12" s="3">
        <v>70</v>
      </c>
      <c r="N12" s="5">
        <v>0.99031428571428604</v>
      </c>
      <c r="O12" s="5">
        <v>2.9998211913318699E-2</v>
      </c>
      <c r="P12" s="5">
        <v>1</v>
      </c>
      <c r="Q12" s="5">
        <v>0.90031964997432901</v>
      </c>
      <c r="R12" s="3">
        <v>56</v>
      </c>
      <c r="S12" s="5">
        <v>0.99821428571428605</v>
      </c>
      <c r="T12" s="5">
        <v>9.7434626768446598E-3</v>
      </c>
      <c r="U12" s="5">
        <v>1</v>
      </c>
      <c r="V12" s="5">
        <v>0.96898389768375204</v>
      </c>
      <c r="W12" s="10">
        <v>35</v>
      </c>
      <c r="X12" s="5">
        <v>0.998714285714286</v>
      </c>
      <c r="Y12" s="5">
        <v>4.47973517195876E-3</v>
      </c>
      <c r="Z12" s="5">
        <v>1</v>
      </c>
      <c r="AA12" s="5">
        <v>0.98527508019840904</v>
      </c>
      <c r="AB12" s="33">
        <v>22</v>
      </c>
      <c r="AC12" s="51">
        <v>0.97909090909090901</v>
      </c>
      <c r="AD12" s="51">
        <v>1</v>
      </c>
      <c r="AE12" s="51">
        <v>0.76900743773948499</v>
      </c>
      <c r="AF12" s="33" t="s">
        <v>87</v>
      </c>
      <c r="AG12" s="51" t="s">
        <v>87</v>
      </c>
      <c r="AH12" s="51" t="s">
        <v>87</v>
      </c>
      <c r="AI12" s="51" t="s">
        <v>87</v>
      </c>
      <c r="AJ12" s="53">
        <v>30</v>
      </c>
      <c r="AK12" s="51">
        <v>0.99462333333333297</v>
      </c>
      <c r="AL12" s="51">
        <v>1.04629813977409</v>
      </c>
      <c r="AM12" s="51">
        <v>0.94294852689257702</v>
      </c>
      <c r="AN12" s="53">
        <v>12</v>
      </c>
      <c r="AO12" s="51">
        <v>1</v>
      </c>
      <c r="AP12" s="51">
        <v>1</v>
      </c>
      <c r="AQ12" s="51">
        <v>1</v>
      </c>
      <c r="AR12" s="189">
        <f>(AJ12*AK12+AN12*AO12)/(AJ12+AN12)</f>
        <v>0.99615952380952355</v>
      </c>
      <c r="AS12" s="53">
        <v>39</v>
      </c>
      <c r="AT12" s="51">
        <v>0.99579487179487181</v>
      </c>
      <c r="AU12" s="51">
        <v>1.0491203941648626</v>
      </c>
      <c r="AV12" s="51">
        <v>0.94246934942488103</v>
      </c>
      <c r="AW12" s="52">
        <v>14</v>
      </c>
      <c r="AX12" s="115">
        <v>1</v>
      </c>
      <c r="AY12" s="115">
        <v>0</v>
      </c>
      <c r="AZ12" s="115">
        <v>1</v>
      </c>
      <c r="BA12" s="185">
        <f t="shared" si="0"/>
        <v>0.9969056603773585</v>
      </c>
      <c r="BB12" s="185">
        <v>1</v>
      </c>
      <c r="BC12" s="400">
        <f>IFERROR(VLOOKUP($B12,'2019自动化'!$B:$Q,2,0),0)</f>
        <v>5</v>
      </c>
      <c r="BD12" s="217">
        <f>IFERROR(VLOOKUP($B12,'2019自动化'!$B:$Q,3,0),0)</f>
        <v>1</v>
      </c>
      <c r="BE12" s="401" t="str">
        <f>IFERROR(VLOOKUP($B12,'2019自动化'!$B:$Q,4,0),0)</f>
        <v/>
      </c>
      <c r="BF12" s="401" t="str">
        <f>IFERROR(VLOOKUP($B12,'2019自动化'!$B:$Q,5,0),0)</f>
        <v/>
      </c>
      <c r="BG12" s="401" t="str">
        <f>IFERROR(VLOOKUP($B12,'2019自动化'!$B:$Q,6,0),0)</f>
        <v/>
      </c>
      <c r="BH12" s="23">
        <f t="shared" si="6"/>
        <v>1</v>
      </c>
      <c r="BI12" s="23" t="e">
        <f t="shared" si="2"/>
        <v>#VALUE!</v>
      </c>
      <c r="BJ12" s="23" t="e">
        <f t="shared" si="3"/>
        <v>#VALUE!</v>
      </c>
      <c r="BK12" s="23" t="s">
        <v>416</v>
      </c>
      <c r="BL12" s="132" t="str">
        <f>IF(BD12&gt;=BA12,"Up","Down")</f>
        <v>Up</v>
      </c>
    </row>
    <row r="13" spans="1:64" s="25" customFormat="1">
      <c r="A13" s="356"/>
      <c r="B13" s="2" t="s">
        <v>172</v>
      </c>
      <c r="C13" s="3">
        <v>39</v>
      </c>
      <c r="D13" s="5">
        <v>0.96</v>
      </c>
      <c r="E13" s="5">
        <v>7.0000000000000007E-2</v>
      </c>
      <c r="F13" s="5">
        <v>1</v>
      </c>
      <c r="G13" s="5">
        <v>0.89670000000000005</v>
      </c>
      <c r="H13" s="3">
        <v>46</v>
      </c>
      <c r="I13" s="5">
        <v>0.969044685990338</v>
      </c>
      <c r="J13" s="5">
        <v>4.3448399964484602E-2</v>
      </c>
      <c r="K13" s="5">
        <v>1</v>
      </c>
      <c r="L13" s="5">
        <v>0.83869948609688405</v>
      </c>
      <c r="M13" s="3">
        <v>85</v>
      </c>
      <c r="N13" s="5">
        <v>0.96489477124182998</v>
      </c>
      <c r="O13" s="5">
        <v>5.5630898804309298E-2</v>
      </c>
      <c r="P13" s="5">
        <v>1</v>
      </c>
      <c r="Q13" s="5">
        <v>0.86531148659360801</v>
      </c>
      <c r="R13" s="3">
        <v>55</v>
      </c>
      <c r="S13" s="5">
        <v>0.97897432986270605</v>
      </c>
      <c r="T13" s="5">
        <v>3.2281876080091899E-2</v>
      </c>
      <c r="U13" s="5">
        <v>1</v>
      </c>
      <c r="V13" s="5">
        <v>0.88212870162242996</v>
      </c>
      <c r="W13" s="10">
        <v>34</v>
      </c>
      <c r="X13" s="5">
        <v>0.97666470588235299</v>
      </c>
      <c r="Y13" s="5">
        <v>6.7173101442424499E-2</v>
      </c>
      <c r="Z13" s="5">
        <v>1</v>
      </c>
      <c r="AA13" s="5">
        <v>0.77514540155507905</v>
      </c>
      <c r="AB13" s="33">
        <v>20</v>
      </c>
      <c r="AC13" s="51">
        <v>0.91005000000000003</v>
      </c>
      <c r="AD13" s="51">
        <v>1</v>
      </c>
      <c r="AE13" s="51">
        <v>0.815505955683137</v>
      </c>
      <c r="AF13" s="33">
        <v>10</v>
      </c>
      <c r="AG13" s="51">
        <v>1</v>
      </c>
      <c r="AH13" s="51">
        <v>1</v>
      </c>
      <c r="AI13" s="51">
        <v>1</v>
      </c>
      <c r="AJ13" s="53">
        <v>35</v>
      </c>
      <c r="AK13" s="51">
        <v>0.99260882352941204</v>
      </c>
      <c r="AL13" s="51">
        <v>1.0535089071678301</v>
      </c>
      <c r="AM13" s="51">
        <v>0.93170873989099801</v>
      </c>
      <c r="AN13" s="53">
        <v>12</v>
      </c>
      <c r="AO13" s="51">
        <v>0.99270833333333297</v>
      </c>
      <c r="AP13" s="51">
        <v>1.0073726108591301</v>
      </c>
      <c r="AQ13" s="51">
        <v>0.94871550075594802</v>
      </c>
      <c r="AR13" s="189">
        <f t="shared" si="4"/>
        <v>0.99392647058823536</v>
      </c>
      <c r="AS13" s="91">
        <v>34</v>
      </c>
      <c r="AT13" s="81">
        <v>0.96344117647058813</v>
      </c>
      <c r="AU13" s="81">
        <v>1</v>
      </c>
      <c r="AV13" s="81">
        <v>0.88068832040407052</v>
      </c>
      <c r="AW13" s="89">
        <v>12</v>
      </c>
      <c r="AX13" s="81">
        <v>0.97299999999999998</v>
      </c>
      <c r="AY13" s="81">
        <v>3.2568808279199772E-2</v>
      </c>
      <c r="AZ13" s="81">
        <v>1.0707064248375993</v>
      </c>
      <c r="BA13" s="185">
        <f t="shared" si="0"/>
        <v>0.9659347826086957</v>
      </c>
      <c r="BB13" s="185">
        <v>0.97888888888888892</v>
      </c>
      <c r="BC13" s="400">
        <f>IFERROR(VLOOKUP($B13,'2019自动化'!$B:$Q,2,0),0)</f>
        <v>0</v>
      </c>
      <c r="BD13" s="217">
        <f>IFERROR(VLOOKUP($B13,'2019自动化'!$B:$Q,3,0),0)</f>
        <v>0</v>
      </c>
      <c r="BE13" s="401" t="str">
        <f>IFERROR(VLOOKUP($B13,'2019自动化'!$B:$Q,4,0),0)</f>
        <v/>
      </c>
      <c r="BF13" s="401" t="str">
        <f>IFERROR(VLOOKUP($B13,'2019自动化'!$B:$Q,5,0),0)</f>
        <v/>
      </c>
      <c r="BG13" s="401" t="str">
        <f>IFERROR(VLOOKUP($B13,'2019自动化'!$B:$Q,6,0),0)</f>
        <v/>
      </c>
      <c r="BH13" s="23">
        <f t="shared" si="6"/>
        <v>0</v>
      </c>
      <c r="BI13" s="23" t="e">
        <f t="shared" si="2"/>
        <v>#VALUE!</v>
      </c>
      <c r="BJ13" s="23" t="e">
        <f t="shared" si="3"/>
        <v>#VALUE!</v>
      </c>
      <c r="BK13" s="23" t="s">
        <v>417</v>
      </c>
      <c r="BL13" s="132" t="str">
        <f>IF(BD13&gt;=BA13,"Up","Down")</f>
        <v>Down</v>
      </c>
    </row>
    <row r="14" spans="1:64" s="25" customFormat="1">
      <c r="A14" s="174"/>
      <c r="B14" s="182" t="s">
        <v>128</v>
      </c>
      <c r="C14" s="180"/>
      <c r="D14" s="158"/>
      <c r="E14" s="158"/>
      <c r="F14" s="158"/>
      <c r="G14" s="158"/>
      <c r="H14" s="157"/>
      <c r="I14" s="158"/>
      <c r="J14" s="158"/>
      <c r="K14" s="158"/>
      <c r="L14" s="158"/>
      <c r="M14" s="157"/>
      <c r="N14" s="158"/>
      <c r="O14" s="158"/>
      <c r="P14" s="158"/>
      <c r="Q14" s="158"/>
      <c r="R14" s="157"/>
      <c r="S14" s="158"/>
      <c r="T14" s="158"/>
      <c r="U14" s="158"/>
      <c r="V14" s="158"/>
      <c r="W14" s="159"/>
      <c r="X14" s="32"/>
      <c r="Y14" s="32"/>
      <c r="Z14" s="32"/>
      <c r="AA14" s="32"/>
      <c r="AB14" s="160">
        <v>22</v>
      </c>
      <c r="AC14" s="32">
        <v>0.886513636363636</v>
      </c>
      <c r="AD14" s="32">
        <v>0.98363591714535104</v>
      </c>
      <c r="AE14" s="32">
        <v>0.78939135558192197</v>
      </c>
      <c r="AF14" s="160" t="s">
        <v>87</v>
      </c>
      <c r="AG14" s="32" t="s">
        <v>87</v>
      </c>
      <c r="AH14" s="32" t="s">
        <v>87</v>
      </c>
      <c r="AI14" s="32" t="s">
        <v>87</v>
      </c>
      <c r="AJ14" s="161"/>
      <c r="AK14" s="32"/>
      <c r="AL14" s="32"/>
      <c r="AM14" s="32"/>
      <c r="AN14" s="161"/>
      <c r="AO14" s="32"/>
      <c r="AP14" s="32"/>
      <c r="AQ14" s="162"/>
      <c r="AR14" s="32">
        <v>0.886513636363636</v>
      </c>
      <c r="AS14" s="161">
        <v>39</v>
      </c>
      <c r="AT14" s="32">
        <v>0.93998461538461531</v>
      </c>
      <c r="AU14" s="32">
        <v>1</v>
      </c>
      <c r="AV14" s="32">
        <v>0.76555960081244445</v>
      </c>
      <c r="AW14" s="163">
        <v>17</v>
      </c>
      <c r="AX14" s="32">
        <v>0.95717058823529422</v>
      </c>
      <c r="AY14" s="32">
        <v>4.2416060706793025E-2</v>
      </c>
      <c r="AZ14" s="32">
        <v>1.0844187703556734</v>
      </c>
      <c r="BA14" s="185">
        <f t="shared" si="0"/>
        <v>0.9452017857142857</v>
      </c>
      <c r="BB14" s="185">
        <v>0.97599999999999998</v>
      </c>
      <c r="BC14" s="400">
        <f>IFERROR(VLOOKUP($B14,'2019自动化'!$B:$Q,2,0),0)</f>
        <v>5</v>
      </c>
      <c r="BD14" s="217">
        <f>IFERROR(VLOOKUP($B14,'2019自动化'!$B:$Q,3,0),0)</f>
        <v>0.98619999999999997</v>
      </c>
      <c r="BE14" s="401" t="str">
        <f>IFERROR(VLOOKUP($B14,'2019自动化'!$B:$Q,4,0),0)</f>
        <v/>
      </c>
      <c r="BF14" s="401" t="str">
        <f>IFERROR(VLOOKUP($B14,'2019自动化'!$B:$Q,5,0),0)</f>
        <v/>
      </c>
      <c r="BG14" s="401" t="str">
        <f>IFERROR(VLOOKUP($B14,'2019自动化'!$B:$Q,6,0),0)</f>
        <v/>
      </c>
      <c r="BH14" s="164">
        <f t="shared" si="6"/>
        <v>1</v>
      </c>
      <c r="BI14" s="165" t="e">
        <f t="shared" si="2"/>
        <v>#VALUE!</v>
      </c>
      <c r="BJ14" s="164" t="e">
        <f t="shared" si="3"/>
        <v>#VALUE!</v>
      </c>
      <c r="BK14" s="164"/>
      <c r="BL14" s="164"/>
    </row>
    <row r="15" spans="1:64">
      <c r="A15" s="183"/>
      <c r="B15" s="21" t="s">
        <v>129</v>
      </c>
      <c r="C15" s="181">
        <v>12</v>
      </c>
      <c r="D15" s="46">
        <v>0</v>
      </c>
      <c r="E15" s="46">
        <v>0</v>
      </c>
      <c r="F15" s="46">
        <v>0</v>
      </c>
      <c r="G15" s="46">
        <v>0</v>
      </c>
      <c r="H15" s="28">
        <v>41</v>
      </c>
      <c r="I15" s="46">
        <v>0</v>
      </c>
      <c r="J15" s="46">
        <v>0</v>
      </c>
      <c r="K15" s="46">
        <v>0</v>
      </c>
      <c r="L15" s="46">
        <v>0</v>
      </c>
      <c r="M15" s="28">
        <v>53</v>
      </c>
      <c r="N15" s="46">
        <v>0</v>
      </c>
      <c r="O15" s="46">
        <v>0</v>
      </c>
      <c r="P15" s="46">
        <v>0</v>
      </c>
      <c r="Q15" s="46">
        <v>0</v>
      </c>
      <c r="R15" s="28">
        <v>50</v>
      </c>
      <c r="S15" s="46">
        <v>0</v>
      </c>
      <c r="T15" s="46">
        <v>0</v>
      </c>
      <c r="U15" s="46">
        <v>0</v>
      </c>
      <c r="V15" s="46">
        <v>0</v>
      </c>
      <c r="W15" s="49"/>
      <c r="X15" s="46"/>
      <c r="Y15" s="46"/>
      <c r="Z15" s="46"/>
      <c r="AA15" s="46"/>
      <c r="AB15" s="46"/>
      <c r="AC15" s="46"/>
      <c r="AD15" s="46"/>
      <c r="AE15" s="46"/>
      <c r="AF15" s="46" t="s">
        <v>87</v>
      </c>
      <c r="AG15" s="46" t="s">
        <v>87</v>
      </c>
      <c r="AH15" s="46" t="s">
        <v>87</v>
      </c>
      <c r="AI15" s="46" t="s">
        <v>87</v>
      </c>
      <c r="AJ15" s="46">
        <v>37</v>
      </c>
      <c r="AK15" s="46">
        <v>0</v>
      </c>
      <c r="AL15" s="46">
        <v>0</v>
      </c>
      <c r="AM15" s="46">
        <v>0</v>
      </c>
      <c r="AN15" s="46"/>
      <c r="AO15" s="46"/>
      <c r="AP15" s="46"/>
      <c r="AQ15" s="94"/>
      <c r="AR15" s="43" t="e">
        <f t="shared" si="4"/>
        <v>#VALUE!</v>
      </c>
      <c r="AS15" s="91">
        <v>27</v>
      </c>
      <c r="AT15" s="91">
        <v>0</v>
      </c>
      <c r="AU15" s="91">
        <v>0</v>
      </c>
      <c r="AV15" s="91">
        <v>0</v>
      </c>
      <c r="AW15" s="89">
        <v>17</v>
      </c>
      <c r="AX15" s="91">
        <v>0.11764705882352941</v>
      </c>
      <c r="AY15" s="91">
        <v>0.33210558207753571</v>
      </c>
      <c r="AZ15" s="91">
        <v>0.44975264090106515</v>
      </c>
      <c r="BA15" s="184">
        <f t="shared" si="0"/>
        <v>4.5454545454545456E-2</v>
      </c>
      <c r="BB15" s="184">
        <v>0</v>
      </c>
      <c r="BC15" s="400">
        <f>IFERROR(VLOOKUP($B15,'2019自动化'!$B:$Q,2,0),0)</f>
        <v>0</v>
      </c>
      <c r="BD15" s="217">
        <f>IFERROR(VLOOKUP($B15,'2019自动化'!$B:$Q,3,0),0)</f>
        <v>0</v>
      </c>
      <c r="BE15" s="401" t="str">
        <f>IFERROR(VLOOKUP($B15,'2019自动化'!$B:$Q,4,0),0)</f>
        <v/>
      </c>
      <c r="BF15" s="401" t="str">
        <f>IFERROR(VLOOKUP($B15,'2019自动化'!$B:$Q,5,0),0)</f>
        <v/>
      </c>
      <c r="BG15" s="401" t="str">
        <f>IFERROR(VLOOKUP($B15,'2019自动化'!$B:$Q,6,0),0)</f>
        <v/>
      </c>
      <c r="BH15" s="4">
        <f t="shared" si="1"/>
        <v>0</v>
      </c>
      <c r="BI15" s="4" t="e">
        <f t="shared" si="2"/>
        <v>#VALUE!</v>
      </c>
      <c r="BJ15" s="132" t="e">
        <f t="shared" si="3"/>
        <v>#VALUE!</v>
      </c>
      <c r="BK15" s="132"/>
      <c r="BL15" s="132"/>
    </row>
    <row r="16" spans="1:64">
      <c r="A16" s="183"/>
      <c r="B16" s="21" t="s">
        <v>184</v>
      </c>
      <c r="C16" s="47"/>
      <c r="D16" s="48"/>
      <c r="E16" s="48"/>
      <c r="F16" s="48"/>
      <c r="G16" s="48"/>
      <c r="H16" s="47"/>
      <c r="I16" s="48"/>
      <c r="J16" s="48"/>
      <c r="K16" s="48"/>
      <c r="L16" s="48"/>
      <c r="M16" s="47"/>
      <c r="N16" s="48"/>
      <c r="O16" s="48"/>
      <c r="P16" s="48"/>
      <c r="Q16" s="48"/>
      <c r="R16" s="47"/>
      <c r="S16" s="48"/>
      <c r="T16" s="48"/>
      <c r="U16" s="48"/>
      <c r="V16" s="48"/>
      <c r="W16" s="73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3" t="e">
        <f t="shared" si="4"/>
        <v>#DIV/0!</v>
      </c>
      <c r="AS16" s="13">
        <v>12</v>
      </c>
      <c r="AT16" s="13">
        <v>0</v>
      </c>
      <c r="AU16" s="13">
        <v>0</v>
      </c>
      <c r="AV16" s="13">
        <v>0</v>
      </c>
      <c r="AW16" s="52">
        <v>9</v>
      </c>
      <c r="AX16" s="13">
        <v>0</v>
      </c>
      <c r="AY16" s="13">
        <v>0</v>
      </c>
      <c r="AZ16" s="13">
        <v>0</v>
      </c>
      <c r="BA16" s="184">
        <f t="shared" si="0"/>
        <v>0</v>
      </c>
      <c r="BB16" s="184"/>
      <c r="BC16" s="400">
        <f>IFERROR(VLOOKUP($B16,'2019自动化'!$B:$Q,2,0),0)</f>
        <v>0</v>
      </c>
      <c r="BD16" s="217">
        <f>IFERROR(VLOOKUP($B16,'2019自动化'!$B:$Q,3,0),0)</f>
        <v>0</v>
      </c>
      <c r="BE16" s="401" t="str">
        <f>IFERROR(VLOOKUP($B16,'2019自动化'!$B:$Q,4,0),0)</f>
        <v/>
      </c>
      <c r="BF16" s="401" t="str">
        <f>IFERROR(VLOOKUP($B16,'2019自动化'!$B:$Q,5,0),0)</f>
        <v/>
      </c>
      <c r="BG16" s="401" t="str">
        <f>IFERROR(VLOOKUP($B16,'2019自动化'!$B:$Q,6,0),0)</f>
        <v/>
      </c>
      <c r="BH16" s="4">
        <f t="shared" si="1"/>
        <v>0</v>
      </c>
      <c r="BI16" s="4" t="e">
        <f t="shared" si="2"/>
        <v>#VALUE!</v>
      </c>
      <c r="BJ16" s="132" t="e">
        <f t="shared" si="3"/>
        <v>#VALUE!</v>
      </c>
      <c r="BK16" s="132"/>
      <c r="BL16" s="132"/>
    </row>
    <row r="17" spans="1:64">
      <c r="A17" s="183"/>
      <c r="B17" s="21" t="s">
        <v>185</v>
      </c>
      <c r="C17" s="47"/>
      <c r="D17" s="48"/>
      <c r="E17" s="48"/>
      <c r="F17" s="48"/>
      <c r="G17" s="48"/>
      <c r="H17" s="47"/>
      <c r="I17" s="48"/>
      <c r="J17" s="48"/>
      <c r="K17" s="48"/>
      <c r="L17" s="48"/>
      <c r="M17" s="47"/>
      <c r="N17" s="48"/>
      <c r="O17" s="48"/>
      <c r="P17" s="48"/>
      <c r="Q17" s="48"/>
      <c r="R17" s="47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3" t="e">
        <f t="shared" si="4"/>
        <v>#DIV/0!</v>
      </c>
      <c r="AS17" s="89">
        <v>0</v>
      </c>
      <c r="AT17" s="93" t="s">
        <v>87</v>
      </c>
      <c r="AU17" s="93" t="s">
        <v>87</v>
      </c>
      <c r="AV17" s="93" t="s">
        <v>87</v>
      </c>
      <c r="AW17" s="89">
        <v>2</v>
      </c>
      <c r="AX17" s="93">
        <v>0</v>
      </c>
      <c r="AY17" s="93">
        <v>0</v>
      </c>
      <c r="AZ17" s="93">
        <v>0</v>
      </c>
      <c r="BA17" s="184" t="e">
        <f t="shared" si="0"/>
        <v>#VALUE!</v>
      </c>
      <c r="BB17" s="185"/>
      <c r="BC17" s="400">
        <f>IFERROR(VLOOKUP($B17,'2019自动化'!$B:$Q,2,0),0)</f>
        <v>0</v>
      </c>
      <c r="BD17" s="217">
        <f>IFERROR(VLOOKUP($B17,'2019自动化'!$B:$Q,3,0),0)</f>
        <v>0</v>
      </c>
      <c r="BE17" s="401" t="str">
        <f>IFERROR(VLOOKUP($B17,'2019自动化'!$B:$Q,4,0),0)</f>
        <v/>
      </c>
      <c r="BF17" s="401" t="str">
        <f>IFERROR(VLOOKUP($B17,'2019自动化'!$B:$Q,5,0),0)</f>
        <v/>
      </c>
      <c r="BG17" s="401" t="str">
        <f>IFERROR(VLOOKUP($B17,'2019自动化'!$B:$Q,6,0),0)</f>
        <v/>
      </c>
      <c r="BH17" s="23">
        <f t="shared" ref="BH17" si="7">IFERROR(IF(BD17*1.1&gt;100%,100%,BD17*1.1),"")</f>
        <v>0</v>
      </c>
      <c r="BI17" s="4" t="e">
        <f t="shared" si="2"/>
        <v>#VALUE!</v>
      </c>
      <c r="BJ17" s="23" t="e">
        <f t="shared" si="3"/>
        <v>#VALUE!</v>
      </c>
      <c r="BK17" s="23"/>
      <c r="BL17" s="23"/>
    </row>
  </sheetData>
  <autoFilter ref="BK1:BK17"/>
  <mergeCells count="16">
    <mergeCell ref="A3:A5"/>
    <mergeCell ref="A7:A13"/>
    <mergeCell ref="R1:V1"/>
    <mergeCell ref="W1:AA1"/>
    <mergeCell ref="AS1:AV1"/>
    <mergeCell ref="C1:G1"/>
    <mergeCell ref="H1:L1"/>
    <mergeCell ref="M1:Q1"/>
    <mergeCell ref="BH1:BJ1"/>
    <mergeCell ref="B1:B2"/>
    <mergeCell ref="BC1:BG1"/>
    <mergeCell ref="AB1:AE1"/>
    <mergeCell ref="AF1:AI1"/>
    <mergeCell ref="AJ1:AM1"/>
    <mergeCell ref="AN1:AQ1"/>
    <mergeCell ref="AW1:AZ1"/>
  </mergeCells>
  <phoneticPr fontId="26" type="noConversion"/>
  <conditionalFormatting sqref="BC4:BC17">
    <cfRule type="cellIs" dxfId="18" priority="1" operator="equal">
      <formula>0</formula>
    </cfRule>
  </conditionalFormatting>
  <pageMargins left="0.74791666666666701" right="0.74791666666666701" top="0.98402777777777795" bottom="0.98402777777777795" header="0.51180555555555596" footer="0.51180555555555596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15"/>
  <sheetViews>
    <sheetView workbookViewId="0">
      <pane xSplit="31" ySplit="3" topLeftCell="AF4" activePane="bottomRight" state="frozen"/>
      <selection pane="topRight" activeCell="AQ1" sqref="AQ1"/>
      <selection pane="bottomLeft" activeCell="A4" sqref="A4"/>
      <selection pane="bottomRight" activeCell="AB4" sqref="AB4"/>
    </sheetView>
  </sheetViews>
  <sheetFormatPr defaultColWidth="9" defaultRowHeight="14.25"/>
  <cols>
    <col min="1" max="1" width="16.125" style="26" customWidth="1"/>
    <col min="2" max="2" width="36.125" style="26" customWidth="1"/>
    <col min="3" max="3" width="7.125" style="26" hidden="1" customWidth="1"/>
    <col min="4" max="4" width="10.375" style="26" hidden="1" customWidth="1"/>
    <col min="5" max="5" width="7.125" style="26" hidden="1" customWidth="1"/>
    <col min="6" max="7" width="8.75" style="26" hidden="1" customWidth="1"/>
    <col min="8" max="8" width="7.125" style="26" hidden="1" customWidth="1"/>
    <col min="9" max="10" width="10.375" style="26" hidden="1" customWidth="1"/>
    <col min="11" max="11" width="8.75" style="26" hidden="1" customWidth="1"/>
    <col min="12" max="24" width="10" style="26" hidden="1" customWidth="1"/>
    <col min="25" max="26" width="10" style="26" customWidth="1"/>
    <col min="27" max="27" width="11.5" style="26" customWidth="1"/>
    <col min="28" max="28" width="9" style="26"/>
    <col min="29" max="29" width="7" style="26" customWidth="1"/>
    <col min="30" max="31" width="9" style="26"/>
    <col min="32" max="36" width="8.125" customWidth="1"/>
    <col min="37" max="16384" width="9" style="26"/>
  </cols>
  <sheetData>
    <row r="1" spans="1:36" s="24" customFormat="1" ht="34.5" customHeight="1">
      <c r="A1" s="332" t="s">
        <v>403</v>
      </c>
      <c r="B1" s="332"/>
      <c r="C1" s="357" t="s">
        <v>159</v>
      </c>
      <c r="D1" s="357"/>
      <c r="E1" s="357"/>
      <c r="F1" s="357"/>
      <c r="G1" s="357"/>
      <c r="H1" s="357" t="s">
        <v>160</v>
      </c>
      <c r="I1" s="357"/>
      <c r="J1" s="357"/>
      <c r="K1" s="357"/>
      <c r="L1" s="357"/>
      <c r="M1" s="358" t="s">
        <v>161</v>
      </c>
      <c r="N1" s="358"/>
      <c r="O1" s="358"/>
      <c r="P1" s="358"/>
      <c r="Q1" s="358" t="s">
        <v>200</v>
      </c>
      <c r="R1" s="358"/>
      <c r="S1" s="358"/>
      <c r="T1" s="358"/>
      <c r="U1" s="359" t="s">
        <v>256</v>
      </c>
      <c r="V1" s="360"/>
      <c r="W1" s="360"/>
      <c r="X1" s="361"/>
      <c r="Y1" s="186" t="s">
        <v>422</v>
      </c>
      <c r="Z1" s="186" t="s">
        <v>571</v>
      </c>
      <c r="AA1" s="330" t="s">
        <v>572</v>
      </c>
      <c r="AB1" s="330"/>
      <c r="AC1" s="330"/>
      <c r="AD1" s="330"/>
      <c r="AE1" s="330"/>
      <c r="AF1" s="327" t="s">
        <v>570</v>
      </c>
      <c r="AG1" s="328"/>
      <c r="AH1" s="329"/>
      <c r="AI1" s="176" t="s">
        <v>414</v>
      </c>
      <c r="AJ1" s="176" t="s">
        <v>418</v>
      </c>
    </row>
    <row r="2" spans="1:36" s="25" customFormat="1" ht="14.25" customHeight="1">
      <c r="A2" s="332"/>
      <c r="B2" s="332"/>
      <c r="C2" s="18" t="s">
        <v>0</v>
      </c>
      <c r="D2" s="18" t="s">
        <v>1</v>
      </c>
      <c r="E2" s="18" t="s">
        <v>29</v>
      </c>
      <c r="F2" s="18" t="s">
        <v>2</v>
      </c>
      <c r="G2" s="18" t="s">
        <v>3</v>
      </c>
      <c r="H2" s="18" t="s">
        <v>0</v>
      </c>
      <c r="I2" s="18" t="s">
        <v>1</v>
      </c>
      <c r="J2" s="18" t="s">
        <v>29</v>
      </c>
      <c r="K2" s="18" t="s">
        <v>2</v>
      </c>
      <c r="L2" s="18" t="s">
        <v>3</v>
      </c>
      <c r="M2" s="31" t="s">
        <v>0</v>
      </c>
      <c r="N2" s="31" t="s">
        <v>425</v>
      </c>
      <c r="O2" s="31" t="s">
        <v>2</v>
      </c>
      <c r="P2" s="31" t="s">
        <v>3</v>
      </c>
      <c r="Q2" s="72" t="s">
        <v>0</v>
      </c>
      <c r="R2" s="72" t="s">
        <v>1</v>
      </c>
      <c r="S2" s="72" t="s">
        <v>2</v>
      </c>
      <c r="T2" s="72" t="s">
        <v>3</v>
      </c>
      <c r="U2" s="72" t="s">
        <v>0</v>
      </c>
      <c r="V2" s="72" t="s">
        <v>1</v>
      </c>
      <c r="W2" s="72" t="s">
        <v>2</v>
      </c>
      <c r="X2" s="72" t="s">
        <v>3</v>
      </c>
      <c r="Y2" s="72"/>
      <c r="Z2" s="72"/>
      <c r="AA2" s="122" t="s">
        <v>341</v>
      </c>
      <c r="AB2" s="122" t="s">
        <v>364</v>
      </c>
      <c r="AC2" s="122" t="s">
        <v>363</v>
      </c>
      <c r="AD2" s="122" t="s">
        <v>2</v>
      </c>
      <c r="AE2" s="122" t="s">
        <v>3</v>
      </c>
      <c r="AF2" s="146" t="s">
        <v>399</v>
      </c>
      <c r="AG2" s="146" t="s">
        <v>401</v>
      </c>
      <c r="AH2" s="146" t="s">
        <v>400</v>
      </c>
      <c r="AI2" s="169"/>
      <c r="AJ2" s="169"/>
    </row>
    <row r="3" spans="1:36" s="25" customFormat="1" ht="29.25" customHeight="1">
      <c r="A3" s="362" t="s">
        <v>21</v>
      </c>
      <c r="B3" s="27" t="s">
        <v>4</v>
      </c>
      <c r="C3" s="3" t="s">
        <v>5</v>
      </c>
      <c r="D3" s="5" t="s">
        <v>6</v>
      </c>
      <c r="E3" s="5" t="s">
        <v>7</v>
      </c>
      <c r="F3" s="5" t="s">
        <v>8</v>
      </c>
      <c r="G3" s="5" t="s">
        <v>9</v>
      </c>
      <c r="H3" s="3" t="s">
        <v>10</v>
      </c>
      <c r="I3" s="5" t="s">
        <v>11</v>
      </c>
      <c r="J3" s="5" t="s">
        <v>12</v>
      </c>
      <c r="K3" s="5" t="s">
        <v>13</v>
      </c>
      <c r="L3" s="5" t="s">
        <v>20</v>
      </c>
      <c r="M3" s="32" t="s">
        <v>136</v>
      </c>
      <c r="N3" s="32" t="s">
        <v>137</v>
      </c>
      <c r="O3" s="32" t="s">
        <v>138</v>
      </c>
      <c r="P3" s="32" t="s">
        <v>139</v>
      </c>
      <c r="Q3" s="32" t="s">
        <v>140</v>
      </c>
      <c r="R3" s="32" t="s">
        <v>141</v>
      </c>
      <c r="S3" s="32" t="s">
        <v>142</v>
      </c>
      <c r="T3" s="32" t="s">
        <v>143</v>
      </c>
      <c r="U3" s="32" t="s">
        <v>144</v>
      </c>
      <c r="V3" s="32" t="s">
        <v>145</v>
      </c>
      <c r="W3" s="32" t="s">
        <v>146</v>
      </c>
      <c r="X3" s="32" t="s">
        <v>147</v>
      </c>
      <c r="Y3" s="32" t="s">
        <v>151</v>
      </c>
      <c r="Z3" s="32" t="s">
        <v>151</v>
      </c>
      <c r="AA3" s="20" t="s">
        <v>53</v>
      </c>
      <c r="AB3" s="20" t="s">
        <v>164</v>
      </c>
      <c r="AC3" s="20" t="s">
        <v>246</v>
      </c>
      <c r="AD3" s="20" t="s">
        <v>54</v>
      </c>
      <c r="AE3" s="20" t="s">
        <v>55</v>
      </c>
      <c r="AF3" s="20"/>
      <c r="AG3" s="20"/>
      <c r="AH3" s="20"/>
      <c r="AI3" s="176"/>
      <c r="AJ3" s="176"/>
    </row>
    <row r="4" spans="1:36" s="25" customFormat="1">
      <c r="A4" s="362"/>
      <c r="B4" s="59" t="s">
        <v>173</v>
      </c>
      <c r="C4" s="3">
        <v>9</v>
      </c>
      <c r="D4" s="5">
        <v>1</v>
      </c>
      <c r="E4" s="5">
        <v>0</v>
      </c>
      <c r="F4" s="5">
        <v>1</v>
      </c>
      <c r="G4" s="5">
        <v>1</v>
      </c>
      <c r="H4" s="3">
        <v>9</v>
      </c>
      <c r="I4" s="5">
        <v>1.44444444444444</v>
      </c>
      <c r="J4" s="5">
        <v>1.3333333333333299</v>
      </c>
      <c r="K4" s="5">
        <v>1</v>
      </c>
      <c r="L4" s="5">
        <v>0.11111111111111099</v>
      </c>
      <c r="M4" s="33">
        <v>16</v>
      </c>
      <c r="N4" s="34">
        <v>0.99559859154929597</v>
      </c>
      <c r="O4" s="34">
        <v>1</v>
      </c>
      <c r="P4" s="34">
        <v>0.94278169014084501</v>
      </c>
      <c r="Q4" s="76">
        <v>12</v>
      </c>
      <c r="R4" s="77">
        <v>0.97800718201964632</v>
      </c>
      <c r="S4" s="77">
        <v>1</v>
      </c>
      <c r="T4" s="77">
        <v>0.86487572505514587</v>
      </c>
      <c r="U4" s="76">
        <v>45</v>
      </c>
      <c r="V4" s="77">
        <v>0.97174516447642878</v>
      </c>
      <c r="W4" s="111">
        <v>1.1212437969155282</v>
      </c>
      <c r="X4" s="111">
        <v>0.82224653203732923</v>
      </c>
      <c r="Y4" s="188">
        <f>(Q4*R4+U4*V4)/(Q4+U4)</f>
        <v>0.97306348395921149</v>
      </c>
      <c r="Z4" s="188">
        <v>0.97799392197020729</v>
      </c>
      <c r="AA4" s="400">
        <f>IFERROR(VLOOKUP($B4,'2019维护'!$B:$Q,2,0),0)</f>
        <v>3</v>
      </c>
      <c r="AB4" s="188">
        <f>IFERROR(VLOOKUP($B4,'2019维护'!$B:$Q,3,0),0)</f>
        <v>0.99159663865546221</v>
      </c>
      <c r="AC4" s="401" t="str">
        <f>IFERROR(VLOOKUP($B4,'2019维护'!$B:$Q,4,0),0)</f>
        <v/>
      </c>
      <c r="AD4" s="401" t="str">
        <f>IFERROR(VLOOKUP($B4,'2019维护'!$B:$Q,5,0),0)</f>
        <v/>
      </c>
      <c r="AE4" s="401" t="str">
        <f>IFERROR(VLOOKUP($B4,'2019维护'!$B:$Q,6,0),0)</f>
        <v/>
      </c>
      <c r="AF4" s="23">
        <f t="shared" ref="AF4" si="0">IFERROR(IF(AB4*1.1&gt;100%,100%,AB4*1.1),"")</f>
        <v>1</v>
      </c>
      <c r="AG4" s="23" t="e">
        <f t="shared" ref="AG4:AG15" si="1">AD4*1.1</f>
        <v>#VALUE!</v>
      </c>
      <c r="AH4" s="23" t="e">
        <f>AE4*1.1</f>
        <v>#VALUE!</v>
      </c>
      <c r="AI4" s="23" t="s">
        <v>413</v>
      </c>
      <c r="AJ4" s="23" t="str">
        <f>IF(AB4&gt;=Y4,"Up","Down")</f>
        <v>Up</v>
      </c>
    </row>
    <row r="5" spans="1:36" s="25" customFormat="1">
      <c r="A5" s="362" t="s">
        <v>22</v>
      </c>
      <c r="B5" s="2" t="s">
        <v>174</v>
      </c>
      <c r="C5" s="3">
        <v>8</v>
      </c>
      <c r="D5" s="11">
        <v>0.58192474906629299</v>
      </c>
      <c r="E5" s="11">
        <v>0.100757974668131</v>
      </c>
      <c r="F5" s="11">
        <v>0.884198673070686</v>
      </c>
      <c r="G5" s="11">
        <v>0.27965082506190098</v>
      </c>
      <c r="H5" s="3">
        <v>8</v>
      </c>
      <c r="I5" s="11">
        <v>2.835</v>
      </c>
      <c r="J5" s="11">
        <v>4.9652823254502403</v>
      </c>
      <c r="K5" s="11">
        <v>7.8002823254502403</v>
      </c>
      <c r="L5" s="11">
        <v>0</v>
      </c>
      <c r="M5" s="15">
        <v>16</v>
      </c>
      <c r="N5" s="6">
        <v>3.1520220303961701</v>
      </c>
      <c r="O5" s="6">
        <v>6.3138061663227703</v>
      </c>
      <c r="P5" s="6">
        <v>0</v>
      </c>
      <c r="Q5" s="76">
        <v>12</v>
      </c>
      <c r="R5" s="78">
        <v>1.0822735473897929</v>
      </c>
      <c r="S5" s="78">
        <v>1.262700457741976</v>
      </c>
      <c r="T5" s="78">
        <v>0.9018466370376097</v>
      </c>
      <c r="U5" s="78">
        <v>40</v>
      </c>
      <c r="V5" s="78">
        <v>0.6</v>
      </c>
      <c r="W5" s="78">
        <v>0.7</v>
      </c>
      <c r="X5" s="78">
        <v>0.5</v>
      </c>
      <c r="Y5" s="187">
        <f t="shared" ref="Y5:Y15" si="2">(Q5*R5+U5*V5)/(Q5+U5)</f>
        <v>0.7112938955514907</v>
      </c>
      <c r="Z5" s="187">
        <v>1.0335795081147565</v>
      </c>
      <c r="AA5" s="400">
        <f>IFERROR(VLOOKUP($B5,'2019维护'!$B:$Q,2,0),0)</f>
        <v>0</v>
      </c>
      <c r="AB5" s="217">
        <f>IFERROR(VLOOKUP($B5,'2019维护'!$B:$Q,3,0),0)</f>
        <v>0</v>
      </c>
      <c r="AC5" s="401">
        <f>IFERROR(VLOOKUP($B5,'2019维护'!$B:$Q,4,0),0)</f>
        <v>0</v>
      </c>
      <c r="AD5" s="401">
        <f>IFERROR(VLOOKUP($B5,'2019维护'!$B:$Q,5,0),0)</f>
        <v>0</v>
      </c>
      <c r="AE5" s="401">
        <f>IFERROR(VLOOKUP($B5,'2019维护'!$B:$Q,6,0),0)</f>
        <v>0</v>
      </c>
      <c r="AF5" s="132">
        <f>AB5*0.9</f>
        <v>0</v>
      </c>
      <c r="AG5" s="132">
        <f>AD5*0.9</f>
        <v>0</v>
      </c>
      <c r="AH5" s="132">
        <f>AE5*0.9</f>
        <v>0</v>
      </c>
      <c r="AI5" s="4" t="s">
        <v>413</v>
      </c>
      <c r="AJ5" s="23" t="str">
        <f>IF(AB5&lt;=Y5,"Good","Bad")</f>
        <v>Good</v>
      </c>
    </row>
    <row r="6" spans="1:36" s="25" customFormat="1">
      <c r="A6" s="362"/>
      <c r="B6" s="21" t="s">
        <v>192</v>
      </c>
      <c r="C6" s="3"/>
      <c r="D6" s="11"/>
      <c r="E6" s="11"/>
      <c r="F6" s="11"/>
      <c r="G6" s="11"/>
      <c r="H6" s="3"/>
      <c r="I6" s="11"/>
      <c r="J6" s="11"/>
      <c r="K6" s="11"/>
      <c r="L6" s="11"/>
      <c r="M6" s="15"/>
      <c r="N6" s="6"/>
      <c r="O6" s="6"/>
      <c r="P6" s="6"/>
      <c r="Q6" s="76">
        <v>12</v>
      </c>
      <c r="R6" s="78">
        <v>1.6666666666666667</v>
      </c>
      <c r="S6" s="78">
        <v>4.8097205762883073</v>
      </c>
      <c r="T6" s="78">
        <v>0</v>
      </c>
      <c r="U6" s="76">
        <v>45</v>
      </c>
      <c r="V6" s="112">
        <v>2.4444444444444446</v>
      </c>
      <c r="W6" s="112">
        <v>7.3040906883763643</v>
      </c>
      <c r="X6" s="112">
        <v>0</v>
      </c>
      <c r="Y6" s="187">
        <f t="shared" si="2"/>
        <v>2.2807017543859649</v>
      </c>
      <c r="Z6" s="187">
        <v>2.3333333333333335</v>
      </c>
      <c r="AA6" s="400">
        <f>IFERROR(VLOOKUP($B6,'2019维护'!$B:$Q,2,0),0)</f>
        <v>0</v>
      </c>
      <c r="AB6" s="217">
        <f>IFERROR(VLOOKUP($B6,'2019维护'!$B:$Q,3,0),0)</f>
        <v>0</v>
      </c>
      <c r="AC6" s="401">
        <f>IFERROR(VLOOKUP($B6,'2019维护'!$B:$Q,4,0),0)</f>
        <v>0</v>
      </c>
      <c r="AD6" s="401">
        <f>IFERROR(VLOOKUP($B6,'2019维护'!$B:$Q,5,0),0)</f>
        <v>0</v>
      </c>
      <c r="AE6" s="401">
        <f>IFERROR(VLOOKUP($B6,'2019维护'!$B:$Q,6,0),0)</f>
        <v>0</v>
      </c>
      <c r="AF6" s="4">
        <f>AB6*0.9</f>
        <v>0</v>
      </c>
      <c r="AG6" s="4">
        <f t="shared" si="1"/>
        <v>0</v>
      </c>
      <c r="AH6" s="4">
        <f t="shared" ref="AH6:AH15" si="3">AE6*1.1</f>
        <v>0</v>
      </c>
      <c r="AI6" s="4"/>
      <c r="AJ6" s="4"/>
    </row>
    <row r="7" spans="1:36" s="25" customFormat="1">
      <c r="A7" s="362"/>
      <c r="B7" s="21" t="s">
        <v>193</v>
      </c>
      <c r="C7" s="3"/>
      <c r="D7" s="11"/>
      <c r="E7" s="11"/>
      <c r="F7" s="11"/>
      <c r="G7" s="11"/>
      <c r="H7" s="3"/>
      <c r="I7" s="11"/>
      <c r="J7" s="11"/>
      <c r="K7" s="11"/>
      <c r="L7" s="11"/>
      <c r="M7" s="15"/>
      <c r="N7" s="6"/>
      <c r="O7" s="6"/>
      <c r="P7" s="6"/>
      <c r="Q7" s="76">
        <v>12</v>
      </c>
      <c r="R7" s="77">
        <v>0.94639227115268942</v>
      </c>
      <c r="S7" s="77">
        <v>1</v>
      </c>
      <c r="T7" s="77">
        <v>0.84558825500218826</v>
      </c>
      <c r="U7" s="76">
        <v>52</v>
      </c>
      <c r="V7" s="111">
        <v>0.97877016830114161</v>
      </c>
      <c r="W7" s="111">
        <v>1.1048017124835607</v>
      </c>
      <c r="X7" s="111">
        <v>0.85273862411872248</v>
      </c>
      <c r="Y7" s="188">
        <f t="shared" si="2"/>
        <v>0.97269931258580677</v>
      </c>
      <c r="Z7" s="188">
        <v>0.95901102701496721</v>
      </c>
      <c r="AA7" s="400">
        <f>IFERROR(VLOOKUP($B7,'2019维护'!$B:$Q,2,0),0)</f>
        <v>0</v>
      </c>
      <c r="AB7" s="217">
        <f>IFERROR(VLOOKUP($B7,'2019维护'!$B:$Q,3,0),0)</f>
        <v>0</v>
      </c>
      <c r="AC7" s="401">
        <f>IFERROR(VLOOKUP($B7,'2019维护'!$B:$Q,4,0),0)</f>
        <v>0</v>
      </c>
      <c r="AD7" s="401">
        <f>IFERROR(VLOOKUP($B7,'2019维护'!$B:$Q,5,0),0)</f>
        <v>0</v>
      </c>
      <c r="AE7" s="401">
        <f>IFERROR(VLOOKUP($B7,'2019维护'!$B:$Q,6,0),0)</f>
        <v>0</v>
      </c>
      <c r="AF7" s="23">
        <f t="shared" ref="AF7" si="4">IFERROR(IF(AB7*1.1&gt;100%,100%,AB7*1.1),"")</f>
        <v>0</v>
      </c>
      <c r="AG7" s="4">
        <f t="shared" si="1"/>
        <v>0</v>
      </c>
      <c r="AH7" s="4">
        <f t="shared" si="3"/>
        <v>0</v>
      </c>
      <c r="AI7" s="4"/>
      <c r="AJ7" s="4"/>
    </row>
    <row r="8" spans="1:36" s="25" customFormat="1">
      <c r="A8" s="362"/>
      <c r="B8" s="21" t="s">
        <v>194</v>
      </c>
      <c r="C8" s="3"/>
      <c r="D8" s="11"/>
      <c r="E8" s="11"/>
      <c r="F8" s="11"/>
      <c r="G8" s="11"/>
      <c r="H8" s="3"/>
      <c r="I8" s="11"/>
      <c r="J8" s="11"/>
      <c r="K8" s="11"/>
      <c r="L8" s="11"/>
      <c r="M8" s="15"/>
      <c r="N8" s="6"/>
      <c r="O8" s="6"/>
      <c r="P8" s="6"/>
      <c r="Q8" s="76">
        <v>12</v>
      </c>
      <c r="R8" s="78">
        <v>1.0557069363230835</v>
      </c>
      <c r="S8" s="78">
        <v>1.4046390737042356</v>
      </c>
      <c r="T8" s="78">
        <v>0.70677479894193163</v>
      </c>
      <c r="U8" s="76">
        <v>51</v>
      </c>
      <c r="V8" s="112">
        <v>1.5113130366406244</v>
      </c>
      <c r="W8" s="112">
        <v>3.0087822540844864</v>
      </c>
      <c r="X8" s="112">
        <v>1.3843819196762475E-2</v>
      </c>
      <c r="Y8" s="187">
        <f t="shared" si="2"/>
        <v>1.4245309222944262</v>
      </c>
      <c r="Z8" s="187">
        <v>0.96164269335001029</v>
      </c>
      <c r="AA8" s="400">
        <f>IFERROR(VLOOKUP($B8,'2019维护'!$B:$Q,2,0),0)</f>
        <v>0</v>
      </c>
      <c r="AB8" s="217">
        <f>IFERROR(VLOOKUP($B8,'2019维护'!$B:$Q,3,0),0)</f>
        <v>0</v>
      </c>
      <c r="AC8" s="401">
        <f>IFERROR(VLOOKUP($B8,'2019维护'!$B:$Q,4,0),0)</f>
        <v>0</v>
      </c>
      <c r="AD8" s="401">
        <f>IFERROR(VLOOKUP($B8,'2019维护'!$B:$Q,5,0),0)</f>
        <v>0</v>
      </c>
      <c r="AE8" s="401">
        <f>IFERROR(VLOOKUP($B8,'2019维护'!$B:$Q,6,0),0)</f>
        <v>0</v>
      </c>
      <c r="AF8" s="4">
        <f>AB8*0.9</f>
        <v>0</v>
      </c>
      <c r="AG8" s="4">
        <f t="shared" si="1"/>
        <v>0</v>
      </c>
      <c r="AH8" s="4">
        <f t="shared" si="3"/>
        <v>0</v>
      </c>
      <c r="AI8" s="4"/>
      <c r="AJ8" s="4"/>
    </row>
    <row r="9" spans="1:36" s="25" customFormat="1">
      <c r="A9" s="362"/>
      <c r="B9" s="21" t="s">
        <v>195</v>
      </c>
      <c r="C9" s="3"/>
      <c r="D9" s="11"/>
      <c r="E9" s="11"/>
      <c r="F9" s="11"/>
      <c r="G9" s="11"/>
      <c r="H9" s="3"/>
      <c r="I9" s="11"/>
      <c r="J9" s="11"/>
      <c r="K9" s="11"/>
      <c r="L9" s="11"/>
      <c r="M9" s="15"/>
      <c r="N9" s="6"/>
      <c r="O9" s="6"/>
      <c r="P9" s="6"/>
      <c r="Q9" s="76">
        <v>12</v>
      </c>
      <c r="R9" s="78">
        <v>1.0455210898121476</v>
      </c>
      <c r="S9" s="78">
        <v>1.893970816755409</v>
      </c>
      <c r="T9" s="78">
        <v>0.19707136286888616</v>
      </c>
      <c r="U9" s="76">
        <v>39</v>
      </c>
      <c r="V9" s="112">
        <v>1.3796518577763364</v>
      </c>
      <c r="W9" s="112">
        <v>2.7741621431276782</v>
      </c>
      <c r="X9" s="112">
        <v>0</v>
      </c>
      <c r="Y9" s="187">
        <f t="shared" si="2"/>
        <v>1.3010328535494682</v>
      </c>
      <c r="Z9" s="187">
        <v>1.0333465032080074</v>
      </c>
      <c r="AA9" s="400">
        <f>IFERROR(VLOOKUP($B9,'2019维护'!$B:$Q,2,0),0)</f>
        <v>0</v>
      </c>
      <c r="AB9" s="217">
        <f>IFERROR(VLOOKUP($B9,'2019维护'!$B:$Q,3,0),0)</f>
        <v>0</v>
      </c>
      <c r="AC9" s="401">
        <f>IFERROR(VLOOKUP($B9,'2019维护'!$B:$Q,4,0),0)</f>
        <v>0</v>
      </c>
      <c r="AD9" s="401">
        <f>IFERROR(VLOOKUP($B9,'2019维护'!$B:$Q,5,0),0)</f>
        <v>0</v>
      </c>
      <c r="AE9" s="401">
        <f>IFERROR(VLOOKUP($B9,'2019维护'!$B:$Q,6,0),0)</f>
        <v>0</v>
      </c>
      <c r="AF9" s="4">
        <f>AB9*0.9</f>
        <v>0</v>
      </c>
      <c r="AG9" s="4">
        <f t="shared" si="1"/>
        <v>0</v>
      </c>
      <c r="AH9" s="4">
        <f t="shared" si="3"/>
        <v>0</v>
      </c>
      <c r="AI9" s="4"/>
      <c r="AJ9" s="4"/>
    </row>
    <row r="10" spans="1:36" s="25" customFormat="1">
      <c r="A10" s="362"/>
      <c r="B10" s="21" t="s">
        <v>162</v>
      </c>
      <c r="C10" s="3"/>
      <c r="D10" s="11"/>
      <c r="E10" s="11"/>
      <c r="F10" s="11"/>
      <c r="G10" s="11"/>
      <c r="H10" s="3"/>
      <c r="I10" s="11"/>
      <c r="J10" s="11"/>
      <c r="K10" s="11"/>
      <c r="L10" s="11"/>
      <c r="M10" s="15"/>
      <c r="N10" s="6"/>
      <c r="O10" s="6"/>
      <c r="P10" s="6"/>
      <c r="Q10" s="76">
        <v>12</v>
      </c>
      <c r="R10" s="78">
        <v>0</v>
      </c>
      <c r="S10" s="78">
        <v>0</v>
      </c>
      <c r="T10" s="78">
        <v>0</v>
      </c>
      <c r="U10" s="78"/>
      <c r="V10" s="78"/>
      <c r="W10" s="78"/>
      <c r="X10" s="78"/>
      <c r="Y10" s="187">
        <f t="shared" si="2"/>
        <v>0</v>
      </c>
      <c r="Z10" s="187">
        <v>0</v>
      </c>
      <c r="AA10" s="400">
        <f>IFERROR(VLOOKUP($B10,'2019维护'!$B:$Q,2,0),0)</f>
        <v>0</v>
      </c>
      <c r="AB10" s="217">
        <f>IFERROR(VLOOKUP($B10,'2019维护'!$B:$Q,3,0),0)</f>
        <v>0</v>
      </c>
      <c r="AC10" s="401">
        <f>IFERROR(VLOOKUP($B10,'2019维护'!$B:$Q,4,0),0)</f>
        <v>0</v>
      </c>
      <c r="AD10" s="401">
        <f>IFERROR(VLOOKUP($B10,'2019维护'!$B:$Q,5,0),0)</f>
        <v>0</v>
      </c>
      <c r="AE10" s="401">
        <f>IFERROR(VLOOKUP($B10,'2019维护'!$B:$Q,6,0),0)</f>
        <v>0</v>
      </c>
      <c r="AF10" s="4">
        <f>AB10*0.9</f>
        <v>0</v>
      </c>
      <c r="AG10" s="4">
        <f t="shared" si="1"/>
        <v>0</v>
      </c>
      <c r="AH10" s="4">
        <f t="shared" si="3"/>
        <v>0</v>
      </c>
      <c r="AI10" s="4"/>
      <c r="AJ10" s="4"/>
    </row>
    <row r="11" spans="1:36" s="25" customFormat="1">
      <c r="A11" s="362"/>
      <c r="B11" s="21" t="s">
        <v>196</v>
      </c>
      <c r="C11" s="3"/>
      <c r="D11" s="11"/>
      <c r="E11" s="11"/>
      <c r="F11" s="11"/>
      <c r="G11" s="11"/>
      <c r="H11" s="3"/>
      <c r="I11" s="11"/>
      <c r="J11" s="11"/>
      <c r="K11" s="11"/>
      <c r="L11" s="11"/>
      <c r="M11" s="15"/>
      <c r="N11" s="6"/>
      <c r="O11" s="6"/>
      <c r="P11" s="6"/>
      <c r="Q11" s="76">
        <v>12</v>
      </c>
      <c r="R11" s="78">
        <v>0.9</v>
      </c>
      <c r="S11" s="78">
        <v>1.8657780659795877</v>
      </c>
      <c r="T11" s="78">
        <v>0</v>
      </c>
      <c r="U11" s="78"/>
      <c r="V11" s="78"/>
      <c r="W11" s="78"/>
      <c r="X11" s="78"/>
      <c r="Y11" s="187">
        <f t="shared" si="2"/>
        <v>0.9</v>
      </c>
      <c r="Z11" s="187">
        <v>0.11538461538461539</v>
      </c>
      <c r="AA11" s="400">
        <f>IFERROR(VLOOKUP($B11,'2019维护'!$B:$Q,2,0),0)</f>
        <v>0</v>
      </c>
      <c r="AB11" s="217">
        <f>IFERROR(VLOOKUP($B11,'2019维护'!$B:$Q,3,0),0)</f>
        <v>0</v>
      </c>
      <c r="AC11" s="401">
        <f>IFERROR(VLOOKUP($B11,'2019维护'!$B:$Q,4,0),0)</f>
        <v>0</v>
      </c>
      <c r="AD11" s="401">
        <f>IFERROR(VLOOKUP($B11,'2019维护'!$B:$Q,5,0),0)</f>
        <v>0</v>
      </c>
      <c r="AE11" s="401">
        <f>IFERROR(VLOOKUP($B11,'2019维护'!$B:$Q,6,0),0)</f>
        <v>0</v>
      </c>
      <c r="AF11" s="4">
        <f t="shared" ref="AF11:AF14" si="5">AB11*0.9</f>
        <v>0</v>
      </c>
      <c r="AG11" s="4">
        <f t="shared" si="1"/>
        <v>0</v>
      </c>
      <c r="AH11" s="4">
        <f t="shared" si="3"/>
        <v>0</v>
      </c>
      <c r="AI11" s="4"/>
      <c r="AJ11" s="4"/>
    </row>
    <row r="12" spans="1:36" s="25" customFormat="1">
      <c r="A12" s="362"/>
      <c r="B12" s="21" t="s">
        <v>197</v>
      </c>
      <c r="C12" s="3"/>
      <c r="D12" s="11"/>
      <c r="E12" s="11"/>
      <c r="F12" s="11"/>
      <c r="G12" s="11"/>
      <c r="H12" s="3"/>
      <c r="I12" s="11"/>
      <c r="J12" s="11"/>
      <c r="K12" s="11"/>
      <c r="L12" s="11"/>
      <c r="M12" s="15"/>
      <c r="N12" s="6"/>
      <c r="O12" s="6"/>
      <c r="P12" s="6"/>
      <c r="Q12" s="76">
        <v>12</v>
      </c>
      <c r="R12" s="78">
        <v>0.62750000000000006</v>
      </c>
      <c r="S12" s="78">
        <v>1.1081458722858801</v>
      </c>
      <c r="T12" s="78">
        <v>0.14685412771411993</v>
      </c>
      <c r="U12" s="78"/>
      <c r="V12" s="78"/>
      <c r="W12" s="78"/>
      <c r="X12" s="78"/>
      <c r="Y12" s="187">
        <f t="shared" si="2"/>
        <v>0.62750000000000006</v>
      </c>
      <c r="Z12" s="187">
        <v>0.99299999999999999</v>
      </c>
      <c r="AA12" s="400">
        <f>IFERROR(VLOOKUP($B12,'2019维护'!$B:$Q,2,0),0)</f>
        <v>0</v>
      </c>
      <c r="AB12" s="217">
        <f>IFERROR(VLOOKUP($B12,'2019维护'!$B:$Q,3,0),0)</f>
        <v>0</v>
      </c>
      <c r="AC12" s="401">
        <f>IFERROR(VLOOKUP($B12,'2019维护'!$B:$Q,4,0),0)</f>
        <v>0</v>
      </c>
      <c r="AD12" s="401">
        <f>IFERROR(VLOOKUP($B12,'2019维护'!$B:$Q,5,0),0)</f>
        <v>0</v>
      </c>
      <c r="AE12" s="401">
        <f>IFERROR(VLOOKUP($B12,'2019维护'!$B:$Q,6,0),0)</f>
        <v>0</v>
      </c>
      <c r="AF12" s="4">
        <f t="shared" si="5"/>
        <v>0</v>
      </c>
      <c r="AG12" s="4">
        <f t="shared" si="1"/>
        <v>0</v>
      </c>
      <c r="AH12" s="4">
        <f t="shared" si="3"/>
        <v>0</v>
      </c>
      <c r="AI12" s="4"/>
      <c r="AJ12" s="4"/>
    </row>
    <row r="13" spans="1:36" s="25" customFormat="1">
      <c r="A13" s="362"/>
      <c r="B13" s="21" t="s">
        <v>198</v>
      </c>
      <c r="C13" s="3"/>
      <c r="D13" s="11"/>
      <c r="E13" s="11"/>
      <c r="F13" s="11"/>
      <c r="G13" s="11"/>
      <c r="H13" s="3"/>
      <c r="I13" s="11"/>
      <c r="J13" s="11"/>
      <c r="K13" s="11"/>
      <c r="L13" s="11"/>
      <c r="M13" s="15"/>
      <c r="N13" s="6"/>
      <c r="O13" s="6"/>
      <c r="P13" s="6"/>
      <c r="Q13" s="76">
        <v>12</v>
      </c>
      <c r="R13" s="78">
        <v>0</v>
      </c>
      <c r="S13" s="78">
        <v>0</v>
      </c>
      <c r="T13" s="78">
        <v>0</v>
      </c>
      <c r="U13" s="78"/>
      <c r="V13" s="78"/>
      <c r="W13" s="78"/>
      <c r="X13" s="78"/>
      <c r="Y13" s="187">
        <f t="shared" si="2"/>
        <v>0</v>
      </c>
      <c r="Z13" s="187">
        <v>0</v>
      </c>
      <c r="AA13" s="400">
        <f>IFERROR(VLOOKUP($B13,'2019维护'!$B:$Q,2,0),0)</f>
        <v>0</v>
      </c>
      <c r="AB13" s="217">
        <f>IFERROR(VLOOKUP($B13,'2019维护'!$B:$Q,3,0),0)</f>
        <v>0</v>
      </c>
      <c r="AC13" s="401">
        <f>IFERROR(VLOOKUP($B13,'2019维护'!$B:$Q,4,0),0)</f>
        <v>0</v>
      </c>
      <c r="AD13" s="401">
        <f>IFERROR(VLOOKUP($B13,'2019维护'!$B:$Q,5,0),0)</f>
        <v>0</v>
      </c>
      <c r="AE13" s="401">
        <f>IFERROR(VLOOKUP($B13,'2019维护'!$B:$Q,6,0),0)</f>
        <v>0</v>
      </c>
      <c r="AF13" s="4">
        <f t="shared" si="5"/>
        <v>0</v>
      </c>
      <c r="AG13" s="4">
        <f t="shared" si="1"/>
        <v>0</v>
      </c>
      <c r="AH13" s="4">
        <f t="shared" si="3"/>
        <v>0</v>
      </c>
      <c r="AI13" s="4"/>
      <c r="AJ13" s="4"/>
    </row>
    <row r="14" spans="1:36" s="25" customFormat="1">
      <c r="A14" s="362"/>
      <c r="B14" s="21" t="s">
        <v>199</v>
      </c>
      <c r="C14" s="3"/>
      <c r="D14" s="11"/>
      <c r="E14" s="11"/>
      <c r="F14" s="11"/>
      <c r="G14" s="11"/>
      <c r="H14" s="3"/>
      <c r="I14" s="11"/>
      <c r="J14" s="11"/>
      <c r="K14" s="11"/>
      <c r="L14" s="11"/>
      <c r="M14" s="15"/>
      <c r="N14" s="6"/>
      <c r="O14" s="6"/>
      <c r="P14" s="6"/>
      <c r="Q14" s="76">
        <v>12</v>
      </c>
      <c r="R14" s="78">
        <v>0</v>
      </c>
      <c r="S14" s="78">
        <v>0</v>
      </c>
      <c r="T14" s="78">
        <v>0</v>
      </c>
      <c r="U14" s="76">
        <v>8</v>
      </c>
      <c r="V14" s="112">
        <v>7.5750000000000002</v>
      </c>
      <c r="W14" s="112">
        <v>18.883751352066113</v>
      </c>
      <c r="X14" s="112">
        <v>0</v>
      </c>
      <c r="Y14" s="187">
        <f t="shared" si="2"/>
        <v>3.0300000000000002</v>
      </c>
      <c r="Z14" s="187"/>
      <c r="AA14" s="400">
        <f>IFERROR(VLOOKUP($B14,'2019维护'!$B:$Q,2,0),0)</f>
        <v>0</v>
      </c>
      <c r="AB14" s="217">
        <f>IFERROR(VLOOKUP($B14,'2019维护'!$B:$Q,3,0),0)</f>
        <v>0</v>
      </c>
      <c r="AC14" s="401">
        <f>IFERROR(VLOOKUP($B14,'2019维护'!$B:$Q,4,0),0)</f>
        <v>0</v>
      </c>
      <c r="AD14" s="401">
        <f>IFERROR(VLOOKUP($B14,'2019维护'!$B:$Q,5,0),0)</f>
        <v>0</v>
      </c>
      <c r="AE14" s="401">
        <f>IFERROR(VLOOKUP($B14,'2019维护'!$B:$Q,6,0),0)</f>
        <v>0</v>
      </c>
      <c r="AF14" s="4">
        <f t="shared" si="5"/>
        <v>0</v>
      </c>
      <c r="AG14" s="4">
        <f t="shared" si="1"/>
        <v>0</v>
      </c>
      <c r="AH14" s="4">
        <f t="shared" si="3"/>
        <v>0</v>
      </c>
      <c r="AI14" s="4"/>
      <c r="AJ14" s="4"/>
    </row>
    <row r="15" spans="1:36">
      <c r="A15" s="130"/>
      <c r="B15" s="21" t="s">
        <v>163</v>
      </c>
      <c r="C15" s="30"/>
      <c r="D15" s="29"/>
      <c r="E15" s="29"/>
      <c r="F15" s="29"/>
      <c r="G15" s="29"/>
      <c r="H15" s="30"/>
      <c r="I15" s="35"/>
      <c r="J15" s="35"/>
      <c r="K15" s="35"/>
      <c r="L15" s="35"/>
      <c r="M15" s="15">
        <v>16</v>
      </c>
      <c r="N15" s="23">
        <v>4.0639863443707999E-2</v>
      </c>
      <c r="O15" s="23">
        <v>0.12599285170365501</v>
      </c>
      <c r="P15" s="23">
        <v>0</v>
      </c>
      <c r="Q15" s="79">
        <v>12</v>
      </c>
      <c r="R15" s="80">
        <v>2.9588383897462742E-2</v>
      </c>
      <c r="S15" s="80">
        <v>6.0245904306374873E-2</v>
      </c>
      <c r="T15" s="80">
        <v>0</v>
      </c>
      <c r="U15" s="113">
        <v>37</v>
      </c>
      <c r="V15" s="114">
        <v>0.35135135135135137</v>
      </c>
      <c r="W15" s="114">
        <v>2.0545544810164249</v>
      </c>
      <c r="X15" s="114">
        <v>0</v>
      </c>
      <c r="Y15" s="188">
        <f t="shared" si="2"/>
        <v>0.27255225728101129</v>
      </c>
      <c r="Z15" s="188">
        <v>3.3364422416876684E-2</v>
      </c>
      <c r="AA15" s="400">
        <f>IFERROR(VLOOKUP($B15,'2019维护'!$B:$Q,2,0),0)</f>
        <v>0</v>
      </c>
      <c r="AB15" s="217">
        <f>IFERROR(VLOOKUP($B15,'2019维护'!$B:$Q,3,0),0)</f>
        <v>0</v>
      </c>
      <c r="AC15" s="401">
        <f>IFERROR(VLOOKUP($B15,'2019维护'!$B:$Q,4,0),0)</f>
        <v>0</v>
      </c>
      <c r="AD15" s="401">
        <f>IFERROR(VLOOKUP($B15,'2019维护'!$B:$Q,5,0),0)</f>
        <v>0</v>
      </c>
      <c r="AE15" s="401">
        <f>IFERROR(VLOOKUP($B15,'2019维护'!$B:$Q,6,0),0)</f>
        <v>0</v>
      </c>
      <c r="AF15" s="23">
        <f t="shared" ref="AF15" si="6">IFERROR(IF(AB15*1.1&gt;100%,100%,AB15*1.1),"")</f>
        <v>0</v>
      </c>
      <c r="AG15" s="4">
        <f t="shared" si="1"/>
        <v>0</v>
      </c>
      <c r="AH15" s="4">
        <f t="shared" si="3"/>
        <v>0</v>
      </c>
      <c r="AI15" s="4"/>
      <c r="AJ15" s="4"/>
    </row>
  </sheetData>
  <autoFilter ref="AI1:AI15"/>
  <mergeCells count="10">
    <mergeCell ref="M1:P1"/>
    <mergeCell ref="Q1:T1"/>
    <mergeCell ref="U1:X1"/>
    <mergeCell ref="A3:A4"/>
    <mergeCell ref="A5:A14"/>
    <mergeCell ref="A1:B2"/>
    <mergeCell ref="C1:G1"/>
    <mergeCell ref="H1:L1"/>
    <mergeCell ref="AA1:AE1"/>
    <mergeCell ref="AF1:AH1"/>
  </mergeCells>
  <phoneticPr fontId="26" type="noConversion"/>
  <conditionalFormatting sqref="AA4:AA15">
    <cfRule type="cellIs" dxfId="17" priority="1" operator="equal">
      <formula>0</formula>
    </cfRule>
  </conditionalFormatting>
  <pageMargins left="0.74791666666666701" right="0.74791666666666701" top="0.98402777777777795" bottom="0.98402777777777795" header="0.51180555555555596" footer="0.51180555555555596"/>
  <pageSetup paperSize="9" orientation="portrait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70C0"/>
  </sheetPr>
  <dimension ref="A1:AI43"/>
  <sheetViews>
    <sheetView workbookViewId="0">
      <pane xSplit="7" ySplit="2" topLeftCell="H27" activePane="bottomRight" state="frozen"/>
      <selection pane="topRight" activeCell="H1" sqref="H1"/>
      <selection pane="bottomLeft" activeCell="A3" sqref="A3"/>
      <selection pane="bottomRight" activeCell="C31" sqref="C31:C32"/>
    </sheetView>
  </sheetViews>
  <sheetFormatPr defaultColWidth="9" defaultRowHeight="14.25"/>
  <cols>
    <col min="1" max="1" width="9" style="26" bestFit="1" customWidth="1"/>
    <col min="2" max="2" width="35.5" style="26" bestFit="1" customWidth="1"/>
    <col min="3" max="3" width="6" style="26" bestFit="1" customWidth="1"/>
    <col min="4" max="5" width="6.75" style="26" bestFit="1" customWidth="1"/>
    <col min="6" max="6" width="7.625" style="26" bestFit="1" customWidth="1"/>
    <col min="7" max="7" width="6.75" style="26" bestFit="1" customWidth="1"/>
    <col min="8" max="16384" width="9" style="26"/>
  </cols>
  <sheetData>
    <row r="1" spans="1:35" ht="34.5" customHeight="1">
      <c r="A1" s="372" t="s">
        <v>232</v>
      </c>
      <c r="B1" s="373"/>
      <c r="C1" s="374" t="s">
        <v>486</v>
      </c>
      <c r="D1" s="375"/>
      <c r="E1" s="375"/>
      <c r="F1" s="375"/>
      <c r="G1" s="376"/>
      <c r="H1" s="370">
        <v>2012</v>
      </c>
      <c r="I1" s="371"/>
      <c r="J1" s="371" t="s">
        <v>511</v>
      </c>
      <c r="K1" s="371"/>
      <c r="L1" s="371" t="s">
        <v>514</v>
      </c>
      <c r="M1" s="371"/>
      <c r="N1" s="371" t="s">
        <v>512</v>
      </c>
      <c r="O1" s="371"/>
      <c r="P1" s="371" t="s">
        <v>513</v>
      </c>
      <c r="Q1" s="371"/>
      <c r="R1" s="371" t="s">
        <v>515</v>
      </c>
      <c r="S1" s="371"/>
      <c r="T1" s="371" t="s">
        <v>516</v>
      </c>
      <c r="U1" s="371"/>
      <c r="V1" s="371" t="s">
        <v>517</v>
      </c>
      <c r="W1" s="371"/>
      <c r="X1" s="371" t="s">
        <v>518</v>
      </c>
      <c r="Y1" s="371"/>
      <c r="Z1" s="371" t="s">
        <v>519</v>
      </c>
      <c r="AA1" s="371"/>
      <c r="AB1" s="371" t="s">
        <v>520</v>
      </c>
      <c r="AC1" s="371"/>
      <c r="AD1" s="369"/>
      <c r="AE1" s="370"/>
      <c r="AF1" s="369"/>
      <c r="AG1" s="370"/>
      <c r="AH1" s="369"/>
      <c r="AI1" s="370"/>
    </row>
    <row r="2" spans="1:35" s="85" customFormat="1" ht="14.25" customHeight="1">
      <c r="A2" s="372"/>
      <c r="B2" s="373"/>
      <c r="C2" s="142" t="s">
        <v>341</v>
      </c>
      <c r="D2" s="122" t="s">
        <v>364</v>
      </c>
      <c r="E2" s="122" t="s">
        <v>363</v>
      </c>
      <c r="F2" s="122" t="s">
        <v>2</v>
      </c>
      <c r="G2" s="143" t="s">
        <v>3</v>
      </c>
      <c r="H2" s="147" t="s">
        <v>341</v>
      </c>
      <c r="I2" s="148" t="s">
        <v>364</v>
      </c>
      <c r="J2" s="148" t="s">
        <v>341</v>
      </c>
      <c r="K2" s="148" t="s">
        <v>364</v>
      </c>
      <c r="L2" s="148" t="s">
        <v>341</v>
      </c>
      <c r="M2" s="148" t="s">
        <v>364</v>
      </c>
      <c r="N2" s="148" t="s">
        <v>341</v>
      </c>
      <c r="O2" s="148" t="s">
        <v>364</v>
      </c>
      <c r="P2" s="148" t="s">
        <v>341</v>
      </c>
      <c r="Q2" s="148" t="s">
        <v>364</v>
      </c>
      <c r="R2" s="148" t="s">
        <v>341</v>
      </c>
      <c r="S2" s="148" t="s">
        <v>364</v>
      </c>
      <c r="T2" s="148" t="s">
        <v>341</v>
      </c>
      <c r="U2" s="148" t="s">
        <v>364</v>
      </c>
      <c r="V2" s="148" t="s">
        <v>341</v>
      </c>
      <c r="W2" s="148" t="s">
        <v>364</v>
      </c>
      <c r="X2" s="148" t="s">
        <v>341</v>
      </c>
      <c r="Y2" s="148" t="s">
        <v>364</v>
      </c>
      <c r="Z2" s="148" t="s">
        <v>341</v>
      </c>
      <c r="AA2" s="148" t="s">
        <v>364</v>
      </c>
      <c r="AB2" s="148" t="s">
        <v>341</v>
      </c>
      <c r="AC2" s="148" t="s">
        <v>364</v>
      </c>
      <c r="AD2" s="148" t="s">
        <v>341</v>
      </c>
      <c r="AE2" s="148" t="s">
        <v>364</v>
      </c>
      <c r="AF2" s="148" t="s">
        <v>341</v>
      </c>
      <c r="AG2" s="148" t="s">
        <v>364</v>
      </c>
      <c r="AH2" s="148" t="s">
        <v>341</v>
      </c>
      <c r="AI2" s="148" t="s">
        <v>364</v>
      </c>
    </row>
    <row r="3" spans="1:35" s="85" customFormat="1" ht="21.75" customHeight="1">
      <c r="A3" s="367" t="s">
        <v>212</v>
      </c>
      <c r="B3" s="139" t="s">
        <v>573</v>
      </c>
      <c r="C3" s="221">
        <f>SUM(H3+J3+L3+N3+P3+R3+T3+V3+X3+Z3+AB3+AD3+AF3+AH3)</f>
        <v>615</v>
      </c>
      <c r="D3" s="132">
        <f t="shared" ref="D3:D43" si="0">(H3*I3+J3*K3+L3*M3+N3*O3+P3*Q3+R3*S3+T3*U3+V3*W3+X3*Y3+Z3*AA3+AB3*AC3+AD3*AE3+AF3*AG3+AH3*AI3)/C3</f>
        <v>37.551501741902861</v>
      </c>
      <c r="E3" s="132">
        <f t="shared" ref="E3:E43" si="1">IFERROR(STDEV(I3,K3,M3,O3,Q3,S3,U3,W3,Y3,AA3,AC3,AE3,AG3,AI3),"")</f>
        <v>13.172284119113808</v>
      </c>
      <c r="F3" s="132">
        <f>IFERROR(IF(E3&lt;D3*0.1,D3+3*E3,D3+E3),"")</f>
        <v>50.723785861016665</v>
      </c>
      <c r="G3" s="220">
        <f>IFERROR(IF(E3&lt;D3*0.1,MAX(D3-3*E3,0),MAX(D3-E3,0)),"")</f>
        <v>24.379217622789053</v>
      </c>
      <c r="H3" s="145">
        <f>IFERROR(VLOOKUP($B3,'2012'!$B:$Q,12,0),0)</f>
        <v>32</v>
      </c>
      <c r="I3" s="145">
        <f>IFERROR(VLOOKUP($B3,'2012'!$B:$Q,13,0),"")</f>
        <v>28.966415868289623</v>
      </c>
      <c r="J3" s="145">
        <f>IFERROR(VLOOKUP($B3,云核!$B:$Q,12,0),0)</f>
        <v>128</v>
      </c>
      <c r="K3" s="145">
        <f>IFERROR(VLOOKUP($B3,云核!$B:$Q,13,0),"")</f>
        <v>36.345468749999981</v>
      </c>
      <c r="L3" s="145">
        <f>IFERROR(VLOOKUP($B3,'公共开发部(开发测试)'!$B:$Q,12,0),0)</f>
        <v>53</v>
      </c>
      <c r="M3" s="145">
        <f>IFERROR(VLOOKUP($B3,'公共开发部(开发测试)'!$B:$Q,13,0),"")</f>
        <v>30.132203448912318</v>
      </c>
      <c r="N3" s="145">
        <f>IFERROR(VLOOKUP($B3,BSS!$B:$Q,12,0),0)</f>
        <v>52</v>
      </c>
      <c r="O3" s="145">
        <f>IFERROR(VLOOKUP($B3,BSS!$B:$Q,13,0),"")</f>
        <v>33.142257868069606</v>
      </c>
      <c r="P3" s="145">
        <f>IFERROR(VLOOKUP($B3,GSD!$B:$Q,12,0),0)</f>
        <v>194</v>
      </c>
      <c r="Q3" s="145">
        <f>IFERROR(VLOOKUP($B3,GSD!$B:$Q,13,0),"")</f>
        <v>35.726151732597366</v>
      </c>
      <c r="R3" s="145">
        <f>IFERROR(VLOOKUP($B3,'企业IT(开发测试)'!$B:$Q,12,0),0)</f>
        <v>29</v>
      </c>
      <c r="S3" s="145">
        <f>IFERROR(VLOOKUP($B3,'企业IT(开发测试)'!$B:$Q,13,0),"")</f>
        <v>42.56782577769868</v>
      </c>
      <c r="T3" s="145">
        <f>IFERROR(VLOOKUP($B3,'网络(C开发)'!$B:$Q,12,0),0)</f>
        <v>27</v>
      </c>
      <c r="U3" s="145">
        <f>IFERROR(VLOOKUP($B3,'网络(C开发)'!$B:$Q,13,0),"")</f>
        <v>35.235315915667208</v>
      </c>
      <c r="V3" s="145">
        <f>IFERROR(VLOOKUP($B3,'网络(J开发)'!$B:$Q,12,0),0)</f>
        <v>12</v>
      </c>
      <c r="W3" s="145">
        <f>IFERROR(VLOOKUP($B3,'网络(J开发)'!$B:$Q,13,0),"")</f>
        <v>36.14302240926574</v>
      </c>
      <c r="X3" s="145">
        <f>IFERROR(VLOOKUP($B3,'无线(开发效率)'!$B:$Q,12,0),0)</f>
        <v>32</v>
      </c>
      <c r="Y3" s="145">
        <f>IFERROR(VLOOKUP($B3,'无线(开发效率)'!$B:$Q,13,0),"")</f>
        <v>45.620699287336954</v>
      </c>
      <c r="Z3" s="145">
        <f>IFERROR(VLOOKUP($B3,'消费者云服务(开发测试)'!$B:$Q,12,0),0)</f>
        <v>32</v>
      </c>
      <c r="AA3" s="145">
        <f>IFERROR(VLOOKUP($B3,'消费者云服务(开发测试)'!$B:$Q,13,0),"")</f>
        <v>75.975672251464985</v>
      </c>
      <c r="AB3" s="145">
        <f>IFERROR(VLOOKUP($B3,'云BU(开发测试)'!$B:$Q,12,0),0)</f>
        <v>24</v>
      </c>
      <c r="AC3" s="145">
        <f>IFERROR(VLOOKUP($B3,'云BU(开发测试)'!$B:$Q,13,0),"")</f>
        <v>31.380416666666672</v>
      </c>
      <c r="AD3" s="145"/>
      <c r="AE3" s="145"/>
      <c r="AF3" s="145"/>
      <c r="AG3" s="145"/>
      <c r="AH3" s="145"/>
      <c r="AI3" s="145"/>
    </row>
    <row r="4" spans="1:35" s="85" customFormat="1" ht="15.75" customHeight="1">
      <c r="A4" s="367"/>
      <c r="B4" s="140" t="s">
        <v>378</v>
      </c>
      <c r="C4" s="221">
        <f t="shared" ref="C4:C43" si="2">SUM(H4+J4+L4+N4+P4+R4+T4+V4+X4+Z4+AB4+AD4+AF4+AH4)</f>
        <v>458</v>
      </c>
      <c r="D4" s="4">
        <f t="shared" si="0"/>
        <v>55.0455404309307</v>
      </c>
      <c r="E4" s="4">
        <f t="shared" si="1"/>
        <v>19.656418989602606</v>
      </c>
      <c r="F4" s="4">
        <f>IFERROR(IF(E4&lt;D4*0.1,D4+3*E4,D4+E4),"")</f>
        <v>74.701959420533314</v>
      </c>
      <c r="G4" s="144">
        <f>IFERROR(IF(E4&lt;D4*0.1,MAX(D4-3*E4,0),MAX(D4-E4,0)),"")</f>
        <v>35.389121441328093</v>
      </c>
      <c r="H4" s="145">
        <f>IFERROR(VLOOKUP($B4,'2012'!$B:$Q,12,0),0)</f>
        <v>23</v>
      </c>
      <c r="I4" s="145">
        <f>IFERROR(VLOOKUP($B4,'2012'!$B:$Q,13,0),"")</f>
        <v>53.832492258742221</v>
      </c>
      <c r="J4" s="145">
        <f>IFERROR(VLOOKUP($B4,云核!$B:$Q,12,0),0)</f>
        <v>59</v>
      </c>
      <c r="K4" s="145">
        <f>IFERROR(VLOOKUP($B4,云核!$B:$Q,13,0),"")</f>
        <v>46.136949152542378</v>
      </c>
      <c r="L4" s="145">
        <f>IFERROR(VLOOKUP($B4,'公共开发部(开发测试)'!$B:$Q,12,0),0)</f>
        <v>40</v>
      </c>
      <c r="M4" s="145">
        <f>IFERROR(VLOOKUP($B4,'公共开发部(开发测试)'!$B:$Q,13,0),"")</f>
        <v>44.740975474434165</v>
      </c>
      <c r="N4" s="145">
        <f>IFERROR(VLOOKUP($B4,BSS!$B:$Q,12,0),0)</f>
        <v>27</v>
      </c>
      <c r="O4" s="145">
        <f>IFERROR(VLOOKUP($B4,BSS!$B:$Q,13,0),"")</f>
        <v>56.598859914146132</v>
      </c>
      <c r="P4" s="145">
        <f>IFERROR(VLOOKUP($B4,GSD!$B:$Q,12,0),0)</f>
        <v>146</v>
      </c>
      <c r="Q4" s="145">
        <f>IFERROR(VLOOKUP($B4,GSD!$B:$Q,13,0),"")</f>
        <v>66.03342737229238</v>
      </c>
      <c r="R4" s="145">
        <f>IFERROR(VLOOKUP($B4,'企业IT(开发测试)'!$B:$Q,12,0),0)</f>
        <v>30</v>
      </c>
      <c r="S4" s="145">
        <f>IFERROR(VLOOKUP($B4,'企业IT(开发测试)'!$B:$Q,13,0),"")</f>
        <v>34.686961155913984</v>
      </c>
      <c r="T4" s="145">
        <f>IFERROR(VLOOKUP($B4,'网络(C开发)'!$B:$Q,12,0),0)</f>
        <v>21</v>
      </c>
      <c r="U4" s="145">
        <f>IFERROR(VLOOKUP($B4,'网络(C开发)'!$B:$Q,13,0),"")</f>
        <v>40.703380936430825</v>
      </c>
      <c r="V4" s="145">
        <f>IFERROR(VLOOKUP($B4,'网络(J开发)'!$B:$Q,12,0),0)</f>
        <v>8</v>
      </c>
      <c r="W4" s="145">
        <f>IFERROR(VLOOKUP($B4,'网络(J开发)'!$B:$Q,13,0),"")</f>
        <v>37.009110935013801</v>
      </c>
      <c r="X4" s="145">
        <f>IFERROR(VLOOKUP($B4,'无线(开发效率)'!$B:$Q,12,0),0)</f>
        <v>39</v>
      </c>
      <c r="Y4" s="145">
        <f>IFERROR(VLOOKUP($B4,'无线(开发效率)'!$B:$Q,13,0),"")</f>
        <v>54.03656645654528</v>
      </c>
      <c r="Z4" s="145">
        <f>IFERROR(VLOOKUP($B4,'消费者云服务(开发测试)'!$B:$Q,12,0),0)</f>
        <v>16</v>
      </c>
      <c r="AA4" s="145">
        <f>IFERROR(VLOOKUP($B4,'消费者云服务(开发测试)'!$B:$Q,13,0),"")</f>
        <v>105.78329679833402</v>
      </c>
      <c r="AB4" s="145">
        <f>IFERROR(VLOOKUP($B4,'云BU(开发测试)'!$B:$Q,12,0),0)</f>
        <v>49</v>
      </c>
      <c r="AC4" s="145">
        <f>IFERROR(VLOOKUP($B4,'云BU(开发测试)'!$B:$Q,13,0),"")</f>
        <v>46.94959183673469</v>
      </c>
      <c r="AD4" s="145"/>
      <c r="AE4" s="145"/>
      <c r="AF4" s="145"/>
      <c r="AG4" s="145"/>
      <c r="AH4" s="145"/>
      <c r="AI4" s="145"/>
    </row>
    <row r="5" spans="1:35" s="85" customFormat="1" ht="29.25" customHeight="1">
      <c r="A5" s="367"/>
      <c r="B5" s="140" t="s">
        <v>524</v>
      </c>
      <c r="C5" s="221">
        <f t="shared" si="2"/>
        <v>365</v>
      </c>
      <c r="D5" s="4">
        <f t="shared" si="0"/>
        <v>2.0752878549320637</v>
      </c>
      <c r="E5" s="4">
        <f t="shared" si="1"/>
        <v>2.5171960220021306</v>
      </c>
      <c r="F5" s="4">
        <f>IFERROR(IF(E5&lt;D5*0.1,D5+3*E5,D5+E5)," ")</f>
        <v>4.5924838769341942</v>
      </c>
      <c r="G5" s="144">
        <f t="shared" ref="G5:G43" si="3">IFERROR(IF(E5&lt;D5*0.1,MAX(D5-3*E5,0),MAX(D5-E5,0)),"")</f>
        <v>0</v>
      </c>
      <c r="H5" s="145">
        <f>IFERROR(VLOOKUP($B5,'2012'!$B:$Q,12,0),0)</f>
        <v>25</v>
      </c>
      <c r="I5" s="145">
        <f>IFERROR(VLOOKUP($B5,'2012'!$B:$Q,13,0),"")</f>
        <v>1.6087730915291019</v>
      </c>
      <c r="J5" s="145"/>
      <c r="K5" s="145"/>
      <c r="L5" s="145">
        <f>IFERROR(VLOOKUP($B5,'公共开发部(开发测试)'!$B:$Q,12,0),0)</f>
        <v>57</v>
      </c>
      <c r="M5" s="145">
        <f>IFERROR(VLOOKUP($B5,'公共开发部(开发测试)'!$B:$Q,13,0),"")</f>
        <v>3.0264189182085839</v>
      </c>
      <c r="N5" s="145">
        <f>IFERROR(VLOOKUP($B5,BSS!$B:$Q,12,0),0)</f>
        <v>50</v>
      </c>
      <c r="O5" s="145">
        <f>IFERROR(VLOOKUP($B5,BSS!$B:$Q,13,0),"")</f>
        <v>0.74636710056446642</v>
      </c>
      <c r="P5" s="145">
        <f>IFERROR(VLOOKUP($B5,GSD!$B:$Q,12,0),0)</f>
        <v>159</v>
      </c>
      <c r="Q5" s="145">
        <f>IFERROR(VLOOKUP($B5,GSD!$B:$Q,13,0),"")</f>
        <v>1.5159041999032354</v>
      </c>
      <c r="R5" s="145">
        <f>IFERROR(VLOOKUP($B5,'企业IT(开发测试)'!$B:$Q,12,0),0)</f>
        <v>4</v>
      </c>
      <c r="S5" s="145">
        <f>IFERROR(VLOOKUP($B5,'企业IT(开发测试)'!$B:$Q,13,0),"")</f>
        <v>8.0473507462686555</v>
      </c>
      <c r="T5" s="145">
        <f>IFERROR(VLOOKUP($B5,'网络(C开发)'!$B:$Q,12,0),0)</f>
        <v>7</v>
      </c>
      <c r="U5" s="145">
        <f>IFERROR(VLOOKUP($B5,'网络(C开发)'!$B:$Q,13,0),"")</f>
        <v>0.3824573228639932</v>
      </c>
      <c r="V5" s="145">
        <f>IFERROR(VLOOKUP($B5,'网络(J开发)'!$B:$Q,12,0),0)</f>
        <v>9</v>
      </c>
      <c r="W5" s="145">
        <f>IFERROR(VLOOKUP($B5,'网络(J开发)'!$B:$Q,13,0),"")</f>
        <v>1.2568199918391736</v>
      </c>
      <c r="X5" s="145">
        <f>IFERROR(VLOOKUP($B5,'无线(开发效率)'!$B:$Q,12,0),0)</f>
        <v>54</v>
      </c>
      <c r="Y5" s="145">
        <f>IFERROR(VLOOKUP($B5,'无线(开发效率)'!$B:$Q,13,0),"")</f>
        <v>4.0783287859180284</v>
      </c>
      <c r="Z5" s="145"/>
      <c r="AA5" s="145"/>
      <c r="AB5" s="145"/>
      <c r="AC5" s="145"/>
      <c r="AD5" s="145"/>
      <c r="AE5" s="145"/>
      <c r="AF5" s="145"/>
      <c r="AG5" s="145"/>
      <c r="AH5" s="145"/>
      <c r="AI5" s="145"/>
    </row>
    <row r="6" spans="1:35" s="85" customFormat="1" ht="25.5" customHeight="1">
      <c r="A6" s="367"/>
      <c r="B6" s="140" t="s">
        <v>233</v>
      </c>
      <c r="C6" s="221">
        <f t="shared" si="2"/>
        <v>217</v>
      </c>
      <c r="D6" s="4">
        <f t="shared" si="0"/>
        <v>2.624227326860014</v>
      </c>
      <c r="E6" s="4">
        <f t="shared" si="1"/>
        <v>1.7419834473196636</v>
      </c>
      <c r="F6" s="4">
        <f t="shared" ref="F6:F43" si="4">IFERROR(IF(E6&lt;D6*0.1,D6+3*E6,D6+E6),"")</f>
        <v>4.3662107741796774</v>
      </c>
      <c r="G6" s="144">
        <f t="shared" si="3"/>
        <v>0.88224387954035044</v>
      </c>
      <c r="H6" s="145">
        <f>IFERROR(VLOOKUP($B6,'2012'!$B:$Q,12,0),0)</f>
        <v>24</v>
      </c>
      <c r="I6" s="145">
        <f>IFERROR(VLOOKUP($B6,'2012'!$B:$Q,13,0),"")</f>
        <v>2.3407071340266303</v>
      </c>
      <c r="J6" s="145"/>
      <c r="K6" s="145"/>
      <c r="L6" s="145">
        <f>IFERROR(VLOOKUP($B6,'公共开发部(开发测试)'!$B:$Q,12,0),0)</f>
        <v>49</v>
      </c>
      <c r="M6" s="145">
        <f>IFERROR(VLOOKUP($B6,'公共开发部(开发测试)'!$B:$Q,13,0),"")</f>
        <v>1.8789247106677274</v>
      </c>
      <c r="N6" s="145">
        <f>IFERROR(VLOOKUP($B6,BSS!$B:$Q,12,0),0)</f>
        <v>33</v>
      </c>
      <c r="O6" s="145">
        <f>IFERROR(VLOOKUP($B6,BSS!$B:$Q,13,0),"")</f>
        <v>1.4316227978139136</v>
      </c>
      <c r="P6" s="145">
        <f>IFERROR(VLOOKUP($B6,GSD!$B:$Q,12,0),0)</f>
        <v>43</v>
      </c>
      <c r="Q6" s="145">
        <f>IFERROR(VLOOKUP($B6,GSD!$B:$Q,13,0),"")</f>
        <v>2.1735112706730964</v>
      </c>
      <c r="R6" s="145"/>
      <c r="S6" s="145"/>
      <c r="T6" s="145">
        <f>IFERROR(VLOOKUP($B6,'网络(C开发)'!$B:$Q,12,0),0)</f>
        <v>7</v>
      </c>
      <c r="U6" s="145">
        <f>IFERROR(VLOOKUP($B6,'网络(C开发)'!$B:$Q,13,0),"")</f>
        <v>2.0889581608845836E-2</v>
      </c>
      <c r="V6" s="145">
        <f>IFERROR(VLOOKUP($B6,'网络(J开发)'!$B:$Q,12,0),0)</f>
        <v>7</v>
      </c>
      <c r="W6" s="145">
        <f>IFERROR(VLOOKUP($B6,'网络(J开发)'!$B:$Q,13,0),"")</f>
        <v>5.4999035846222552E-2</v>
      </c>
      <c r="X6" s="145">
        <f>IFERROR(VLOOKUP($B6,'无线(开发效率)'!$B:$Q,12,0),0)</f>
        <v>54</v>
      </c>
      <c r="Y6" s="145">
        <f>IFERROR(VLOOKUP($B6,'无线(开发效率)'!$B:$Q,13,0),"")</f>
        <v>5.1847646407458789</v>
      </c>
      <c r="Z6" s="145"/>
      <c r="AA6" s="145"/>
      <c r="AB6" s="145"/>
      <c r="AC6" s="145"/>
      <c r="AD6" s="145"/>
      <c r="AE6" s="145"/>
      <c r="AF6" s="145"/>
      <c r="AG6" s="145"/>
      <c r="AH6" s="145"/>
      <c r="AI6" s="145"/>
    </row>
    <row r="7" spans="1:35" s="85" customFormat="1" ht="19.5" customHeight="1">
      <c r="A7" s="367"/>
      <c r="B7" s="140" t="s">
        <v>203</v>
      </c>
      <c r="C7" s="221">
        <f t="shared" si="2"/>
        <v>323</v>
      </c>
      <c r="D7" s="4">
        <f t="shared" si="0"/>
        <v>13.817497759346647</v>
      </c>
      <c r="E7" s="4">
        <f t="shared" si="1"/>
        <v>6.5379569483557498</v>
      </c>
      <c r="F7" s="4">
        <f t="shared" si="4"/>
        <v>20.355454707702396</v>
      </c>
      <c r="G7" s="144">
        <f t="shared" si="3"/>
        <v>7.2795408109908974</v>
      </c>
      <c r="H7" s="145">
        <f>IFERROR(VLOOKUP($B7,'2012'!$B:$Q,12,0),0)</f>
        <v>23</v>
      </c>
      <c r="I7" s="145">
        <f>IFERROR(VLOOKUP($B7,'2012'!$B:$Q,13,0),"")</f>
        <v>19.810823799014152</v>
      </c>
      <c r="J7" s="145">
        <f>IFERROR(VLOOKUP($B7,云核!$B:$Q,12,0),0)</f>
        <v>38</v>
      </c>
      <c r="K7" s="145">
        <f>IFERROR(VLOOKUP($B7,云核!$B:$Q,13,0),"")</f>
        <v>15.201578947368423</v>
      </c>
      <c r="L7" s="145">
        <f>IFERROR(VLOOKUP($B7,'公共开发部(开发测试)'!$B:$Q,12,0),0)</f>
        <v>22</v>
      </c>
      <c r="M7" s="145">
        <f>IFERROR(VLOOKUP($B7,'公共开发部(开发测试)'!$B:$Q,13,0),"")</f>
        <v>6.5201927639139168</v>
      </c>
      <c r="N7" s="145">
        <f>IFERROR(VLOOKUP($B7,BSS!$B:$Q,12,0),0)</f>
        <v>51</v>
      </c>
      <c r="O7" s="145">
        <f>IFERROR(VLOOKUP($B7,BSS!$B:$Q,13,0),"")</f>
        <v>9.6406598930101293</v>
      </c>
      <c r="P7" s="145">
        <f>IFERROR(VLOOKUP($B7,GSD!$B:$Q,12,0),0)</f>
        <v>172</v>
      </c>
      <c r="Q7" s="145">
        <f>IFERROR(VLOOKUP($B7,GSD!$B:$Q,13,0),"")</f>
        <v>14.175144962453595</v>
      </c>
      <c r="R7" s="145">
        <f>IFERROR(VLOOKUP($B7,'企业IT(开发测试)'!$B:$Q,12,0),0)</f>
        <v>3</v>
      </c>
      <c r="S7" s="145">
        <f>IFERROR(VLOOKUP($B7,'企业IT(开发测试)'!$B:$Q,13,0),"")</f>
        <v>7.09</v>
      </c>
      <c r="T7" s="145"/>
      <c r="U7" s="145"/>
      <c r="V7" s="145"/>
      <c r="W7" s="145"/>
      <c r="X7" s="145"/>
      <c r="Y7" s="145"/>
      <c r="Z7" s="145"/>
      <c r="AA7" s="145"/>
      <c r="AB7" s="145">
        <f>IFERROR(VLOOKUP($B7,'云BU(开发测试)'!$B:$Q,12,0),0)</f>
        <v>14</v>
      </c>
      <c r="AC7" s="145">
        <f>IFERROR(VLOOKUP($B7,'云BU(开发测试)'!$B:$Q,13,0),"")</f>
        <v>23.945</v>
      </c>
      <c r="AD7" s="145"/>
      <c r="AE7" s="145"/>
      <c r="AF7" s="145"/>
      <c r="AG7" s="145"/>
      <c r="AH7" s="145"/>
      <c r="AI7" s="145"/>
    </row>
    <row r="8" spans="1:35" s="85" customFormat="1" ht="19.5" customHeight="1">
      <c r="A8" s="367"/>
      <c r="B8" s="140" t="s">
        <v>205</v>
      </c>
      <c r="C8" s="221">
        <f t="shared" si="2"/>
        <v>382</v>
      </c>
      <c r="D8" s="4">
        <f t="shared" si="0"/>
        <v>18.504803427406475</v>
      </c>
      <c r="E8" s="4">
        <f t="shared" si="1"/>
        <v>22.705345727043202</v>
      </c>
      <c r="F8" s="4">
        <f t="shared" si="4"/>
        <v>41.210149154449681</v>
      </c>
      <c r="G8" s="144">
        <f t="shared" si="3"/>
        <v>0</v>
      </c>
      <c r="H8" s="145">
        <f>IFERROR(VLOOKUP($B8,'2012'!$B:$Q,12,0),0)</f>
        <v>26</v>
      </c>
      <c r="I8" s="145">
        <f>IFERROR(VLOOKUP($B8,'2012'!$B:$Q,13,0),"")</f>
        <v>24.466148883016611</v>
      </c>
      <c r="J8" s="145">
        <f>IFERROR(VLOOKUP($B8,云核!$B:$Q,12,0),0)</f>
        <v>65</v>
      </c>
      <c r="K8" s="145">
        <f>IFERROR(VLOOKUP($B8,云核!$B:$Q,13,0),"")</f>
        <v>18.751230769230773</v>
      </c>
      <c r="L8" s="145">
        <f>IFERROR(VLOOKUP($B8,'公共开发部(开发测试)'!$B:$Q,12,0),0)</f>
        <v>23</v>
      </c>
      <c r="M8" s="145">
        <f>IFERROR(VLOOKUP($B8,'公共开发部(开发测试)'!$B:$Q,13,0),"")</f>
        <v>12.650181011050575</v>
      </c>
      <c r="N8" s="145">
        <f>IFERROR(VLOOKUP($B8,BSS!$B:$Q,12,0),0)</f>
        <v>55</v>
      </c>
      <c r="O8" s="145">
        <f>IFERROR(VLOOKUP($B8,BSS!$B:$Q,13,0),"")</f>
        <v>15.825689510889182</v>
      </c>
      <c r="P8" s="145">
        <f>IFERROR(VLOOKUP($B8,GSD!$B:$Q,12,0),0)</f>
        <v>178</v>
      </c>
      <c r="Q8" s="145">
        <f>IFERROR(VLOOKUP($B8,GSD!$B:$Q,13,0),"")</f>
        <v>15.034242077929752</v>
      </c>
      <c r="R8" s="145">
        <f>IFERROR(VLOOKUP($B8,'企业IT(开发测试)'!$B:$Q,12,0),0)</f>
        <v>5</v>
      </c>
      <c r="S8" s="145">
        <f>IFERROR(VLOOKUP($B8,'企业IT(开发测试)'!$B:$Q,13,0),"")</f>
        <v>10.712436670687575</v>
      </c>
      <c r="T8" s="145">
        <f>IFERROR(VLOOKUP($B8,'网络(C开发)'!$B:$Q,12,0),0)</f>
        <v>4</v>
      </c>
      <c r="U8" s="145">
        <f>IFERROR(VLOOKUP($B8,'网络(C开发)'!$B:$Q,13,0),"")</f>
        <v>0.85309010769262394</v>
      </c>
      <c r="V8" s="145"/>
      <c r="W8" s="145"/>
      <c r="X8" s="145"/>
      <c r="Y8" s="145"/>
      <c r="Z8" s="145">
        <f>IFERROR(VLOOKUP($B8,'消费者云服务(开发测试)'!$B:$Q,12,0),0)</f>
        <v>12</v>
      </c>
      <c r="AA8" s="145">
        <f>IFERROR(VLOOKUP($B8,'消费者云服务(开发测试)'!$B:$Q,13,0),"")</f>
        <v>79.866526525172361</v>
      </c>
      <c r="AB8" s="145">
        <f>IFERROR(VLOOKUP($B8,'云BU(开发测试)'!$B:$Q,12,0),0)</f>
        <v>14</v>
      </c>
      <c r="AC8" s="145">
        <f>IFERROR(VLOOKUP($B8,'云BU(开发测试)'!$B:$Q,13,0),"")</f>
        <v>25.789285714285715</v>
      </c>
      <c r="AD8" s="145"/>
      <c r="AE8" s="145"/>
      <c r="AF8" s="145"/>
      <c r="AG8" s="145"/>
      <c r="AH8" s="145"/>
      <c r="AI8" s="145"/>
    </row>
    <row r="9" spans="1:35" s="85" customFormat="1" ht="19.5" customHeight="1">
      <c r="A9" s="367"/>
      <c r="B9" s="140" t="s">
        <v>224</v>
      </c>
      <c r="C9" s="221">
        <f t="shared" si="2"/>
        <v>155</v>
      </c>
      <c r="D9" s="4">
        <f t="shared" si="0"/>
        <v>163.62341715668146</v>
      </c>
      <c r="E9" s="4">
        <f t="shared" si="1"/>
        <v>84.094896390445939</v>
      </c>
      <c r="F9" s="4">
        <f t="shared" si="4"/>
        <v>247.71831354712739</v>
      </c>
      <c r="G9" s="144">
        <f t="shared" si="3"/>
        <v>79.528520766235516</v>
      </c>
      <c r="H9" s="145">
        <f>IFERROR(VLOOKUP($B9,'2012'!$B:$Q,12,0),0)</f>
        <v>23</v>
      </c>
      <c r="I9" s="145">
        <f>IFERROR(VLOOKUP($B9,'2012'!$B:$Q,13,0),"")</f>
        <v>108.72056159420291</v>
      </c>
      <c r="J9" s="145"/>
      <c r="K9" s="145"/>
      <c r="L9" s="145"/>
      <c r="M9" s="145"/>
      <c r="N9" s="145">
        <f>IFERROR(VLOOKUP($B9,BSS!$B:$Q,12,0),0)</f>
        <v>43</v>
      </c>
      <c r="O9" s="145">
        <f>IFERROR(VLOOKUP($B9,BSS!$B:$Q,13,0),"")</f>
        <v>105.30389212478129</v>
      </c>
      <c r="P9" s="145">
        <f>IFERROR(VLOOKUP($B9,GSD!$B:$Q,12,0),0)</f>
        <v>17</v>
      </c>
      <c r="Q9" s="145">
        <f>IFERROR(VLOOKUP($B9,GSD!$B:$Q,13,0),"")</f>
        <v>105.54046408804557</v>
      </c>
      <c r="R9" s="145"/>
      <c r="S9" s="145"/>
      <c r="T9" s="145"/>
      <c r="U9" s="145"/>
      <c r="V9" s="145"/>
      <c r="W9" s="145"/>
      <c r="X9" s="145">
        <f>IFERROR(VLOOKUP($B9,'无线(开发效率)'!$B:$Q,12,0),0)</f>
        <v>66</v>
      </c>
      <c r="Y9" s="145">
        <f>IFERROR(VLOOKUP($B9,'无线(开发效率)'!$B:$Q,13,0),"")</f>
        <v>249.24987108722101</v>
      </c>
      <c r="Z9" s="145"/>
      <c r="AA9" s="145"/>
      <c r="AB9" s="145">
        <f>IFERROR(VLOOKUP($B9,'云BU(开发测试)'!$B:$Q,12,0),0)</f>
        <v>6</v>
      </c>
      <c r="AC9" s="145">
        <f>IFERROR(VLOOKUP($B9,'云BU(开发测试)'!$B:$Q,13,0),"")</f>
        <v>14.718333333333334</v>
      </c>
      <c r="AD9" s="145"/>
      <c r="AE9" s="145"/>
      <c r="AF9" s="145"/>
      <c r="AG9" s="145"/>
      <c r="AH9" s="145"/>
      <c r="AI9" s="145"/>
    </row>
    <row r="10" spans="1:35" s="85" customFormat="1" ht="19.5" customHeight="1">
      <c r="A10" s="367"/>
      <c r="B10" s="140" t="s">
        <v>234</v>
      </c>
      <c r="C10" s="221">
        <f t="shared" si="2"/>
        <v>107</v>
      </c>
      <c r="D10" s="4">
        <f t="shared" si="0"/>
        <v>13.21470122629491</v>
      </c>
      <c r="E10" s="4">
        <f t="shared" si="1"/>
        <v>232.08874988237244</v>
      </c>
      <c r="F10" s="4">
        <f t="shared" si="4"/>
        <v>245.30345110866736</v>
      </c>
      <c r="G10" s="144">
        <f t="shared" si="3"/>
        <v>0</v>
      </c>
      <c r="H10" s="145">
        <f>IFERROR(VLOOKUP($B10,'2012'!$B:$Q,12,0),0)</f>
        <v>12</v>
      </c>
      <c r="I10" s="145">
        <f>IFERROR(VLOOKUP($B10,'2012'!$B:$Q,13,0),"")</f>
        <v>19.776546250684181</v>
      </c>
      <c r="J10" s="145">
        <f>IFERROR(VLOOKUP($B10,云核!$B:$Q,12,0),0)</f>
        <v>2</v>
      </c>
      <c r="K10" s="145">
        <f>IFERROR(VLOOKUP($B10,云核!$B:$Q,13,0),"")</f>
        <v>3.8249672309050897</v>
      </c>
      <c r="L10" s="145">
        <f>IFERROR(VLOOKUP($B10,'公共开发部(开发测试)'!$B:$Q,12,0),0)</f>
        <v>5</v>
      </c>
      <c r="M10" s="145">
        <f>IFERROR(VLOOKUP($B10,'公共开发部(开发测试)'!$B:$Q,13,0),"")</f>
        <v>2.4048371917937135</v>
      </c>
      <c r="N10" s="145">
        <f>IFERROR(VLOOKUP($B10,BSS!$B:$Q,12,0),0)</f>
        <v>34</v>
      </c>
      <c r="O10" s="145">
        <f>IFERROR(VLOOKUP($B10,BSS!$B:$Q,13,0),"")</f>
        <v>7.9111764705882361</v>
      </c>
      <c r="P10" s="145">
        <f>IFERROR(VLOOKUP($B10,GSD!$B:$Q,12,0),0)</f>
        <v>29</v>
      </c>
      <c r="Q10" s="145">
        <f>IFERROR(VLOOKUP($B10,GSD!$B:$Q,13,0),"")</f>
        <v>9.2069088201574587</v>
      </c>
      <c r="R10" s="145">
        <f>IFERROR(VLOOKUP($B10,'企业IT(开发测试)'!$B:$Q,12,0),0)</f>
        <v>1</v>
      </c>
      <c r="S10" s="145">
        <f>IFERROR(VLOOKUP($B10,'企业IT(开发测试)'!$B:$Q,13,0),"")</f>
        <v>621</v>
      </c>
      <c r="T10" s="145"/>
      <c r="U10" s="145"/>
      <c r="V10" s="145"/>
      <c r="W10" s="145"/>
      <c r="X10" s="145">
        <f>IFERROR(VLOOKUP($B10,'无线(开发效率)'!$B:$Q,12,0),0)</f>
        <v>24</v>
      </c>
      <c r="Y10" s="145">
        <f>IFERROR(VLOOKUP($B10,'无线(开发效率)'!$B:$Q,13,0),"")</f>
        <v>0</v>
      </c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</row>
    <row r="11" spans="1:35" s="86" customFormat="1" ht="19.5" customHeight="1">
      <c r="A11" s="367"/>
      <c r="B11" s="140" t="s">
        <v>226</v>
      </c>
      <c r="C11" s="221">
        <f t="shared" si="2"/>
        <v>328</v>
      </c>
      <c r="D11" s="23">
        <f t="shared" si="0"/>
        <v>1.4831535930741095E-2</v>
      </c>
      <c r="E11" s="23">
        <f t="shared" si="1"/>
        <v>3.0197760072651566E-2</v>
      </c>
      <c r="F11" s="23">
        <f t="shared" si="4"/>
        <v>4.5029296003392658E-2</v>
      </c>
      <c r="G11" s="156">
        <f t="shared" si="3"/>
        <v>0</v>
      </c>
      <c r="H11" s="145">
        <f>IFERROR(VLOOKUP($B11,'2012'!$B:$Q,12,0),0)</f>
        <v>22</v>
      </c>
      <c r="I11" s="145">
        <f>IFERROR(VLOOKUP($B11,'2012'!$B:$Q,13,0),"")</f>
        <v>8.0542582046592731E-2</v>
      </c>
      <c r="J11" s="145"/>
      <c r="K11" s="145"/>
      <c r="L11" s="145">
        <f>IFERROR(VLOOKUP($B11,'公共开发部(开发测试)'!$B:$Q,12,0),0)</f>
        <v>57</v>
      </c>
      <c r="M11" s="145">
        <f>IFERROR(VLOOKUP($B11,'公共开发部(开发测试)'!$B:$Q,13,0),"")</f>
        <v>0</v>
      </c>
      <c r="N11" s="145">
        <f>IFERROR(VLOOKUP($B11,BSS!$B:$Q,12,0),0)</f>
        <v>52</v>
      </c>
      <c r="O11" s="145">
        <f>IFERROR(VLOOKUP($B11,BSS!$B:$Q,13,0),"")</f>
        <v>2.2833091819984882E-2</v>
      </c>
      <c r="P11" s="145">
        <f>IFERROR(VLOOKUP($B11,GSD!$B:$Q,12,0),0)</f>
        <v>10</v>
      </c>
      <c r="Q11" s="145">
        <f>IFERROR(VLOOKUP($B11,GSD!$B:$Q,13,0),"")</f>
        <v>5.7387552692870623E-2</v>
      </c>
      <c r="R11" s="145">
        <f>IFERROR(VLOOKUP($B11,'企业IT(开发测试)'!$B:$Q,12,0),0)</f>
        <v>16</v>
      </c>
      <c r="S11" s="145">
        <f>IFERROR(VLOOKUP($B11,'企业IT(开发测试)'!$B:$Q,13,0),"")</f>
        <v>1.3437500000000002E-2</v>
      </c>
      <c r="T11" s="145">
        <f>IFERROR(VLOOKUP($B11,'网络(C开发)'!$B:$Q,12,0),0)</f>
        <v>27</v>
      </c>
      <c r="U11" s="145">
        <f>IFERROR(VLOOKUP($B11,'网络(C开发)'!$B:$Q,13,0),"")</f>
        <v>0</v>
      </c>
      <c r="V11" s="145">
        <f>IFERROR(VLOOKUP($B11,'网络(J开发)'!$B:$Q,12,0),0)</f>
        <v>12</v>
      </c>
      <c r="W11" s="145">
        <f>IFERROR(VLOOKUP($B11,'网络(J开发)'!$B:$Q,13,0),"")</f>
        <v>0</v>
      </c>
      <c r="X11" s="145">
        <f>IFERROR(VLOOKUP($B11,'无线(开发效率)'!$B:$Q,12,0),0)</f>
        <v>132</v>
      </c>
      <c r="Y11" s="145">
        <f>IFERROR(VLOOKUP($B11,'无线(开发效率)'!$B:$Q,13,0),"")</f>
        <v>8.4591718082584789E-3</v>
      </c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</row>
    <row r="12" spans="1:35" s="87" customFormat="1" ht="19.5" customHeight="1">
      <c r="A12" s="367"/>
      <c r="B12" s="140" t="s">
        <v>204</v>
      </c>
      <c r="C12" s="221">
        <f t="shared" si="2"/>
        <v>850</v>
      </c>
      <c r="D12" s="23">
        <f t="shared" si="0"/>
        <v>7.8784747757256607E-4</v>
      </c>
      <c r="E12" s="23">
        <f t="shared" si="1"/>
        <v>4.8781849506323244E-3</v>
      </c>
      <c r="F12" s="23">
        <f t="shared" si="4"/>
        <v>5.6660324282048905E-3</v>
      </c>
      <c r="G12" s="156">
        <f t="shared" si="3"/>
        <v>0</v>
      </c>
      <c r="H12" s="145">
        <f>IFERROR(VLOOKUP($B12,'2012'!$B:$Q,12,0),0)</f>
        <v>41</v>
      </c>
      <c r="I12" s="145">
        <f>IFERROR(VLOOKUP($B12,'2012'!$B:$Q,13,0),"")</f>
        <v>0</v>
      </c>
      <c r="J12" s="145">
        <f>IFERROR(VLOOKUP($B12,云核!$B:$Q,12,0),0)</f>
        <v>208</v>
      </c>
      <c r="K12" s="145">
        <f>IFERROR(VLOOKUP($B12,云核!$B:$Q,13,0),"")</f>
        <v>1.4423076923076922E-4</v>
      </c>
      <c r="L12" s="145">
        <f>IFERROR(VLOOKUP($B12,'公共开发部(开发测试)'!$B:$Q,12,0),0)</f>
        <v>56</v>
      </c>
      <c r="M12" s="145">
        <f>IFERROR(VLOOKUP($B12,'公共开发部(开发测试)'!$B:$Q,13,0),"")</f>
        <v>0</v>
      </c>
      <c r="N12" s="145">
        <f>IFERROR(VLOOKUP($B12,BSS!$B:$Q,12,0),0)</f>
        <v>72</v>
      </c>
      <c r="O12" s="145">
        <f>IFERROR(VLOOKUP($B12,BSS!$B:$Q,13,0),"")</f>
        <v>6.9444444444444447E-4</v>
      </c>
      <c r="P12" s="145">
        <f>IFERROR(VLOOKUP($B12,GSD!$B:$Q,12,0),0)</f>
        <v>211</v>
      </c>
      <c r="Q12" s="145">
        <f>IFERROR(VLOOKUP($B12,GSD!$B:$Q,13,0),"")</f>
        <v>2.8279962050756112E-3</v>
      </c>
      <c r="R12" s="145">
        <f>IFERROR(VLOOKUP($B12,'企业IT(开发测试)'!$B:$Q,12,0),0)</f>
        <v>71</v>
      </c>
      <c r="S12" s="145">
        <f>IFERROR(VLOOKUP($B12,'企业IT(开发测试)'!$B:$Q,13,0),"")</f>
        <v>1.1126760563380283E-2</v>
      </c>
      <c r="T12" s="145">
        <f>IFERROR(VLOOKUP($B12,'网络(C开发)'!$B:$Q,12,0),0)</f>
        <v>26</v>
      </c>
      <c r="U12" s="145">
        <f>IFERROR(VLOOKUP($B12,'网络(C开发)'!$B:$Q,13,0),"")</f>
        <v>-2.4426370580216735E-3</v>
      </c>
      <c r="V12" s="145">
        <f>IFERROR(VLOOKUP($B12,'网络(J开发)'!$B:$Q,12,0),0)</f>
        <v>12</v>
      </c>
      <c r="W12" s="145">
        <f>IFERROR(VLOOKUP($B12,'网络(J开发)'!$B:$Q,13,0),"")</f>
        <v>-1.2242602358881428E-3</v>
      </c>
      <c r="X12" s="145">
        <f>IFERROR(VLOOKUP($B12,'无线(开发效率)'!$B:$Q,12,0),0)</f>
        <v>83</v>
      </c>
      <c r="Y12" s="145">
        <f>IFERROR(VLOOKUP($B12,'无线(开发效率)'!$B:$Q,13,0),"")</f>
        <v>-8.6606886384945989E-3</v>
      </c>
      <c r="Z12" s="145"/>
      <c r="AA12" s="145"/>
      <c r="AB12" s="145">
        <f>IFERROR(VLOOKUP($B12,'云BU(开发测试)'!$B:$Q,12,0),0)</f>
        <v>70</v>
      </c>
      <c r="AC12" s="145">
        <f>IFERROR(VLOOKUP($B12,'云BU(开发测试)'!$B:$Q,13,0),"")</f>
        <v>0</v>
      </c>
      <c r="AD12" s="145"/>
      <c r="AE12" s="145"/>
      <c r="AF12" s="145"/>
      <c r="AG12" s="145"/>
      <c r="AH12" s="145"/>
      <c r="AI12" s="145"/>
    </row>
    <row r="13" spans="1:35" s="85" customFormat="1" ht="19.5" customHeight="1">
      <c r="A13" s="367"/>
      <c r="B13" s="140" t="s">
        <v>206</v>
      </c>
      <c r="C13" s="221">
        <f t="shared" si="2"/>
        <v>422</v>
      </c>
      <c r="D13" s="23">
        <f t="shared" si="0"/>
        <v>1.4849709470802629E-2</v>
      </c>
      <c r="E13" s="23">
        <f t="shared" si="1"/>
        <v>1.1923450235354332E-2</v>
      </c>
      <c r="F13" s="23">
        <f t="shared" si="4"/>
        <v>2.6773159706156961E-2</v>
      </c>
      <c r="G13" s="156">
        <f t="shared" si="3"/>
        <v>2.9262592354482968E-3</v>
      </c>
      <c r="H13" s="145">
        <f>IFERROR(VLOOKUP($B13,'2012'!$B:$Q,12,0),0)</f>
        <v>34</v>
      </c>
      <c r="I13" s="145">
        <f>IFERROR(VLOOKUP($B13,'2012'!$B:$Q,13,0),"")</f>
        <v>0</v>
      </c>
      <c r="J13" s="145">
        <f>IFERROR(VLOOKUP($B13,云核!$B:$Q,12,0),0)</f>
        <v>79</v>
      </c>
      <c r="K13" s="145">
        <f>IFERROR(VLOOKUP($B13,云核!$B:$Q,13,0),"")</f>
        <v>7.8670886075949374E-3</v>
      </c>
      <c r="L13" s="145">
        <f>IFERROR(VLOOKUP($B13,'公共开发部(开发测试)'!$B:$Q,12,0),0)</f>
        <v>54</v>
      </c>
      <c r="M13" s="145">
        <f>IFERROR(VLOOKUP($B13,'公共开发部(开发测试)'!$B:$Q,13,0),"")</f>
        <v>9.2291309142119391E-3</v>
      </c>
      <c r="N13" s="145">
        <f>IFERROR(VLOOKUP($B13,BSS!$B:$Q,12,0),0)</f>
        <v>63</v>
      </c>
      <c r="O13" s="145">
        <f>IFERROR(VLOOKUP($B13,BSS!$B:$Q,13,0),"")</f>
        <v>1.6912870684552581E-2</v>
      </c>
      <c r="P13" s="145">
        <f>IFERROR(VLOOKUP($B13,GSD!$B:$Q,12,0),0)</f>
        <v>105</v>
      </c>
      <c r="Q13" s="145">
        <f>IFERROR(VLOOKUP($B13,GSD!$B:$Q,13,0),"")</f>
        <v>3.6164918347177902E-2</v>
      </c>
      <c r="R13" s="145">
        <f>IFERROR(VLOOKUP($B13,'企业IT(开发测试)'!$B:$Q,12,0),0)</f>
        <v>46</v>
      </c>
      <c r="S13" s="145">
        <f>IFERROR(VLOOKUP($B13,'企业IT(开发测试)'!$B:$Q,13,0),"")</f>
        <v>6.4044757328175468E-3</v>
      </c>
      <c r="T13" s="145">
        <f>IFERROR(VLOOKUP($B13,'网络(C开发)'!$B:$Q,12,0),0)</f>
        <v>27</v>
      </c>
      <c r="U13" s="145">
        <f>IFERROR(VLOOKUP($B13,'网络(C开发)'!$B:$Q,13,0),"")</f>
        <v>-3.9736429551244073E-4</v>
      </c>
      <c r="V13" s="145">
        <f>IFERROR(VLOOKUP($B13,'网络(J开发)'!$B:$Q,12,0),0)</f>
        <v>12</v>
      </c>
      <c r="W13" s="145">
        <f>IFERROR(VLOOKUP($B13,'网络(J开发)'!$B:$Q,13,0),"")</f>
        <v>0</v>
      </c>
      <c r="X13" s="145"/>
      <c r="Y13" s="145"/>
      <c r="Z13" s="145"/>
      <c r="AA13" s="145"/>
      <c r="AB13" s="145">
        <f>IFERROR(VLOOKUP($B13,'云BU(开发测试)'!$B:$Q,12,0),0)</f>
        <v>2</v>
      </c>
      <c r="AC13" s="145">
        <f>IFERROR(VLOOKUP($B13,'云BU(开发测试)'!$B:$Q,13,0),"")</f>
        <v>0</v>
      </c>
      <c r="AD13" s="145"/>
      <c r="AE13" s="145"/>
      <c r="AF13" s="145"/>
      <c r="AG13" s="145"/>
      <c r="AH13" s="145"/>
      <c r="AI13" s="145"/>
    </row>
    <row r="14" spans="1:35" s="86" customFormat="1" ht="19.5" customHeight="1">
      <c r="A14" s="368" t="s">
        <v>201</v>
      </c>
      <c r="B14" s="140" t="s">
        <v>207</v>
      </c>
      <c r="C14" s="221">
        <f t="shared" si="2"/>
        <v>600</v>
      </c>
      <c r="D14" s="23">
        <f t="shared" si="0"/>
        <v>0.94457460012340766</v>
      </c>
      <c r="E14" s="23">
        <f t="shared" si="1"/>
        <v>5.1243738570987588E-2</v>
      </c>
      <c r="F14" s="23">
        <f t="shared" si="4"/>
        <v>1.0983058158363703</v>
      </c>
      <c r="G14" s="156">
        <f t="shared" si="3"/>
        <v>0.79084338441044488</v>
      </c>
      <c r="H14" s="145">
        <f>IFERROR(VLOOKUP($B14,'2012'!$B:$Q,12,0),0)</f>
        <v>34</v>
      </c>
      <c r="I14" s="145">
        <f>IFERROR(VLOOKUP($B14,'2012'!$B:$Q,13,0),"")</f>
        <v>0.85263336940127221</v>
      </c>
      <c r="J14" s="145">
        <f>IFERROR(VLOOKUP($B14,云核!$B:$Q,12,0),0)</f>
        <v>59</v>
      </c>
      <c r="K14" s="145">
        <f>IFERROR(VLOOKUP($B14,云核!$B:$Q,13,0),"")</f>
        <v>0.96959322033898299</v>
      </c>
      <c r="L14" s="145">
        <f>IFERROR(VLOOKUP($B14,'公共开发部(开发测试)'!$B:$Q,12,0),0)</f>
        <v>54</v>
      </c>
      <c r="M14" s="145">
        <f>IFERROR(VLOOKUP($B14,'公共开发部(开发测试)'!$B:$Q,13,0),"")</f>
        <v>0.98980056980056985</v>
      </c>
      <c r="N14" s="145">
        <f>IFERROR(VLOOKUP($B14,BSS!$B:$Q,12,0),0)</f>
        <v>68</v>
      </c>
      <c r="O14" s="145">
        <f>IFERROR(VLOOKUP($B14,BSS!$B:$Q,13,0),"")</f>
        <v>0.96579636263187774</v>
      </c>
      <c r="P14" s="145">
        <f>IFERROR(VLOOKUP($B14,GSD!$B:$Q,12,0),0)</f>
        <v>213</v>
      </c>
      <c r="Q14" s="145">
        <f>IFERROR(VLOOKUP($B14,GSD!$B:$Q,13,0),"")</f>
        <v>0.92973300997059027</v>
      </c>
      <c r="R14" s="145">
        <f>IFERROR(VLOOKUP($B14,'企业IT(开发测试)'!$B:$Q,12,0),0)</f>
        <v>37</v>
      </c>
      <c r="S14" s="145">
        <f>IFERROR(VLOOKUP($B14,'企业IT(开发测试)'!$B:$Q,13,0),"")</f>
        <v>0.88626126126126115</v>
      </c>
      <c r="T14" s="145">
        <f>IFERROR(VLOOKUP($B14,'网络(C开发)'!$B:$Q,12,0),0)</f>
        <v>17</v>
      </c>
      <c r="U14" s="145">
        <f>IFERROR(VLOOKUP($B14,'网络(C开发)'!$B:$Q,13,0),"")</f>
        <v>0.87156729491631646</v>
      </c>
      <c r="V14" s="145">
        <f>IFERROR(VLOOKUP($B14,'网络(J开发)'!$B:$Q,12,0),0)</f>
        <v>11</v>
      </c>
      <c r="W14" s="145">
        <f>IFERROR(VLOOKUP($B14,'网络(J开发)'!$B:$Q,13,0),"")</f>
        <v>0.95021264209332967</v>
      </c>
      <c r="X14" s="145">
        <f>IFERROR(VLOOKUP($B14,'无线(开发效率)'!$B:$Q,12,0),0)</f>
        <v>107</v>
      </c>
      <c r="Y14" s="145">
        <f>IFERROR(VLOOKUP($B14,'无线(开发效率)'!$B:$Q,13,0),"")</f>
        <v>0.9844117870952942</v>
      </c>
      <c r="Z14" s="145"/>
      <c r="AA14" s="145"/>
      <c r="AB14" s="145"/>
      <c r="AC14" s="145"/>
      <c r="AD14" s="145"/>
      <c r="AE14" s="145"/>
      <c r="AF14" s="145"/>
      <c r="AG14" s="145"/>
      <c r="AH14" s="145"/>
      <c r="AI14" s="145"/>
    </row>
    <row r="15" spans="1:35" s="85" customFormat="1" ht="19.5" customHeight="1">
      <c r="A15" s="368"/>
      <c r="B15" s="140" t="s">
        <v>213</v>
      </c>
      <c r="C15" s="221">
        <f t="shared" si="2"/>
        <v>250</v>
      </c>
      <c r="D15" s="4">
        <f t="shared" si="0"/>
        <v>0.55451688347448058</v>
      </c>
      <c r="E15" s="4">
        <f t="shared" si="1"/>
        <v>0.18244386425470877</v>
      </c>
      <c r="F15" s="4">
        <f t="shared" si="4"/>
        <v>0.73696074772918929</v>
      </c>
      <c r="G15" s="144">
        <f t="shared" si="3"/>
        <v>0.37207301921977182</v>
      </c>
      <c r="H15" s="145">
        <f>IFERROR(VLOOKUP($B15,'2012'!$B:$Q,12,0),0)</f>
        <v>3</v>
      </c>
      <c r="I15" s="145">
        <f>IFERROR(VLOOKUP($B15,'2012'!$B:$Q,13,0),"")</f>
        <v>0.26333333333333336</v>
      </c>
      <c r="J15" s="145">
        <f>IFERROR(VLOOKUP($B15,云核!$B:$Q,12,0),0)</f>
        <v>36</v>
      </c>
      <c r="K15" s="145">
        <f>IFERROR(VLOOKUP($B15,云核!$B:$Q,13,0),"")</f>
        <v>0.48633333333333328</v>
      </c>
      <c r="L15" s="145">
        <f>IFERROR(VLOOKUP($B15,'公共开发部(开发测试)'!$B:$Q,12,0),0)</f>
        <v>6</v>
      </c>
      <c r="M15" s="145">
        <f>IFERROR(VLOOKUP($B15,'公共开发部(开发测试)'!$B:$Q,13,0),"")</f>
        <v>0.30598290598290595</v>
      </c>
      <c r="N15" s="145">
        <f>IFERROR(VLOOKUP($B15,BSS!$B:$Q,12,0),0)</f>
        <v>32</v>
      </c>
      <c r="O15" s="145">
        <f>IFERROR(VLOOKUP($B15,BSS!$B:$Q,13,0),"")</f>
        <v>0.76942934782608696</v>
      </c>
      <c r="P15" s="145">
        <f>IFERROR(VLOOKUP($B15,GSD!$B:$Q,12,0),0)</f>
        <v>172</v>
      </c>
      <c r="Q15" s="145">
        <f>IFERROR(VLOOKUP($B15,GSD!$B:$Q,13,0),"")</f>
        <v>0.5432766529202786</v>
      </c>
      <c r="R15" s="145">
        <f>IFERROR(VLOOKUP($B15,'企业IT(开发测试)'!$B:$Q,12,0),0)</f>
        <v>1</v>
      </c>
      <c r="S15" s="145">
        <f>IFERROR(VLOOKUP($B15,'企业IT(开发测试)'!$B:$Q,13,0),"")</f>
        <v>0.43</v>
      </c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</row>
    <row r="16" spans="1:35" s="85" customFormat="1" ht="19.5" customHeight="1">
      <c r="A16" s="368"/>
      <c r="B16" s="140" t="s">
        <v>235</v>
      </c>
      <c r="C16" s="221">
        <f t="shared" si="2"/>
        <v>255</v>
      </c>
      <c r="D16" s="4">
        <f t="shared" si="0"/>
        <v>0.53525858364400869</v>
      </c>
      <c r="E16" s="4">
        <f t="shared" si="1"/>
        <v>2.7351059114778666E-2</v>
      </c>
      <c r="F16" s="4">
        <f t="shared" si="4"/>
        <v>0.61731176098834473</v>
      </c>
      <c r="G16" s="144">
        <f t="shared" si="3"/>
        <v>0.45320540629967271</v>
      </c>
      <c r="H16" s="145">
        <f>IFERROR(VLOOKUP($B16,'2012'!$B:$Q,12,0),0)</f>
        <v>13</v>
      </c>
      <c r="I16" s="145">
        <f>IFERROR(VLOOKUP($B16,'2012'!$B:$Q,13,0),"")</f>
        <v>0.48000000000000004</v>
      </c>
      <c r="J16" s="145">
        <f>IFERROR(VLOOKUP($B16,云核!$B:$Q,12,0),0)</f>
        <v>63</v>
      </c>
      <c r="K16" s="145">
        <f>IFERROR(VLOOKUP($B16,云核!$B:$Q,13,0),"")</f>
        <v>0.55139682539682544</v>
      </c>
      <c r="L16" s="145">
        <f>IFERROR(VLOOKUP($B16,'公共开发部(开发测试)'!$B:$Q,12,0),0)</f>
        <v>10</v>
      </c>
      <c r="M16" s="145">
        <f>IFERROR(VLOOKUP($B16,'公共开发部(开发测试)'!$B:$Q,13,0),"")</f>
        <v>0.53417788502243657</v>
      </c>
      <c r="N16" s="145">
        <f>IFERROR(VLOOKUP($B16,BSS!$B:$Q,12,0),0)</f>
        <v>46</v>
      </c>
      <c r="O16" s="145">
        <f>IFERROR(VLOOKUP($B16,BSS!$B:$Q,13,0),"")</f>
        <v>0.52130485748174515</v>
      </c>
      <c r="P16" s="145">
        <f>IFERROR(VLOOKUP($B16,GSD!$B:$Q,12,0),0)</f>
        <v>123</v>
      </c>
      <c r="Q16" s="145">
        <f>IFERROR(VLOOKUP($B16,GSD!$B:$Q,13,0),"")</f>
        <v>0.5381393214214435</v>
      </c>
      <c r="R16" s="145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  <c r="AH16" s="145"/>
      <c r="AI16" s="145"/>
    </row>
    <row r="17" spans="1:35" s="85" customFormat="1" ht="19.5" customHeight="1">
      <c r="A17" s="368" t="s">
        <v>202</v>
      </c>
      <c r="B17" s="140" t="s">
        <v>208</v>
      </c>
      <c r="C17" s="221">
        <f t="shared" si="2"/>
        <v>701</v>
      </c>
      <c r="D17" s="4">
        <f t="shared" si="0"/>
        <v>6.3629894185769107</v>
      </c>
      <c r="E17" s="4">
        <f t="shared" si="1"/>
        <v>2.2693536897168305</v>
      </c>
      <c r="F17" s="4">
        <f t="shared" si="4"/>
        <v>8.6323431082937407</v>
      </c>
      <c r="G17" s="144">
        <f t="shared" si="3"/>
        <v>4.0936357288600806</v>
      </c>
      <c r="H17" s="145">
        <f>IFERROR(VLOOKUP($B17,'2012'!$B:$Q,12,0),0)</f>
        <v>29</v>
      </c>
      <c r="I17" s="145">
        <f>IFERROR(VLOOKUP($B17,'2012'!$B:$Q,13,0),"")</f>
        <v>9.5992207565881351</v>
      </c>
      <c r="J17" s="145">
        <f>IFERROR(VLOOKUP($B17,云核!$B:$Q,12,0),0)</f>
        <v>130</v>
      </c>
      <c r="K17" s="145">
        <f>IFERROR(VLOOKUP($B17,云核!$B:$Q,13,0),"")</f>
        <v>7.5165384615384649</v>
      </c>
      <c r="L17" s="145">
        <f>IFERROR(VLOOKUP($B17,'公共开发部(开发测试)'!$B:$Q,12,0),0)</f>
        <v>55</v>
      </c>
      <c r="M17" s="145">
        <f>IFERROR(VLOOKUP($B17,'公共开发部(开发测试)'!$B:$Q,13,0),"")</f>
        <v>8.2951871805416868</v>
      </c>
      <c r="N17" s="145">
        <f>IFERROR(VLOOKUP($B17,BSS!$B:$Q,12,0),0)</f>
        <v>62</v>
      </c>
      <c r="O17" s="145">
        <f>IFERROR(VLOOKUP($B17,BSS!$B:$Q,13,0),"")</f>
        <v>7.2201221127573172</v>
      </c>
      <c r="P17" s="145">
        <f>IFERROR(VLOOKUP($B17,GSD!$B:$Q,12,0),0)</f>
        <v>173</v>
      </c>
      <c r="Q17" s="145">
        <f>IFERROR(VLOOKUP($B17,GSD!$B:$Q,13,0),"")</f>
        <v>4.1347433305995347</v>
      </c>
      <c r="R17" s="145">
        <f>IFERROR(VLOOKUP($B17,'企业IT(开发测试)'!$B:$Q,12,0),0)</f>
        <v>41</v>
      </c>
      <c r="S17" s="145">
        <f>IFERROR(VLOOKUP($B17,'企业IT(开发测试)'!$B:$Q,13,0),"")</f>
        <v>7.790605432376795</v>
      </c>
      <c r="T17" s="145">
        <f>IFERROR(VLOOKUP($B17,'网络(C开发)'!$B:$Q,12,0),0)</f>
        <v>27</v>
      </c>
      <c r="U17" s="145">
        <f>IFERROR(VLOOKUP($B17,'网络(C开发)'!$B:$Q,13,0),"")</f>
        <v>8.9533952133224428</v>
      </c>
      <c r="V17" s="145">
        <f>IFERROR(VLOOKUP($B17,'网络(J开发)'!$B:$Q,12,0),0)</f>
        <v>12</v>
      </c>
      <c r="W17" s="145">
        <f>IFERROR(VLOOKUP($B17,'网络(J开发)'!$B:$Q,13,0),"")</f>
        <v>10.248858898713429</v>
      </c>
      <c r="X17" s="145">
        <f>IFERROR(VLOOKUP($B17,'无线(开发效率)'!$B:$Q,12,0),0)</f>
        <v>87</v>
      </c>
      <c r="Y17" s="145">
        <f>IFERROR(VLOOKUP($B17,'无线(开发效率)'!$B:$Q,13,0),"")</f>
        <v>5.1484730759122712</v>
      </c>
      <c r="Z17" s="145">
        <f>IFERROR(VLOOKUP($B17,'消费者云服务(开发测试)'!$B:$Q,12,0),0)</f>
        <v>16</v>
      </c>
      <c r="AA17" s="145">
        <f>IFERROR(VLOOKUP($B17,'消费者云服务(开发测试)'!$B:$Q,13,0),"")</f>
        <v>3.1453974427101818</v>
      </c>
      <c r="AB17" s="145">
        <f>IFERROR(VLOOKUP($B17,'云BU(开发测试)'!$B:$Q,12,0),0)</f>
        <v>69</v>
      </c>
      <c r="AC17" s="145">
        <f>IFERROR(VLOOKUP($B17,'云BU(开发测试)'!$B:$Q,13,0),"")</f>
        <v>5.8456290059050122</v>
      </c>
      <c r="AD17" s="145"/>
      <c r="AE17" s="145"/>
      <c r="AF17" s="145"/>
      <c r="AG17" s="145"/>
      <c r="AH17" s="145"/>
      <c r="AI17" s="145"/>
    </row>
    <row r="18" spans="1:35" s="85" customFormat="1" ht="19.5" customHeight="1">
      <c r="A18" s="368"/>
      <c r="B18" s="140" t="s">
        <v>236</v>
      </c>
      <c r="C18" s="221">
        <f t="shared" si="2"/>
        <v>448</v>
      </c>
      <c r="D18" s="4">
        <f t="shared" si="0"/>
        <v>1.8490602766606234</v>
      </c>
      <c r="E18" s="4">
        <f t="shared" si="1"/>
        <v>1.3344454888016828</v>
      </c>
      <c r="F18" s="4">
        <f t="shared" si="4"/>
        <v>3.1835057654623062</v>
      </c>
      <c r="G18" s="144">
        <f t="shared" si="3"/>
        <v>0.51461478785894066</v>
      </c>
      <c r="H18" s="145">
        <f>IFERROR(VLOOKUP($B18,'2012'!$B:$Q,12,0),0)</f>
        <v>6</v>
      </c>
      <c r="I18" s="145">
        <f>IFERROR(VLOOKUP($B18,'2012'!$B:$Q,13,0),"")</f>
        <v>2.0146153846153845</v>
      </c>
      <c r="J18" s="145">
        <f>IFERROR(VLOOKUP($B18,云核!$B:$Q,12,0),0)</f>
        <v>49</v>
      </c>
      <c r="K18" s="145">
        <f>IFERROR(VLOOKUP($B18,云核!$B:$Q,13,0),"")</f>
        <v>4.1618367346938792</v>
      </c>
      <c r="L18" s="145">
        <f>IFERROR(VLOOKUP($B18,'公共开发部(开发测试)'!$B:$Q,12,0),0)</f>
        <v>55</v>
      </c>
      <c r="M18" s="145">
        <f>IFERROR(VLOOKUP($B18,'公共开发部(开发测试)'!$B:$Q,13,0),"")</f>
        <v>1.5824757100094999</v>
      </c>
      <c r="N18" s="145">
        <f>IFERROR(VLOOKUP($B18,BSS!$B:$Q,12,0),0)</f>
        <v>19</v>
      </c>
      <c r="O18" s="145">
        <f>IFERROR(VLOOKUP($B18,BSS!$B:$Q,13,0),"")</f>
        <v>1.4526315789473685</v>
      </c>
      <c r="P18" s="145">
        <f>IFERROR(VLOOKUP($B18,GSD!$B:$Q,12,0),0)</f>
        <v>155</v>
      </c>
      <c r="Q18" s="145">
        <f>IFERROR(VLOOKUP($B18,GSD!$B:$Q,13,0),"")</f>
        <v>2.1190547146523677</v>
      </c>
      <c r="R18" s="145">
        <f>IFERROR(VLOOKUP($B18,'企业IT(开发测试)'!$B:$Q,12,0),0)</f>
        <v>27</v>
      </c>
      <c r="S18" s="145">
        <f>IFERROR(VLOOKUP($B18,'企业IT(开发测试)'!$B:$Q,13,0),"")</f>
        <v>0</v>
      </c>
      <c r="T18" s="145">
        <f>IFERROR(VLOOKUP($B18,'网络(C开发)'!$B:$Q,12,0),0)</f>
        <v>26</v>
      </c>
      <c r="U18" s="145">
        <f>IFERROR(VLOOKUP($B18,'网络(C开发)'!$B:$Q,13,0),"")</f>
        <v>2.8757067408736905</v>
      </c>
      <c r="V18" s="145">
        <f>IFERROR(VLOOKUP($B18,'网络(J开发)'!$B:$Q,12,0),0)</f>
        <v>8</v>
      </c>
      <c r="W18" s="145">
        <f>IFERROR(VLOOKUP($B18,'网络(J开发)'!$B:$Q,13,0),"")</f>
        <v>3.9769154383715897</v>
      </c>
      <c r="X18" s="145">
        <f>IFERROR(VLOOKUP($B18,'无线(开发效率)'!$B:$Q,12,0),0)</f>
        <v>96</v>
      </c>
      <c r="Y18" s="145">
        <f>IFERROR(VLOOKUP($B18,'无线(开发效率)'!$B:$Q,13,0),"")</f>
        <v>0.51872883380144597</v>
      </c>
      <c r="Z18" s="145"/>
      <c r="AA18" s="145"/>
      <c r="AB18" s="145">
        <f>IFERROR(VLOOKUP($B18,'云BU(开发测试)'!$B:$Q,12,0),0)</f>
        <v>7</v>
      </c>
      <c r="AC18" s="145">
        <f>IFERROR(VLOOKUP($B18,'云BU(开发测试)'!$B:$Q,13,0),"")</f>
        <v>1.8414285714285719</v>
      </c>
      <c r="AD18" s="145"/>
      <c r="AE18" s="145"/>
      <c r="AF18" s="145"/>
      <c r="AG18" s="145"/>
      <c r="AH18" s="145"/>
      <c r="AI18" s="145"/>
    </row>
    <row r="19" spans="1:35" ht="19.5" customHeight="1">
      <c r="A19" s="368"/>
      <c r="B19" s="140" t="s">
        <v>237</v>
      </c>
      <c r="C19" s="221">
        <f t="shared" si="2"/>
        <v>842</v>
      </c>
      <c r="D19" s="4">
        <f t="shared" si="0"/>
        <v>0.10985748218527316</v>
      </c>
      <c r="E19" s="4">
        <f t="shared" si="1"/>
        <v>0.28957167092196207</v>
      </c>
      <c r="F19" s="4">
        <f t="shared" si="4"/>
        <v>0.39942915310723526</v>
      </c>
      <c r="G19" s="144">
        <f t="shared" si="3"/>
        <v>0</v>
      </c>
      <c r="H19" s="145">
        <f>IFERROR(VLOOKUP($B19,'2012'!$B:$Q,12,0),0)</f>
        <v>42</v>
      </c>
      <c r="I19" s="145">
        <f>IFERROR(VLOOKUP($B19,'2012'!$B:$Q,13,0),"")</f>
        <v>0.59523809523809523</v>
      </c>
      <c r="J19" s="145">
        <f>IFERROR(VLOOKUP($B19,云核!$B:$Q,12,0),0)</f>
        <v>158</v>
      </c>
      <c r="K19" s="145">
        <f>IFERROR(VLOOKUP($B19,云核!$B:$Q,13,0),"")</f>
        <v>0</v>
      </c>
      <c r="L19" s="145">
        <f>IFERROR(VLOOKUP($B19,'公共开发部(开发测试)'!$B:$Q,12,0),0)</f>
        <v>56</v>
      </c>
      <c r="M19" s="145">
        <f>IFERROR(VLOOKUP($B19,'公共开发部(开发测试)'!$B:$Q,13,0),"")</f>
        <v>0.17857142857142858</v>
      </c>
      <c r="N19" s="145">
        <f>IFERROR(VLOOKUP($B19,BSS!$B:$Q,12,0),0)</f>
        <v>72</v>
      </c>
      <c r="O19" s="145">
        <f>IFERROR(VLOOKUP($B19,BSS!$B:$Q,13,0),"")</f>
        <v>0.33333333333333326</v>
      </c>
      <c r="P19" s="145">
        <f>IFERROR(VLOOKUP($B19,GSD!$B:$Q,12,0),0)</f>
        <v>219</v>
      </c>
      <c r="Q19" s="145">
        <f>IFERROR(VLOOKUP($B19,GSD!$B:$Q,13,0),"")</f>
        <v>5.4794520547945202E-2</v>
      </c>
      <c r="R19" s="145">
        <f>IFERROR(VLOOKUP($B19,'企业IT(开发测试)'!$B:$Q,12,0),0)</f>
        <v>76</v>
      </c>
      <c r="S19" s="145">
        <f>IFERROR(VLOOKUP($B19,'企业IT(开发测试)'!$B:$Q,13,0),"")</f>
        <v>7.8947368421052627E-2</v>
      </c>
      <c r="T19" s="145">
        <f>IFERROR(VLOOKUP($B19,'网络(C开发)'!$B:$Q,12,0),0)</f>
        <v>27</v>
      </c>
      <c r="U19" s="145">
        <f>IFERROR(VLOOKUP($B19,'网络(C开发)'!$B:$Q,13,0),"")</f>
        <v>8.3333333333333329E-2</v>
      </c>
      <c r="V19" s="145">
        <f>IFERROR(VLOOKUP($B19,'网络(J开发)'!$B:$Q,12,0),0)</f>
        <v>12</v>
      </c>
      <c r="W19" s="145">
        <f>IFERROR(VLOOKUP($B19,'网络(J开发)'!$B:$Q,13,0),"")</f>
        <v>0.85416666666666663</v>
      </c>
      <c r="X19" s="145">
        <f>IFERROR(VLOOKUP($B19,'无线(开发效率)'!$B:$Q,12,0),0)</f>
        <v>116</v>
      </c>
      <c r="Y19" s="145">
        <f>IFERROR(VLOOKUP($B19,'无线(开发效率)'!$B:$Q,13,0),"")</f>
        <v>1.7241379310344827E-2</v>
      </c>
      <c r="Z19" s="145"/>
      <c r="AA19" s="145"/>
      <c r="AB19" s="145">
        <f>IFERROR(VLOOKUP($B19,'云BU(开发测试)'!$B:$Q,12,0),0)</f>
        <v>64</v>
      </c>
      <c r="AC19" s="145">
        <f>IFERROR(VLOOKUP($B19,'云BU(开发测试)'!$B:$Q,13,0),"")</f>
        <v>1.5625E-2</v>
      </c>
      <c r="AD19" s="145"/>
      <c r="AE19" s="145"/>
      <c r="AF19" s="145"/>
      <c r="AG19" s="145"/>
      <c r="AH19" s="145"/>
      <c r="AI19" s="145"/>
    </row>
    <row r="20" spans="1:35" ht="19.5" customHeight="1">
      <c r="A20" s="368"/>
      <c r="B20" s="140" t="s">
        <v>238</v>
      </c>
      <c r="C20" s="221">
        <f t="shared" si="2"/>
        <v>847</v>
      </c>
      <c r="D20" s="4">
        <f t="shared" si="0"/>
        <v>2.6269185360094451E-2</v>
      </c>
      <c r="E20" s="4">
        <f t="shared" si="1"/>
        <v>0.53249778432038797</v>
      </c>
      <c r="F20" s="4">
        <f t="shared" si="4"/>
        <v>0.55876696968048245</v>
      </c>
      <c r="G20" s="144">
        <f t="shared" si="3"/>
        <v>0</v>
      </c>
      <c r="H20" s="145">
        <f>IFERROR(VLOOKUP($B20,'2012'!$B:$Q,12,0),0)</f>
        <v>43</v>
      </c>
      <c r="I20" s="145">
        <f>IFERROR(VLOOKUP($B20,'2012'!$B:$Q,13,0),"")</f>
        <v>0</v>
      </c>
      <c r="J20" s="145">
        <f>IFERROR(VLOOKUP($B20,云核!$B:$Q,12,0),0)</f>
        <v>156</v>
      </c>
      <c r="K20" s="145">
        <f>IFERROR(VLOOKUP($B20,云核!$B:$Q,13,0),"")</f>
        <v>0</v>
      </c>
      <c r="L20" s="145">
        <f>IFERROR(VLOOKUP($B20,'公共开发部(开发测试)'!$B:$Q,12,0),0)</f>
        <v>56</v>
      </c>
      <c r="M20" s="145">
        <f>IFERROR(VLOOKUP($B20,'公共开发部(开发测试)'!$B:$Q,13,0),"")</f>
        <v>3.5714285714285712E-2</v>
      </c>
      <c r="N20" s="145">
        <f>IFERROR(VLOOKUP($B20,BSS!$B:$Q,12,0),0)</f>
        <v>75</v>
      </c>
      <c r="O20" s="145">
        <f>IFERROR(VLOOKUP($B20,BSS!$B:$Q,13,0),"")</f>
        <v>0</v>
      </c>
      <c r="P20" s="145">
        <f>IFERROR(VLOOKUP($B20,GSD!$B:$Q,12,0),0)</f>
        <v>220</v>
      </c>
      <c r="Q20" s="145">
        <f>IFERROR(VLOOKUP($B20,GSD!$B:$Q,13,0),"")</f>
        <v>0</v>
      </c>
      <c r="R20" s="145">
        <f>IFERROR(VLOOKUP($B20,'企业IT(开发测试)'!$B:$Q,12,0),0)</f>
        <v>76</v>
      </c>
      <c r="S20" s="145">
        <f>IFERROR(VLOOKUP($B20,'企业IT(开发测试)'!$B:$Q,13,0),"")</f>
        <v>0</v>
      </c>
      <c r="T20" s="145">
        <f>IFERROR(VLOOKUP($B20,'网络(C开发)'!$B:$Q,12,0),0)</f>
        <v>27</v>
      </c>
      <c r="U20" s="145">
        <f>IFERROR(VLOOKUP($B20,'网络(C开发)'!$B:$Q,13,0),"")</f>
        <v>0</v>
      </c>
      <c r="V20" s="145">
        <f>IFERROR(VLOOKUP($B20,'网络(J开发)'!$B:$Q,12,0),0)</f>
        <v>12</v>
      </c>
      <c r="W20" s="145">
        <f>IFERROR(VLOOKUP($B20,'网络(J开发)'!$B:$Q,13,0),"")</f>
        <v>1.6875</v>
      </c>
      <c r="X20" s="145">
        <f>IFERROR(VLOOKUP($B20,'无线(开发效率)'!$B:$Q,12,0),0)</f>
        <v>112</v>
      </c>
      <c r="Y20" s="145">
        <f>IFERROR(VLOOKUP($B20,'无线(开发效率)'!$B:$Q,13,0),"")</f>
        <v>0</v>
      </c>
      <c r="Z20" s="145"/>
      <c r="AA20" s="145"/>
      <c r="AB20" s="145">
        <f>IFERROR(VLOOKUP($B20,'云BU(开发测试)'!$B:$Q,12,0),0)</f>
        <v>70</v>
      </c>
      <c r="AC20" s="145">
        <f>IFERROR(VLOOKUP($B20,'云BU(开发测试)'!$B:$Q,13,0),"")</f>
        <v>0</v>
      </c>
      <c r="AD20" s="145"/>
      <c r="AE20" s="145"/>
      <c r="AF20" s="145"/>
      <c r="AG20" s="145"/>
      <c r="AH20" s="145"/>
      <c r="AI20" s="145"/>
    </row>
    <row r="21" spans="1:35" s="85" customFormat="1" ht="19.5" customHeight="1">
      <c r="A21" s="368" t="s">
        <v>214</v>
      </c>
      <c r="B21" s="140" t="s">
        <v>215</v>
      </c>
      <c r="C21" s="221">
        <f t="shared" si="2"/>
        <v>249</v>
      </c>
      <c r="D21" s="4">
        <f t="shared" si="0"/>
        <v>0.55552445222381786</v>
      </c>
      <c r="E21" s="4">
        <f t="shared" si="1"/>
        <v>0.20878179150902007</v>
      </c>
      <c r="F21" s="4">
        <f t="shared" si="4"/>
        <v>0.76430624373283795</v>
      </c>
      <c r="G21" s="144">
        <f t="shared" si="3"/>
        <v>0.34674266071479776</v>
      </c>
      <c r="H21" s="145">
        <f>IFERROR(VLOOKUP($B21,'2012'!$B:$Q,12,0),0)</f>
        <v>12</v>
      </c>
      <c r="I21" s="145">
        <f>IFERROR(VLOOKUP($B21,'2012'!$B:$Q,13,0),"")</f>
        <v>0.10036004901960784</v>
      </c>
      <c r="J21" s="145">
        <f>IFERROR(VLOOKUP($B21,云核!$B:$Q,12,0),0)</f>
        <v>35</v>
      </c>
      <c r="K21" s="145">
        <f>IFERROR(VLOOKUP($B21,云核!$B:$Q,13,0),"")</f>
        <v>0.54722857142857129</v>
      </c>
      <c r="L21" s="145">
        <f>IFERROR(VLOOKUP($B21,'公共开发部(开发测试)'!$B:$Q,12,0),0)</f>
        <v>6</v>
      </c>
      <c r="M21" s="145">
        <f>IFERROR(VLOOKUP($B21,'公共开发部(开发测试)'!$B:$Q,13,0),"")</f>
        <v>0.45833333333333331</v>
      </c>
      <c r="N21" s="145">
        <f>IFERROR(VLOOKUP($B21,BSS!$B:$Q,12,0),0)</f>
        <v>53</v>
      </c>
      <c r="O21" s="145">
        <f>IFERROR(VLOOKUP($B21,BSS!$B:$Q,13,0),"")</f>
        <v>0.40646417081625608</v>
      </c>
      <c r="P21" s="145">
        <f>IFERROR(VLOOKUP($B21,GSD!$B:$Q,12,0),0)</f>
        <v>143</v>
      </c>
      <c r="Q21" s="145">
        <f>IFERROR(VLOOKUP($B21,GSD!$B:$Q,13,0),"")</f>
        <v>0.65507459414149483</v>
      </c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</row>
    <row r="22" spans="1:35" s="85" customFormat="1" ht="19.5" customHeight="1">
      <c r="A22" s="368"/>
      <c r="B22" s="140" t="s">
        <v>216</v>
      </c>
      <c r="C22" s="221">
        <f t="shared" si="2"/>
        <v>368</v>
      </c>
      <c r="D22" s="4">
        <f t="shared" si="0"/>
        <v>0.41306684816988298</v>
      </c>
      <c r="E22" s="4">
        <f t="shared" si="1"/>
        <v>7.041040440381769</v>
      </c>
      <c r="F22" s="4">
        <f t="shared" si="4"/>
        <v>7.4541072885516524</v>
      </c>
      <c r="G22" s="144">
        <f t="shared" si="3"/>
        <v>0</v>
      </c>
      <c r="H22" s="145">
        <f>IFERROR(VLOOKUP($B22,'2012'!$B:$Q,12,0),0)</f>
        <v>19</v>
      </c>
      <c r="I22" s="145">
        <f>IFERROR(VLOOKUP($B22,'2012'!$B:$Q,13,0),"")</f>
        <v>8.7541181561993794E-2</v>
      </c>
      <c r="J22" s="145">
        <f>IFERROR(VLOOKUP($B22,云核!$B:$Q,12,0),0)</f>
        <v>49</v>
      </c>
      <c r="K22" s="145">
        <f>IFERROR(VLOOKUP($B22,云核!$B:$Q,13,0),"")</f>
        <v>0.47112244897959193</v>
      </c>
      <c r="L22" s="145">
        <f>IFERROR(VLOOKUP($B22,'公共开发部(开发测试)'!$B:$Q,12,0),0)</f>
        <v>21</v>
      </c>
      <c r="M22" s="145">
        <f>IFERROR(VLOOKUP($B22,'公共开发部(开发测试)'!$B:$Q,13,0),"")</f>
        <v>8.504651033807116E-2</v>
      </c>
      <c r="N22" s="145">
        <f>IFERROR(VLOOKUP($B22,BSS!$B:$Q,12,0),0)</f>
        <v>54</v>
      </c>
      <c r="O22" s="145">
        <f>IFERROR(VLOOKUP($B22,BSS!$B:$Q,13,0),"")</f>
        <v>7.2616472425706652E-2</v>
      </c>
      <c r="P22" s="145">
        <f>IFERROR(VLOOKUP($B22,GSD!$B:$Q,12,0),0)</f>
        <v>170</v>
      </c>
      <c r="Q22" s="145">
        <f>IFERROR(VLOOKUP($B22,GSD!$B:$Q,13,0),"")</f>
        <v>0.57751950294046872</v>
      </c>
      <c r="R22" s="145"/>
      <c r="S22" s="145"/>
      <c r="T22" s="145">
        <f>IFERROR(VLOOKUP($B22,'网络(C开发)'!$B:$Q,12,0),0)</f>
        <v>3</v>
      </c>
      <c r="U22" s="145">
        <f>IFERROR(VLOOKUP($B22,'网络(C开发)'!$B:$Q,13,0),"")</f>
        <v>0</v>
      </c>
      <c r="V22" s="145"/>
      <c r="W22" s="145"/>
      <c r="X22" s="145">
        <f>IFERROR(VLOOKUP($B22,'无线(开发效率)'!$B:$Q,12,0),0)</f>
        <v>51</v>
      </c>
      <c r="Y22" s="145">
        <f>IFERROR(VLOOKUP($B22,'无线(开发效率)'!$B:$Q,13,0),"")</f>
        <v>6.4210508801406066E-2</v>
      </c>
      <c r="Z22" s="145"/>
      <c r="AA22" s="145"/>
      <c r="AB22" s="145">
        <f>IFERROR(VLOOKUP($B22,'云BU(开发测试)'!$B:$Q,12,0),0)</f>
        <v>1</v>
      </c>
      <c r="AC22" s="145">
        <f>IFERROR(VLOOKUP($B22,'云BU(开发测试)'!$B:$Q,13,0),"")</f>
        <v>20.100000000000001</v>
      </c>
      <c r="AD22" s="145"/>
      <c r="AE22" s="145"/>
      <c r="AF22" s="145"/>
      <c r="AG22" s="145"/>
      <c r="AH22" s="145"/>
      <c r="AI22" s="145"/>
    </row>
    <row r="23" spans="1:35" s="85" customFormat="1" ht="19.5" customHeight="1">
      <c r="A23" s="368"/>
      <c r="B23" s="140" t="s">
        <v>227</v>
      </c>
      <c r="C23" s="221">
        <f t="shared" si="2"/>
        <v>452</v>
      </c>
      <c r="D23" s="4">
        <f t="shared" si="0"/>
        <v>30.504012006008416</v>
      </c>
      <c r="E23" s="4">
        <f t="shared" si="1"/>
        <v>62.402067791408008</v>
      </c>
      <c r="F23" s="4">
        <f t="shared" si="4"/>
        <v>92.906079797416425</v>
      </c>
      <c r="G23" s="144">
        <f t="shared" si="3"/>
        <v>0</v>
      </c>
      <c r="H23" s="145">
        <f>IFERROR(VLOOKUP($B23,'2012'!$B:$Q,12,0),0)</f>
        <v>28</v>
      </c>
      <c r="I23" s="145">
        <f>IFERROR(VLOOKUP($B23,'2012'!$B:$Q,13,0),"")</f>
        <v>19.498907952893866</v>
      </c>
      <c r="J23" s="145">
        <f>IFERROR(VLOOKUP($B23,云核!$B:$Q,12,0),0)</f>
        <v>62</v>
      </c>
      <c r="K23" s="145">
        <f>IFERROR(VLOOKUP($B23,云核!$B:$Q,13,0),"")</f>
        <v>30.351935483870967</v>
      </c>
      <c r="L23" s="145">
        <f>IFERROR(VLOOKUP($B23,'公共开发部(开发测试)'!$B:$Q,12,0),0)</f>
        <v>31</v>
      </c>
      <c r="M23" s="145">
        <f>IFERROR(VLOOKUP($B23,'公共开发部(开发测试)'!$B:$Q,13,0),"")</f>
        <v>16.586966427338311</v>
      </c>
      <c r="N23" s="145">
        <f>IFERROR(VLOOKUP($B23,BSS!$B:$Q,12,0),0)</f>
        <v>65</v>
      </c>
      <c r="O23" s="145">
        <f>IFERROR(VLOOKUP($B23,BSS!$B:$Q,13,0),"")</f>
        <v>26.485417619421153</v>
      </c>
      <c r="P23" s="145">
        <f>IFERROR(VLOOKUP($B23,GSD!$B:$Q,12,0),0)</f>
        <v>141</v>
      </c>
      <c r="Q23" s="145">
        <f>IFERROR(VLOOKUP($B23,GSD!$B:$Q,13,0),"")</f>
        <v>51.750232656799419</v>
      </c>
      <c r="R23" s="145"/>
      <c r="S23" s="145"/>
      <c r="T23" s="145">
        <f>IFERROR(VLOOKUP($B23,'网络(C开发)'!$B:$Q,12,0),0)</f>
        <v>5</v>
      </c>
      <c r="U23" s="145">
        <f>IFERROR(VLOOKUP($B23,'网络(C开发)'!$B:$Q,13,0),"")</f>
        <v>196.96518737185983</v>
      </c>
      <c r="V23" s="145"/>
      <c r="W23" s="145"/>
      <c r="X23" s="145">
        <f>IFERROR(VLOOKUP($B23,'无线(开发效率)'!$B:$Q,12,0),0)</f>
        <v>112</v>
      </c>
      <c r="Y23" s="145">
        <f>IFERROR(VLOOKUP($B23,'无线(开发效率)'!$B:$Q,13,0),"")</f>
        <v>6.0531710540794297</v>
      </c>
      <c r="Z23" s="145"/>
      <c r="AA23" s="145"/>
      <c r="AB23" s="145">
        <f>IFERROR(VLOOKUP($B23,'云BU(开发测试)'!$B:$Q,12,0),0)</f>
        <v>8</v>
      </c>
      <c r="AC23" s="145">
        <f>IFERROR(VLOOKUP($B23,'云BU(开发测试)'!$B:$Q,13,0),"")</f>
        <v>20.588999999999999</v>
      </c>
      <c r="AD23" s="145"/>
      <c r="AE23" s="145"/>
      <c r="AF23" s="145"/>
      <c r="AG23" s="145"/>
      <c r="AH23" s="145"/>
      <c r="AI23" s="145"/>
    </row>
    <row r="24" spans="1:35" s="85" customFormat="1" ht="19.5" customHeight="1">
      <c r="A24" s="368"/>
      <c r="B24" s="140" t="s">
        <v>239</v>
      </c>
      <c r="C24" s="221">
        <f t="shared" si="2"/>
        <v>285</v>
      </c>
      <c r="D24" s="23">
        <f t="shared" si="0"/>
        <v>0.69960755219004511</v>
      </c>
      <c r="E24" s="23">
        <f t="shared" si="1"/>
        <v>0.271360347427619</v>
      </c>
      <c r="F24" s="23">
        <f t="shared" si="4"/>
        <v>0.97096789961766405</v>
      </c>
      <c r="G24" s="156">
        <f t="shared" si="3"/>
        <v>0.42824720476242611</v>
      </c>
      <c r="H24" s="145">
        <f>IFERROR(VLOOKUP($B24,'2012'!$B:$Q,12,0),0)</f>
        <v>16</v>
      </c>
      <c r="I24" s="145">
        <f>IFERROR(VLOOKUP($B24,'2012'!$B:$Q,13,0),"")</f>
        <v>0.72015625000000005</v>
      </c>
      <c r="J24" s="145">
        <f>IFERROR(VLOOKUP($B24,云核!$B:$Q,12,0),0)</f>
        <v>59</v>
      </c>
      <c r="K24" s="145">
        <f>IFERROR(VLOOKUP($B24,云核!$B:$Q,13,0),"")</f>
        <v>0.81365084745762706</v>
      </c>
      <c r="L24" s="145"/>
      <c r="M24" s="145"/>
      <c r="N24" s="145">
        <f>IFERROR(VLOOKUP($B24,BSS!$B:$Q,12,0),0)</f>
        <v>47</v>
      </c>
      <c r="O24" s="145">
        <f>IFERROR(VLOOKUP($B24,BSS!$B:$Q,13,0),"")</f>
        <v>0.49773308919787906</v>
      </c>
      <c r="P24" s="145">
        <f>IFERROR(VLOOKUP($B24,GSD!$B:$Q,12,0),0)</f>
        <v>114</v>
      </c>
      <c r="Q24" s="145">
        <f>IFERROR(VLOOKUP($B24,GSD!$B:$Q,13,0),"")</f>
        <v>0.84957657901968253</v>
      </c>
      <c r="R24" s="145">
        <f>IFERROR(VLOOKUP($B24,'企业IT(开发测试)'!$B:$Q,12,0),0)</f>
        <v>17</v>
      </c>
      <c r="S24" s="145">
        <f>IFERROR(VLOOKUP($B24,'企业IT(开发测试)'!$B:$Q,13,0),"")</f>
        <v>0.70313529411764708</v>
      </c>
      <c r="T24" s="145">
        <f>IFERROR(VLOOKUP($B24,'网络(C开发)'!$B:$Q,12,0),0)</f>
        <v>4</v>
      </c>
      <c r="U24" s="145">
        <f>IFERROR(VLOOKUP($B24,'网络(C开发)'!$B:$Q,13,0),"")</f>
        <v>0.76354413258596132</v>
      </c>
      <c r="V24" s="145"/>
      <c r="W24" s="145"/>
      <c r="X24" s="145">
        <f>IFERROR(VLOOKUP($B24,'无线(开发效率)'!$B:$Q,12,0),0)</f>
        <v>24</v>
      </c>
      <c r="Y24" s="145">
        <f>IFERROR(VLOOKUP($B24,'无线(开发效率)'!$B:$Q,13,0),"")</f>
        <v>4.8732943469785572E-2</v>
      </c>
      <c r="Z24" s="145"/>
      <c r="AA24" s="145"/>
      <c r="AB24" s="145">
        <f>IFERROR(VLOOKUP($B24,'云BU(开发测试)'!$B:$Q,12,0),0)</f>
        <v>4</v>
      </c>
      <c r="AC24" s="145">
        <f>IFERROR(VLOOKUP($B24,'云BU(开发测试)'!$B:$Q,13,0),"")</f>
        <v>0.85950000000000004</v>
      </c>
      <c r="AD24" s="145"/>
      <c r="AE24" s="145"/>
      <c r="AF24" s="145"/>
      <c r="AG24" s="145"/>
      <c r="AH24" s="145"/>
      <c r="AI24" s="145"/>
    </row>
    <row r="25" spans="1:35" s="86" customFormat="1" ht="19.5" customHeight="1">
      <c r="A25" s="368"/>
      <c r="B25" s="140" t="s">
        <v>228</v>
      </c>
      <c r="C25" s="221">
        <f t="shared" si="2"/>
        <v>609</v>
      </c>
      <c r="D25" s="4">
        <f t="shared" si="0"/>
        <v>2.8506544961179316</v>
      </c>
      <c r="E25" s="4">
        <f t="shared" si="1"/>
        <v>1.3610262532246218</v>
      </c>
      <c r="F25" s="4">
        <f t="shared" si="4"/>
        <v>4.2116807493425537</v>
      </c>
      <c r="G25" s="144">
        <f t="shared" si="3"/>
        <v>1.4896282428933099</v>
      </c>
      <c r="H25" s="145">
        <f>IFERROR(VLOOKUP($B25,'2012'!$B:$Q,12,0),0)</f>
        <v>27</v>
      </c>
      <c r="I25" s="145">
        <f>IFERROR(VLOOKUP($B25,'2012'!$B:$Q,13,0),"")</f>
        <v>3.9505140060913937</v>
      </c>
      <c r="J25" s="145">
        <f>IFERROR(VLOOKUP($B25,云核!$B:$Q,12,0),0)</f>
        <v>125</v>
      </c>
      <c r="K25" s="145">
        <f>IFERROR(VLOOKUP($B25,云核!$B:$Q,13,0),"")</f>
        <v>3.5705600000000017</v>
      </c>
      <c r="L25" s="145">
        <f>IFERROR(VLOOKUP($B25,'公共开发部(开发测试)'!$B:$Q,12,0),0)</f>
        <v>53</v>
      </c>
      <c r="M25" s="145">
        <f>IFERROR(VLOOKUP($B25,'公共开发部(开发测试)'!$B:$Q,13,0),"")</f>
        <v>2.9140698698973133</v>
      </c>
      <c r="N25" s="145">
        <f>IFERROR(VLOOKUP($B25,BSS!$B:$Q,12,0),0)</f>
        <v>70</v>
      </c>
      <c r="O25" s="145">
        <f>IFERROR(VLOOKUP($B25,BSS!$B:$Q,13,0),"")</f>
        <v>6.0073727006843027</v>
      </c>
      <c r="P25" s="145">
        <f>IFERROR(VLOOKUP($B25,GSD!$B:$Q,12,0),0)</f>
        <v>181</v>
      </c>
      <c r="Q25" s="145">
        <f>IFERROR(VLOOKUP($B25,GSD!$B:$Q,13,0),"")</f>
        <v>1.6696851948996021</v>
      </c>
      <c r="R25" s="145">
        <f>IFERROR(VLOOKUP($B25,'企业IT(开发测试)'!$B:$Q,12,0),0)</f>
        <v>8</v>
      </c>
      <c r="S25" s="145">
        <f>IFERROR(VLOOKUP($B25,'企业IT(开发测试)'!$B:$Q,13,0),"")</f>
        <v>3.6837500000000003</v>
      </c>
      <c r="T25" s="145">
        <f>IFERROR(VLOOKUP($B25,'网络(C开发)'!$B:$Q,12,0),0)</f>
        <v>16</v>
      </c>
      <c r="U25" s="145">
        <f>IFERROR(VLOOKUP($B25,'网络(C开发)'!$B:$Q,13,0),"")</f>
        <v>1.9804703316286485</v>
      </c>
      <c r="V25" s="145">
        <f>IFERROR(VLOOKUP($B25,'网络(J开发)'!$B:$Q,12,0),0)</f>
        <v>4</v>
      </c>
      <c r="W25" s="145">
        <f>IFERROR(VLOOKUP($B25,'网络(J开发)'!$B:$Q,13,0),"")</f>
        <v>1.837617053998633</v>
      </c>
      <c r="X25" s="145">
        <f>IFERROR(VLOOKUP($B25,'无线(开发效率)'!$B:$Q,12,0),0)</f>
        <v>101</v>
      </c>
      <c r="Y25" s="145">
        <f>IFERROR(VLOOKUP($B25,'无线(开发效率)'!$B:$Q,13,0),"")</f>
        <v>1.6919594457426999</v>
      </c>
      <c r="Z25" s="145"/>
      <c r="AA25" s="145"/>
      <c r="AB25" s="145">
        <f>IFERROR(VLOOKUP($B25,'云BU(开发测试)'!$B:$Q,12,0),0)</f>
        <v>24</v>
      </c>
      <c r="AC25" s="145">
        <f>IFERROR(VLOOKUP($B25,'云BU(开发测试)'!$B:$Q,13,0),"")</f>
        <v>2.7705833333333332</v>
      </c>
      <c r="AD25" s="145"/>
      <c r="AE25" s="145"/>
      <c r="AF25" s="145"/>
      <c r="AG25" s="145"/>
      <c r="AH25" s="145"/>
      <c r="AI25" s="145"/>
    </row>
    <row r="26" spans="1:35" s="85" customFormat="1" ht="19.5" customHeight="1">
      <c r="A26" s="88" t="s">
        <v>217</v>
      </c>
      <c r="B26" s="140" t="s">
        <v>240</v>
      </c>
      <c r="C26" s="221">
        <f t="shared" si="2"/>
        <v>86</v>
      </c>
      <c r="D26" s="4">
        <f t="shared" si="0"/>
        <v>0.28497896784887095</v>
      </c>
      <c r="E26" s="4">
        <f t="shared" si="1"/>
        <v>0.26420721303993067</v>
      </c>
      <c r="F26" s="4">
        <f t="shared" si="4"/>
        <v>0.54918618088880167</v>
      </c>
      <c r="G26" s="144">
        <f t="shared" si="3"/>
        <v>2.0771754808940279E-2</v>
      </c>
      <c r="H26" s="145">
        <f>IFERROR(VLOOKUP($B26,'2012'!$B:$Q,12,0),0)</f>
        <v>11</v>
      </c>
      <c r="I26" s="145">
        <f>IFERROR(VLOOKUP($B26,'2012'!$B:$Q,13,0),"")</f>
        <v>0.61067997043606792</v>
      </c>
      <c r="J26" s="145">
        <f>IFERROR(VLOOKUP($B26,云核!$B:$Q,12,0),0)</f>
        <v>5</v>
      </c>
      <c r="K26" s="145">
        <f>IFERROR(VLOOKUP($B26,云核!$B:$Q,13,0),"")</f>
        <v>0.43</v>
      </c>
      <c r="L26" s="145">
        <f>IFERROR(VLOOKUP($B26,'公共开发部(开发测试)'!$B:$Q,12,0),0)</f>
        <v>6</v>
      </c>
      <c r="M26" s="145">
        <f>IFERROR(VLOOKUP($B26,'公共开发部(开发测试)'!$B:$Q,13,0),"")</f>
        <v>0</v>
      </c>
      <c r="N26" s="145">
        <f>IFERROR(VLOOKUP($B26,BSS!$B:$Q,12,0),0)</f>
        <v>33</v>
      </c>
      <c r="O26" s="145">
        <f>IFERROR(VLOOKUP($B26,BSS!$B:$Q,13,0),"")</f>
        <v>0.42344299103058969</v>
      </c>
      <c r="P26" s="145">
        <f>IFERROR(VLOOKUP($B26,GSD!$B:$Q,12,0),0)</f>
        <v>31</v>
      </c>
      <c r="Q26" s="145">
        <f>IFERROR(VLOOKUP($B26,GSD!$B:$Q,13,0),"")</f>
        <v>5.37771889095707E-2</v>
      </c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I26" s="145"/>
    </row>
    <row r="27" spans="1:35" s="85" customFormat="1" ht="19.5" customHeight="1">
      <c r="A27" s="368" t="s">
        <v>209</v>
      </c>
      <c r="B27" s="140" t="s">
        <v>225</v>
      </c>
      <c r="C27" s="221">
        <f t="shared" si="2"/>
        <v>85</v>
      </c>
      <c r="D27" s="4">
        <f t="shared" si="0"/>
        <v>0.14596566636612912</v>
      </c>
      <c r="E27" s="4">
        <f t="shared" si="1"/>
        <v>0.29887330194618872</v>
      </c>
      <c r="F27" s="4">
        <f t="shared" si="4"/>
        <v>0.44483896831231784</v>
      </c>
      <c r="G27" s="144">
        <f t="shared" si="3"/>
        <v>0</v>
      </c>
      <c r="H27" s="145"/>
      <c r="I27" s="145"/>
      <c r="J27" s="145"/>
      <c r="K27" s="145"/>
      <c r="L27" s="145"/>
      <c r="M27" s="145"/>
      <c r="N27" s="145">
        <f>IFERROR(VLOOKUP($B27,BSS!$B:$Q,12,0),0)</f>
        <v>26</v>
      </c>
      <c r="O27" s="145">
        <f>IFERROR(VLOOKUP($B27,BSS!$B:$Q,13,0),"")</f>
        <v>1.1538461538461541E-2</v>
      </c>
      <c r="P27" s="145">
        <f>IFERROR(VLOOKUP($B27,GSD!$B:$Q,12,0),0)</f>
        <v>33</v>
      </c>
      <c r="Q27" s="145">
        <f>IFERROR(VLOOKUP($B27,GSD!$B:$Q,13,0),"")</f>
        <v>0.1547600497309386</v>
      </c>
      <c r="R27" s="145"/>
      <c r="S27" s="145"/>
      <c r="T27" s="145">
        <f>IFERROR(VLOOKUP($B27,'网络(C开发)'!$B:$Q,12,0),0)</f>
        <v>16</v>
      </c>
      <c r="U27" s="145">
        <f>IFERROR(VLOOKUP($B27,'网络(C开发)'!$B:$Q,13,0),"")</f>
        <v>3.125E-2</v>
      </c>
      <c r="V27" s="145">
        <f>IFERROR(VLOOKUP($B27,'网络(J开发)'!$B:$Q,12,0),0)</f>
        <v>10</v>
      </c>
      <c r="W27" s="145">
        <f>IFERROR(VLOOKUP($B27,'网络(J开发)'!$B:$Q,13,0),"")</f>
        <v>0.65</v>
      </c>
      <c r="X27" s="145"/>
      <c r="Y27" s="145"/>
      <c r="Z27" s="145"/>
      <c r="AA27" s="145"/>
      <c r="AB27" s="145"/>
      <c r="AC27" s="145"/>
      <c r="AD27" s="145"/>
      <c r="AE27" s="145"/>
      <c r="AF27" s="145"/>
      <c r="AG27" s="145"/>
      <c r="AH27" s="145"/>
      <c r="AI27" s="145"/>
    </row>
    <row r="28" spans="1:35" s="85" customFormat="1" ht="19.5" customHeight="1">
      <c r="A28" s="368"/>
      <c r="B28" s="140" t="s">
        <v>218</v>
      </c>
      <c r="C28" s="221">
        <f t="shared" si="2"/>
        <v>268</v>
      </c>
      <c r="D28" s="132">
        <f t="shared" si="0"/>
        <v>7.4053193335647347E-2</v>
      </c>
      <c r="E28" s="4">
        <f t="shared" si="1"/>
        <v>0.45027119748174771</v>
      </c>
      <c r="F28" s="4">
        <f t="shared" si="4"/>
        <v>0.52432439081739501</v>
      </c>
      <c r="G28" s="144">
        <f t="shared" si="3"/>
        <v>0</v>
      </c>
      <c r="H28" s="145"/>
      <c r="I28" s="145"/>
      <c r="J28" s="145">
        <f>IFERROR(VLOOKUP($B28,云核!$B:$Q,12,0),0)</f>
        <v>1</v>
      </c>
      <c r="K28" s="145">
        <f>IFERROR(VLOOKUP($B28,云核!$B:$Q,13,0),"")</f>
        <v>0</v>
      </c>
      <c r="L28" s="145">
        <f>IFERROR(VLOOKUP($B28,'公共开发部(开发测试)'!$B:$Q,12,0),0)</f>
        <v>55</v>
      </c>
      <c r="M28" s="145">
        <f>IFERROR(VLOOKUP($B28,'公共开发部(开发测试)'!$B:$Q,13,0),"")</f>
        <v>0</v>
      </c>
      <c r="N28" s="145">
        <f>IFERROR(VLOOKUP($B28,BSS!$B:$Q,12,0),0)</f>
        <v>34</v>
      </c>
      <c r="O28" s="145">
        <f>IFERROR(VLOOKUP($B28,BSS!$B:$Q,13,0),"")</f>
        <v>2.3823529411764709E-2</v>
      </c>
      <c r="P28" s="145">
        <f>IFERROR(VLOOKUP($B28,GSD!$B:$Q,12,0),0)</f>
        <v>32</v>
      </c>
      <c r="Q28" s="145">
        <f>IFERROR(VLOOKUP($B28,GSD!$B:$Q,13,0),"")</f>
        <v>2.3643410852713178E-2</v>
      </c>
      <c r="R28" s="145">
        <f>IFERROR(VLOOKUP($B28,'企业IT(开发测试)'!$B:$Q,12,0),0)</f>
        <v>11</v>
      </c>
      <c r="S28" s="145">
        <f>IFERROR(VLOOKUP($B28,'企业IT(开发测试)'!$B:$Q,13,0),"")</f>
        <v>0.55572727272727274</v>
      </c>
      <c r="T28" s="145">
        <f>IFERROR(VLOOKUP($B28,'网络(C开发)'!$B:$Q,12,0),0)</f>
        <v>5</v>
      </c>
      <c r="U28" s="145">
        <f>IFERROR(VLOOKUP($B28,'网络(C开发)'!$B:$Q,13,0),"")</f>
        <v>0.3</v>
      </c>
      <c r="V28" s="145">
        <f>IFERROR(VLOOKUP($B28,'网络(J开发)'!$B:$Q,12,0),0)</f>
        <v>8</v>
      </c>
      <c r="W28" s="145">
        <f>IFERROR(VLOOKUP($B28,'网络(J开发)'!$B:$Q,13,0),"")</f>
        <v>1.3333333333333333</v>
      </c>
      <c r="X28" s="145">
        <f>IFERROR(VLOOKUP($B28,'无线(开发效率)'!$B:$Q,12,0),0)</f>
        <v>118</v>
      </c>
      <c r="Y28" s="145">
        <f>IFERROR(VLOOKUP($B28,'无线(开发效率)'!$B:$Q,13,0),"")</f>
        <v>0</v>
      </c>
      <c r="Z28" s="145"/>
      <c r="AA28" s="145"/>
      <c r="AB28" s="145">
        <f>IFERROR(VLOOKUP($B28,'云BU(开发测试)'!$B:$Q,12,0),0)</f>
        <v>4</v>
      </c>
      <c r="AC28" s="145">
        <f>IFERROR(VLOOKUP($B28,'云BU(开发测试)'!$B:$Q,13,0),"")</f>
        <v>0</v>
      </c>
      <c r="AD28" s="145"/>
      <c r="AE28" s="145"/>
      <c r="AF28" s="145"/>
      <c r="AG28" s="145"/>
      <c r="AH28" s="145"/>
      <c r="AI28" s="145"/>
    </row>
    <row r="29" spans="1:35" ht="19.5" customHeight="1">
      <c r="A29" s="368" t="s">
        <v>210</v>
      </c>
      <c r="B29" s="140" t="s">
        <v>241</v>
      </c>
      <c r="C29" s="221">
        <f t="shared" si="2"/>
        <v>638</v>
      </c>
      <c r="D29" s="132">
        <f t="shared" si="0"/>
        <v>0.70238244514106585</v>
      </c>
      <c r="E29" s="4">
        <f t="shared" si="1"/>
        <v>0.41342308383753762</v>
      </c>
      <c r="F29" s="4">
        <f t="shared" si="4"/>
        <v>1.1158055289786035</v>
      </c>
      <c r="G29" s="144">
        <f t="shared" si="3"/>
        <v>0.28895936130352823</v>
      </c>
      <c r="H29" s="145">
        <f>IFERROR(VLOOKUP($B29,'2012'!$B:$Q,12,0),0)</f>
        <v>41</v>
      </c>
      <c r="I29" s="145">
        <f>IFERROR(VLOOKUP($B29,'2012'!$B:$Q,13,0),"")</f>
        <v>0.19999999999999998</v>
      </c>
      <c r="J29" s="145">
        <f>IFERROR(VLOOKUP($B29,云核!$B:$Q,12,0),0)</f>
        <v>72</v>
      </c>
      <c r="K29" s="145">
        <f>IFERROR(VLOOKUP($B29,云核!$B:$Q,13,0),"")</f>
        <v>9.166666666666666E-2</v>
      </c>
      <c r="L29" s="145">
        <f>IFERROR(VLOOKUP($B29,'公共开发部(开发测试)'!$B:$Q,12,0),0)</f>
        <v>37</v>
      </c>
      <c r="M29" s="145">
        <f>IFERROR(VLOOKUP($B29,'公共开发部(开发测试)'!$B:$Q,13,0),"")</f>
        <v>0.2810810810810811</v>
      </c>
      <c r="N29" s="145">
        <f>IFERROR(VLOOKUP($B29,BSS!$B:$Q,12,0),0)</f>
        <v>75</v>
      </c>
      <c r="O29" s="145">
        <f>IFERROR(VLOOKUP($B29,BSS!$B:$Q,13,0),"")</f>
        <v>0.86746666666666672</v>
      </c>
      <c r="P29" s="145">
        <f>IFERROR(VLOOKUP($B29,GSD!$B:$Q,12,0),0)</f>
        <v>202</v>
      </c>
      <c r="Q29" s="145">
        <f>IFERROR(VLOOKUP($B29,GSD!$B:$Q,13,0),"")</f>
        <v>1.1738118811881189</v>
      </c>
      <c r="R29" s="145">
        <f>IFERROR(VLOOKUP($B29,'企业IT(开发测试)'!$B:$Q,12,0),0)</f>
        <v>36</v>
      </c>
      <c r="S29" s="145">
        <f>IFERROR(VLOOKUP($B29,'企业IT(开发测试)'!$B:$Q,13,0),"")</f>
        <v>0.41388888888888886</v>
      </c>
      <c r="T29" s="145">
        <f>IFERROR(VLOOKUP($B29,'网络(C开发)'!$B:$Q,12,0),0)</f>
        <v>27</v>
      </c>
      <c r="U29" s="145">
        <f>IFERROR(VLOOKUP($B29,'网络(C开发)'!$B:$Q,13,0),"")</f>
        <v>0.13333333333333333</v>
      </c>
      <c r="V29" s="145">
        <f>IFERROR(VLOOKUP($B29,'网络(J开发)'!$B:$Q,12,0),0)</f>
        <v>12</v>
      </c>
      <c r="W29" s="145">
        <f>IFERROR(VLOOKUP($B29,'网络(J开发)'!$B:$Q,13,0),"")</f>
        <v>0.14583333333333334</v>
      </c>
      <c r="X29" s="145">
        <f>IFERROR(VLOOKUP($B29,'无线(开发效率)'!$B:$Q,12,0),0)</f>
        <v>108</v>
      </c>
      <c r="Y29" s="145">
        <f>IFERROR(VLOOKUP($B29,'无线(开发效率)'!$B:$Q,13,0),"")</f>
        <v>0.93055555555555558</v>
      </c>
      <c r="Z29" s="145"/>
      <c r="AA29" s="145"/>
      <c r="AB29" s="145">
        <f>IFERROR(VLOOKUP($B29,'云BU(开发测试)'!$B:$Q,12,0),0)</f>
        <v>28</v>
      </c>
      <c r="AC29" s="145">
        <f>IFERROR(VLOOKUP($B29,'云BU(开发测试)'!$B:$Q,13,0),"")</f>
        <v>0</v>
      </c>
      <c r="AD29" s="145"/>
      <c r="AE29" s="145"/>
      <c r="AF29" s="145"/>
      <c r="AG29" s="145"/>
      <c r="AH29" s="145"/>
      <c r="AI29" s="145"/>
    </row>
    <row r="30" spans="1:35" ht="19.5" customHeight="1">
      <c r="A30" s="368"/>
      <c r="B30" s="140" t="s">
        <v>231</v>
      </c>
      <c r="C30" s="221">
        <f t="shared" si="2"/>
        <v>495</v>
      </c>
      <c r="D30" s="132">
        <f t="shared" si="0"/>
        <v>2.0202020202020202E-3</v>
      </c>
      <c r="E30" s="4">
        <f t="shared" si="1"/>
        <v>9.5238095238095229E-3</v>
      </c>
      <c r="F30" s="4">
        <f t="shared" si="4"/>
        <v>1.1544011544011544E-2</v>
      </c>
      <c r="G30" s="144">
        <f t="shared" si="3"/>
        <v>0</v>
      </c>
      <c r="H30" s="145">
        <f>IFERROR(VLOOKUP($B30,'2012'!$B:$Q,12,0),0)</f>
        <v>43</v>
      </c>
      <c r="I30" s="145">
        <f>IFERROR(VLOOKUP($B30,'2012'!$B:$Q,13,0),"")</f>
        <v>0</v>
      </c>
      <c r="J30" s="145">
        <f>IFERROR(VLOOKUP($B30,云核!$B:$Q,12,0),0)</f>
        <v>15</v>
      </c>
      <c r="K30" s="145">
        <f>IFERROR(VLOOKUP($B30,云核!$B:$Q,13,0),"")</f>
        <v>0</v>
      </c>
      <c r="L30" s="145">
        <f>IFERROR(VLOOKUP($B30,'公共开发部(开发测试)'!$B:$Q,12,0),0)</f>
        <v>35</v>
      </c>
      <c r="M30" s="145">
        <f>IFERROR(VLOOKUP($B30,'公共开发部(开发测试)'!$B:$Q,13,0),"")</f>
        <v>2.8571428571428571E-2</v>
      </c>
      <c r="N30" s="145">
        <f>IFERROR(VLOOKUP($B30,BSS!$B:$Q,12,0),0)</f>
        <v>68</v>
      </c>
      <c r="O30" s="145">
        <f>IFERROR(VLOOKUP($B30,BSS!$B:$Q,13,0),"")</f>
        <v>0</v>
      </c>
      <c r="P30" s="145">
        <f>IFERROR(VLOOKUP($B30,GSD!$B:$Q,12,0),0)</f>
        <v>195</v>
      </c>
      <c r="Q30" s="145">
        <f>IFERROR(VLOOKUP($B30,GSD!$B:$Q,13,0),"")</f>
        <v>0</v>
      </c>
      <c r="R30" s="145">
        <f>IFERROR(VLOOKUP($B30,'企业IT(开发测试)'!$B:$Q,12,0),0)</f>
        <v>58</v>
      </c>
      <c r="S30" s="145">
        <f>IFERROR(VLOOKUP($B30,'企业IT(开发测试)'!$B:$Q,13,0),"")</f>
        <v>0</v>
      </c>
      <c r="T30" s="145">
        <f>IFERROR(VLOOKUP($B30,'网络(C开发)'!$B:$Q,12,0),0)</f>
        <v>27</v>
      </c>
      <c r="U30" s="145">
        <f>IFERROR(VLOOKUP($B30,'网络(C开发)'!$B:$Q,13,0),"")</f>
        <v>0</v>
      </c>
      <c r="V30" s="145">
        <f>IFERROR(VLOOKUP($B30,'网络(J开发)'!$B:$Q,12,0),0)</f>
        <v>12</v>
      </c>
      <c r="W30" s="145">
        <f>IFERROR(VLOOKUP($B30,'网络(J开发)'!$B:$Q,13,0),"")</f>
        <v>0</v>
      </c>
      <c r="X30" s="145"/>
      <c r="Y30" s="145"/>
      <c r="Z30" s="145"/>
      <c r="AA30" s="145"/>
      <c r="AB30" s="145">
        <f>IFERROR(VLOOKUP($B30,'云BU(开发测试)'!$B:$Q,12,0),0)</f>
        <v>42</v>
      </c>
      <c r="AC30" s="145">
        <f>IFERROR(VLOOKUP($B30,'云BU(开发测试)'!$B:$Q,13,0),"")</f>
        <v>0</v>
      </c>
      <c r="AD30" s="145"/>
      <c r="AE30" s="145"/>
      <c r="AF30" s="145"/>
      <c r="AG30" s="145"/>
      <c r="AH30" s="145"/>
      <c r="AI30" s="145"/>
    </row>
    <row r="31" spans="1:35" ht="19.5" customHeight="1">
      <c r="A31" s="364" t="s">
        <v>242</v>
      </c>
      <c r="B31" s="140" t="s">
        <v>219</v>
      </c>
      <c r="C31" s="221">
        <f t="shared" si="2"/>
        <v>501</v>
      </c>
      <c r="D31" s="23">
        <f t="shared" si="0"/>
        <v>0.97762259445073807</v>
      </c>
      <c r="E31" s="23">
        <f t="shared" si="1"/>
        <v>1.9633333492104658E-2</v>
      </c>
      <c r="F31" s="23">
        <f t="shared" si="4"/>
        <v>1.036522594927052</v>
      </c>
      <c r="G31" s="156">
        <f t="shared" si="3"/>
        <v>0.91872259397442413</v>
      </c>
      <c r="H31" s="145">
        <f>IFERROR(VLOOKUP($B31,'2012'!$B:$Q,12,0),0)</f>
        <v>30</v>
      </c>
      <c r="I31" s="145">
        <f>IFERROR(VLOOKUP($B31,'2012'!$B:$Q,13,0),"")</f>
        <v>0.95526666666666671</v>
      </c>
      <c r="J31" s="145">
        <f>IFERROR(VLOOKUP($B31,云核!$B:$Q,12,0),0)</f>
        <v>59</v>
      </c>
      <c r="K31" s="145">
        <f>IFERROR(VLOOKUP($B31,云核!$B:$Q,13,0),"")</f>
        <v>0.97357796610169534</v>
      </c>
      <c r="L31" s="145">
        <f>IFERROR(VLOOKUP($B31,'公共开发部(开发测试)'!$B:$Q,12,0),0)</f>
        <v>38</v>
      </c>
      <c r="M31" s="145">
        <f>IFERROR(VLOOKUP($B31,'公共开发部(开发测试)'!$B:$Q,13,0),"")</f>
        <v>0.99648648648648663</v>
      </c>
      <c r="N31" s="145">
        <f>IFERROR(VLOOKUP($B31,BSS!$B:$Q,12,0),0)</f>
        <v>67</v>
      </c>
      <c r="O31" s="145">
        <f>IFERROR(VLOOKUP($B31,BSS!$B:$Q,13,0),"")</f>
        <v>0.94555223880597006</v>
      </c>
      <c r="P31" s="145">
        <f>IFERROR(VLOOKUP($B31,GSD!$B:$Q,12,0),0)</f>
        <v>160</v>
      </c>
      <c r="Q31" s="145">
        <f>IFERROR(VLOOKUP($B31,GSD!$B:$Q,13,0),"")</f>
        <v>0.97599999999999976</v>
      </c>
      <c r="R31" s="145">
        <f>IFERROR(VLOOKUP($B31,'企业IT(开发测试)'!$B:$Q,12,0),0)</f>
        <v>15</v>
      </c>
      <c r="S31" s="145">
        <f>IFERROR(VLOOKUP($B31,'企业IT(开发测试)'!$B:$Q,13,0),"")</f>
        <v>1</v>
      </c>
      <c r="T31" s="145">
        <f>IFERROR(VLOOKUP($B31,'网络(C开发)'!$B:$Q,12,0),0)</f>
        <v>27</v>
      </c>
      <c r="U31" s="145">
        <f>IFERROR(VLOOKUP($B31,'网络(C开发)'!$B:$Q,13,0),"")</f>
        <v>1</v>
      </c>
      <c r="V31" s="145">
        <f>IFERROR(VLOOKUP($B31,'网络(J开发)'!$B:$Q,12,0),0)</f>
        <v>12</v>
      </c>
      <c r="W31" s="145">
        <f>IFERROR(VLOOKUP($B31,'网络(J开发)'!$B:$Q,13,0),"")</f>
        <v>0.98444444444444434</v>
      </c>
      <c r="X31" s="145">
        <f>IFERROR(VLOOKUP($B31,'无线(开发效率)'!$B:$Q,12,0),0)</f>
        <v>78</v>
      </c>
      <c r="Y31" s="145">
        <f>IFERROR(VLOOKUP($B31,'无线(开发效率)'!$B:$Q,13,0),"")</f>
        <v>0.99356410256410244</v>
      </c>
      <c r="Z31" s="145"/>
      <c r="AA31" s="145"/>
      <c r="AB31" s="145">
        <f>IFERROR(VLOOKUP($B31,'云BU(开发测试)'!$B:$Q,12,0),0)</f>
        <v>15</v>
      </c>
      <c r="AC31" s="145">
        <f>IFERROR(VLOOKUP($B31,'云BU(开发测试)'!$B:$Q,13,0),"")</f>
        <v>1</v>
      </c>
      <c r="AD31" s="145"/>
      <c r="AE31" s="145"/>
      <c r="AF31" s="145"/>
      <c r="AG31" s="145"/>
      <c r="AH31" s="145"/>
      <c r="AI31" s="145"/>
    </row>
    <row r="32" spans="1:35" ht="19.5" customHeight="1">
      <c r="A32" s="365"/>
      <c r="B32" s="140" t="s">
        <v>380</v>
      </c>
      <c r="C32" s="221">
        <f t="shared" si="2"/>
        <v>296</v>
      </c>
      <c r="D32" s="132">
        <f t="shared" si="0"/>
        <v>5.1625167829119434</v>
      </c>
      <c r="E32" s="4">
        <f t="shared" si="1"/>
        <v>7.4969642131675887</v>
      </c>
      <c r="F32" s="4">
        <f t="shared" si="4"/>
        <v>12.659480996079532</v>
      </c>
      <c r="G32" s="144">
        <f t="shared" si="3"/>
        <v>0</v>
      </c>
      <c r="H32" s="145">
        <f>IFERROR(VLOOKUP($B32,'2012'!$B:$Q,12,0),0)</f>
        <v>11</v>
      </c>
      <c r="I32" s="145">
        <f>IFERROR(VLOOKUP($B32,'2012'!$B:$Q,13,0),"")</f>
        <v>3.9136363636363636</v>
      </c>
      <c r="J32" s="145">
        <f>IFERROR(VLOOKUP($B32,云核!$B:$Q,12,0),0)</f>
        <v>63</v>
      </c>
      <c r="K32" s="145">
        <f>IFERROR(VLOOKUP($B32,云核!$B:$Q,13,0),"")</f>
        <v>3.3734920634920629</v>
      </c>
      <c r="L32" s="145">
        <f>IFERROR(VLOOKUP($B32,'公共开发部(开发测试)'!$B:$Q,12,0),0)</f>
        <v>52</v>
      </c>
      <c r="M32" s="145">
        <f>IFERROR(VLOOKUP($B32,'公共开发部(开发测试)'!$B:$Q,13,0),"")</f>
        <v>2.0229032258064512</v>
      </c>
      <c r="N32" s="145">
        <f>IFERROR(VLOOKUP($B32,BSS!$B:$Q,12,0),0)</f>
        <v>20</v>
      </c>
      <c r="O32" s="145">
        <f>IFERROR(VLOOKUP($B32,BSS!$B:$Q,13,0),"")</f>
        <v>2.5720000000000001</v>
      </c>
      <c r="P32" s="145">
        <f>IFERROR(VLOOKUP($B32,GSD!$B:$Q,12,0),0)</f>
        <v>58</v>
      </c>
      <c r="Q32" s="145">
        <f>IFERROR(VLOOKUP($B32,GSD!$B:$Q,13,0),"")</f>
        <v>4.9206896551724126</v>
      </c>
      <c r="R32" s="145">
        <f>IFERROR(VLOOKUP($B32,'企业IT(开发测试)'!$B:$Q,12,0),0)</f>
        <v>5</v>
      </c>
      <c r="S32" s="145">
        <f>IFERROR(VLOOKUP($B32,'企业IT(开发测试)'!$B:$Q,13,0),"")</f>
        <v>2.66</v>
      </c>
      <c r="T32" s="145">
        <f>IFERROR(VLOOKUP($B32,'网络(C开发)'!$B:$Q,12,0),0)</f>
        <v>27</v>
      </c>
      <c r="U32" s="145">
        <f>IFERROR(VLOOKUP($B32,'网络(C开发)'!$B:$Q,13,0),"")</f>
        <v>24.217185185185187</v>
      </c>
      <c r="V32" s="145"/>
      <c r="W32" s="145"/>
      <c r="X32" s="145">
        <f>IFERROR(VLOOKUP($B32,'无线(开发效率)'!$B:$Q,12,0),0)</f>
        <v>60</v>
      </c>
      <c r="Y32" s="145">
        <f>IFERROR(VLOOKUP($B32,'无线(开发效率)'!$B:$Q,13,0),"")</f>
        <v>2.7221666666666664</v>
      </c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</row>
    <row r="33" spans="1:35" ht="19.5" customHeight="1">
      <c r="A33" s="365"/>
      <c r="B33" s="140" t="s">
        <v>381</v>
      </c>
      <c r="C33" s="221">
        <f t="shared" si="2"/>
        <v>320</v>
      </c>
      <c r="D33" s="132">
        <f t="shared" si="0"/>
        <v>14.109086538461536</v>
      </c>
      <c r="E33" s="4">
        <f t="shared" si="1"/>
        <v>6.8884490497005251</v>
      </c>
      <c r="F33" s="4">
        <f t="shared" si="4"/>
        <v>20.997535588162062</v>
      </c>
      <c r="G33" s="144">
        <f t="shared" si="3"/>
        <v>7.2206374887610112</v>
      </c>
      <c r="H33" s="145">
        <f>IFERROR(VLOOKUP($B33,'2012'!$B:$Q,12,0),0)</f>
        <v>19</v>
      </c>
      <c r="I33" s="145">
        <f>IFERROR(VLOOKUP($B33,'2012'!$B:$Q,13,0),"")</f>
        <v>30.251578947368419</v>
      </c>
      <c r="J33" s="145">
        <f>IFERROR(VLOOKUP($B33,云核!$B:$Q,12,0),0)</f>
        <v>41</v>
      </c>
      <c r="K33" s="145">
        <f>IFERROR(VLOOKUP($B33,云核!$B:$Q,13,0),"")</f>
        <v>13.165365853658539</v>
      </c>
      <c r="L33" s="145">
        <f>IFERROR(VLOOKUP($B33,'公共开发部(开发测试)'!$B:$Q,12,0),0)</f>
        <v>54</v>
      </c>
      <c r="M33" s="145">
        <f>IFERROR(VLOOKUP($B33,'公共开发部(开发测试)'!$B:$Q,13,0),"")</f>
        <v>11.693846153846152</v>
      </c>
      <c r="N33" s="145">
        <f>IFERROR(VLOOKUP($B33,BSS!$B:$Q,12,0),0)</f>
        <v>38</v>
      </c>
      <c r="O33" s="145">
        <f>IFERROR(VLOOKUP($B33,BSS!$B:$Q,13,0),"")</f>
        <v>13.419210526315789</v>
      </c>
      <c r="P33" s="145">
        <f>IFERROR(VLOOKUP($B33,GSD!$B:$Q,12,0),0)</f>
        <v>105</v>
      </c>
      <c r="Q33" s="145">
        <f>IFERROR(VLOOKUP($B33,GSD!$B:$Q,13,0),"")</f>
        <v>15.84095238095238</v>
      </c>
      <c r="R33" s="145">
        <f>IFERROR(VLOOKUP($B33,'企业IT(开发测试)'!$B:$Q,12,0),0)</f>
        <v>4</v>
      </c>
      <c r="S33" s="145">
        <f>IFERROR(VLOOKUP($B33,'企业IT(开发测试)'!$B:$Q,13,0),"")</f>
        <v>16.25</v>
      </c>
      <c r="T33" s="145"/>
      <c r="U33" s="145"/>
      <c r="V33" s="145"/>
      <c r="W33" s="145"/>
      <c r="X33" s="145">
        <f>IFERROR(VLOOKUP($B33,'无线(开发效率)'!$B:$Q,12,0),0)</f>
        <v>59</v>
      </c>
      <c r="Y33" s="145">
        <f>IFERROR(VLOOKUP($B33,'无线(开发效率)'!$B:$Q,13,0),"")</f>
        <v>8.9940677966101692</v>
      </c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</row>
    <row r="34" spans="1:35" ht="19.5" customHeight="1">
      <c r="A34" s="365"/>
      <c r="B34" s="140" t="s">
        <v>382</v>
      </c>
      <c r="C34" s="221">
        <f t="shared" si="2"/>
        <v>203</v>
      </c>
      <c r="D34" s="132">
        <f t="shared" si="0"/>
        <v>1.5920812807881777</v>
      </c>
      <c r="E34" s="4">
        <f t="shared" si="1"/>
        <v>0.12258859289055143</v>
      </c>
      <c r="F34" s="4">
        <f t="shared" si="4"/>
        <v>1.9598470594598321</v>
      </c>
      <c r="G34" s="144">
        <f t="shared" si="3"/>
        <v>1.2243155021165233</v>
      </c>
      <c r="H34" s="145">
        <f>IFERROR(VLOOKUP($B34,'2012'!$B:$Q,12,0),0)</f>
        <v>3</v>
      </c>
      <c r="I34" s="145">
        <f>IFERROR(VLOOKUP($B34,'2012'!$B:$Q,13,0),"")</f>
        <v>1.6666666666666667</v>
      </c>
      <c r="J34" s="145">
        <f>IFERROR(VLOOKUP($B34,云核!$B:$Q,12,0),0)</f>
        <v>55</v>
      </c>
      <c r="K34" s="145">
        <f>IFERROR(VLOOKUP($B34,云核!$B:$Q,13,0),"")</f>
        <v>1.4358181818181823</v>
      </c>
      <c r="L34" s="145">
        <f>IFERROR(VLOOKUP($B34,'公共开发部(开发测试)'!$B:$Q,12,0),0)</f>
        <v>51</v>
      </c>
      <c r="M34" s="145">
        <f>IFERROR(VLOOKUP($B34,'公共开发部(开发测试)'!$B:$Q,13,0),"")</f>
        <v>1.7374999999999998</v>
      </c>
      <c r="N34" s="145">
        <f>IFERROR(VLOOKUP($B34,BSS!$B:$Q,12,0),0)</f>
        <v>25</v>
      </c>
      <c r="O34" s="145">
        <f>IFERROR(VLOOKUP($B34,BSS!$B:$Q,13,0),"")</f>
        <v>1.7324000000000002</v>
      </c>
      <c r="P34" s="145">
        <f>IFERROR(VLOOKUP($B34,GSD!$B:$Q,12,0),0)</f>
        <v>38</v>
      </c>
      <c r="Q34" s="145">
        <f>IFERROR(VLOOKUP($B34,GSD!$B:$Q,13,0),"")</f>
        <v>1.5921052631578947</v>
      </c>
      <c r="R34" s="145"/>
      <c r="S34" s="145"/>
      <c r="T34" s="145"/>
      <c r="U34" s="145"/>
      <c r="V34" s="145"/>
      <c r="W34" s="145"/>
      <c r="X34" s="145">
        <f>IFERROR(VLOOKUP($B34,'无线(开发效率)'!$B:$Q,12,0),0)</f>
        <v>31</v>
      </c>
      <c r="Y34" s="145">
        <f>IFERROR(VLOOKUP($B34,'无线(开发效率)'!$B:$Q,13,0),"")</f>
        <v>1.5096774193548386</v>
      </c>
      <c r="Z34" s="145"/>
      <c r="AA34" s="145"/>
      <c r="AB34" s="145"/>
      <c r="AC34" s="145"/>
      <c r="AD34" s="145"/>
      <c r="AE34" s="145"/>
      <c r="AF34" s="145"/>
      <c r="AG34" s="145"/>
      <c r="AH34" s="145"/>
      <c r="AI34" s="145"/>
    </row>
    <row r="35" spans="1:35" ht="19.5" customHeight="1">
      <c r="A35" s="365"/>
      <c r="B35" s="140" t="s">
        <v>243</v>
      </c>
      <c r="C35" s="221">
        <f t="shared" si="2"/>
        <v>182</v>
      </c>
      <c r="D35" s="132">
        <f t="shared" si="0"/>
        <v>1.4690156898656901</v>
      </c>
      <c r="E35" s="4">
        <f t="shared" si="1"/>
        <v>0.74592170274284131</v>
      </c>
      <c r="F35" s="4">
        <f t="shared" si="4"/>
        <v>2.2149373926085314</v>
      </c>
      <c r="G35" s="144">
        <f t="shared" si="3"/>
        <v>0.72309398712284878</v>
      </c>
      <c r="H35" s="145">
        <f>IFERROR(VLOOKUP($B35,'2012'!$B:$Q,12,0),0)</f>
        <v>13</v>
      </c>
      <c r="I35" s="145">
        <f>IFERROR(VLOOKUP($B35,'2012'!$B:$Q,13,0),"")</f>
        <v>1.8846153846153846</v>
      </c>
      <c r="J35" s="145">
        <f>IFERROR(VLOOKUP($B35,云核!$B:$Q,12,0),0)</f>
        <v>53</v>
      </c>
      <c r="K35" s="145">
        <f>IFERROR(VLOOKUP($B35,云核!$B:$Q,13,0),"")</f>
        <v>1.6069811320754726</v>
      </c>
      <c r="L35" s="145">
        <f>IFERROR(VLOOKUP($B35,'公共开发部(开发测试)'!$B:$Q,12,0),0)</f>
        <v>53</v>
      </c>
      <c r="M35" s="145">
        <f>IFERROR(VLOOKUP($B35,'公共开发部(开发测试)'!$B:$Q,13,0),"")</f>
        <v>1.2145444444444446</v>
      </c>
      <c r="N35" s="145">
        <f>IFERROR(VLOOKUP($B35,BSS!$B:$Q,12,0),0)</f>
        <v>24</v>
      </c>
      <c r="O35" s="145">
        <f>IFERROR(VLOOKUP($B35,BSS!$B:$Q,13,0),"")</f>
        <v>2.1716666666666669</v>
      </c>
      <c r="P35" s="145">
        <f>IFERROR(VLOOKUP($B35,GSD!$B:$Q,12,0),0)</f>
        <v>35</v>
      </c>
      <c r="Q35" s="145">
        <f>IFERROR(VLOOKUP($B35,GSD!$B:$Q,13,0),"")</f>
        <v>1.0628571428571429</v>
      </c>
      <c r="R35" s="145">
        <f>IFERROR(VLOOKUP($B35,'企业IT(开发测试)'!$B:$Q,12,0),0)</f>
        <v>2</v>
      </c>
      <c r="S35" s="145">
        <f>IFERROR(VLOOKUP($B35,'企业IT(开发测试)'!$B:$Q,13,0),"")</f>
        <v>2</v>
      </c>
      <c r="T35" s="145"/>
      <c r="U35" s="145"/>
      <c r="V35" s="145"/>
      <c r="W35" s="145"/>
      <c r="X35" s="145">
        <f>IFERROR(VLOOKUP($B35,'无线(开发效率)'!$B:$Q,12,0),0)</f>
        <v>2</v>
      </c>
      <c r="Y35" s="145">
        <f>IFERROR(VLOOKUP($B35,'无线(开发效率)'!$B:$Q,13,0),"")</f>
        <v>0</v>
      </c>
      <c r="Z35" s="145"/>
      <c r="AA35" s="145"/>
      <c r="AB35" s="145"/>
      <c r="AC35" s="145"/>
      <c r="AD35" s="145"/>
      <c r="AE35" s="145"/>
      <c r="AF35" s="145"/>
      <c r="AG35" s="145"/>
      <c r="AH35" s="145"/>
      <c r="AI35" s="145"/>
    </row>
    <row r="36" spans="1:35" ht="19.5" customHeight="1">
      <c r="A36" s="365"/>
      <c r="B36" s="140" t="s">
        <v>220</v>
      </c>
      <c r="C36" s="221">
        <f t="shared" si="2"/>
        <v>107</v>
      </c>
      <c r="D36" s="132">
        <f t="shared" si="0"/>
        <v>1.0779439252336447</v>
      </c>
      <c r="E36" s="4">
        <f t="shared" si="1"/>
        <v>0.68594352429228378</v>
      </c>
      <c r="F36" s="4">
        <f t="shared" si="4"/>
        <v>1.7638874495259285</v>
      </c>
      <c r="G36" s="144">
        <f t="shared" si="3"/>
        <v>0.3920004009413609</v>
      </c>
      <c r="H36" s="145">
        <f>IFERROR(VLOOKUP($B36,'2012'!$B:$Q,12,0),0)</f>
        <v>2</v>
      </c>
      <c r="I36" s="145">
        <f>IFERROR(VLOOKUP($B36,'2012'!$B:$Q,13,0),"")</f>
        <v>2</v>
      </c>
      <c r="J36" s="145">
        <f>IFERROR(VLOOKUP($B36,云核!$B:$Q,12,0),0)</f>
        <v>35</v>
      </c>
      <c r="K36" s="145">
        <f>IFERROR(VLOOKUP($B36,云核!$B:$Q,13,0),"")</f>
        <v>1</v>
      </c>
      <c r="L36" s="145">
        <f>IFERROR(VLOOKUP($B36,'公共开发部(开发测试)'!$B:$Q,12,0),0)</f>
        <v>51</v>
      </c>
      <c r="M36" s="145">
        <f>IFERROR(VLOOKUP($B36,'公共开发部(开发测试)'!$B:$Q,13,0),"")</f>
        <v>1.3066666666666664</v>
      </c>
      <c r="N36" s="145">
        <f>IFERROR(VLOOKUP($B36,BSS!$B:$Q,12,0),0)</f>
        <v>15</v>
      </c>
      <c r="O36" s="145">
        <f>IFERROR(VLOOKUP($B36,BSS!$B:$Q,13,0),"")</f>
        <v>0.5</v>
      </c>
      <c r="P36" s="145">
        <f>IFERROR(VLOOKUP($B36,GSD!$B:$Q,12,0),0)</f>
        <v>2</v>
      </c>
      <c r="Q36" s="145">
        <f>IFERROR(VLOOKUP($B36,GSD!$B:$Q,13,0),"")</f>
        <v>1.1000000000000001</v>
      </c>
      <c r="R36" s="145"/>
      <c r="S36" s="145"/>
      <c r="T36" s="145"/>
      <c r="U36" s="145"/>
      <c r="V36" s="145"/>
      <c r="W36" s="145"/>
      <c r="X36" s="145">
        <f>IFERROR(VLOOKUP($B36,'无线(开发效率)'!$B:$Q,12,0),0)</f>
        <v>2</v>
      </c>
      <c r="Y36" s="145">
        <f>IFERROR(VLOOKUP($B36,'无线(开发效率)'!$B:$Q,13,0),"")</f>
        <v>0</v>
      </c>
      <c r="Z36" s="145"/>
      <c r="AA36" s="145"/>
      <c r="AB36" s="145"/>
      <c r="AC36" s="145"/>
      <c r="AD36" s="145"/>
      <c r="AE36" s="145"/>
      <c r="AF36" s="145"/>
      <c r="AG36" s="145"/>
      <c r="AH36" s="145"/>
      <c r="AI36" s="145"/>
    </row>
    <row r="37" spans="1:35" ht="19.5" customHeight="1">
      <c r="A37" s="366"/>
      <c r="B37" s="140" t="s">
        <v>244</v>
      </c>
      <c r="C37" s="221">
        <f t="shared" si="2"/>
        <v>205</v>
      </c>
      <c r="D37" s="132">
        <f t="shared" si="0"/>
        <v>1.2893555840821569</v>
      </c>
      <c r="E37" s="4">
        <f t="shared" si="1"/>
        <v>0.85870515340435261</v>
      </c>
      <c r="F37" s="4">
        <f t="shared" si="4"/>
        <v>2.1480607374865093</v>
      </c>
      <c r="G37" s="144">
        <f t="shared" si="3"/>
        <v>0.43065043067780429</v>
      </c>
      <c r="H37" s="145">
        <f>IFERROR(VLOOKUP($B37,'2012'!$B:$Q,12,0),0)</f>
        <v>5</v>
      </c>
      <c r="I37" s="145">
        <f>IFERROR(VLOOKUP($B37,'2012'!$B:$Q,13,0),"")</f>
        <v>2.9</v>
      </c>
      <c r="J37" s="145">
        <f>IFERROR(VLOOKUP($B37,云核!$B:$Q,12,0),0)</f>
        <v>51</v>
      </c>
      <c r="K37" s="145">
        <f>IFERROR(VLOOKUP($B37,云核!$B:$Q,13,0),"")</f>
        <v>1.3196078431372551</v>
      </c>
      <c r="L37" s="145">
        <f>IFERROR(VLOOKUP($B37,'公共开发部(开发测试)'!$B:$Q,12,0),0)</f>
        <v>53</v>
      </c>
      <c r="M37" s="145">
        <f>IFERROR(VLOOKUP($B37,'公共开发部(开发测试)'!$B:$Q,13,0),"")</f>
        <v>1.4405263157894739</v>
      </c>
      <c r="N37" s="145">
        <f>IFERROR(VLOOKUP($B37,BSS!$B:$Q,12,0),0)</f>
        <v>28</v>
      </c>
      <c r="O37" s="145">
        <f>IFERROR(VLOOKUP($B37,BSS!$B:$Q,13,0),"")</f>
        <v>1.2257142857142858</v>
      </c>
      <c r="P37" s="145">
        <f>IFERROR(VLOOKUP($B37,GSD!$B:$Q,12,0),0)</f>
        <v>39</v>
      </c>
      <c r="Q37" s="145">
        <f>IFERROR(VLOOKUP($B37,GSD!$B:$Q,13,0),"")</f>
        <v>1.2012820512820512</v>
      </c>
      <c r="R37" s="145"/>
      <c r="S37" s="145"/>
      <c r="T37" s="145">
        <f>IFERROR(VLOOKUP($B37,'网络(C开发)'!$B:$Q,12,0),0)</f>
        <v>27</v>
      </c>
      <c r="U37" s="145">
        <f>IFERROR(VLOOKUP($B37,'网络(C开发)'!$B:$Q,13,0),"")</f>
        <v>0.92592592592592593</v>
      </c>
      <c r="V37" s="145"/>
      <c r="W37" s="145"/>
      <c r="X37" s="145">
        <f>IFERROR(VLOOKUP($B37,'无线(开发效率)'!$B:$Q,12,0),0)</f>
        <v>2</v>
      </c>
      <c r="Y37" s="145">
        <f>IFERROR(VLOOKUP($B37,'无线(开发效率)'!$B:$Q,13,0),"")</f>
        <v>0</v>
      </c>
      <c r="Z37" s="145"/>
      <c r="AA37" s="145"/>
      <c r="AB37" s="145"/>
      <c r="AC37" s="145"/>
      <c r="AD37" s="145"/>
      <c r="AE37" s="145"/>
      <c r="AF37" s="145"/>
      <c r="AG37" s="145"/>
      <c r="AH37" s="145"/>
      <c r="AI37" s="145"/>
    </row>
    <row r="38" spans="1:35" ht="19.5" customHeight="1">
      <c r="A38" s="363" t="s">
        <v>221</v>
      </c>
      <c r="B38" s="140" t="s">
        <v>384</v>
      </c>
      <c r="C38" s="221">
        <f t="shared" si="2"/>
        <v>644</v>
      </c>
      <c r="D38" s="132">
        <f t="shared" si="0"/>
        <v>13.715582463327609</v>
      </c>
      <c r="E38" s="4">
        <f t="shared" si="1"/>
        <v>12.532270667608536</v>
      </c>
      <c r="F38" s="4">
        <f t="shared" si="4"/>
        <v>26.247853130936143</v>
      </c>
      <c r="G38" s="144">
        <f t="shared" si="3"/>
        <v>1.1833117957190726</v>
      </c>
      <c r="H38" s="145">
        <f>IFERROR(VLOOKUP($B38,'2012'!$B:$Q,12,0),0)</f>
        <v>41</v>
      </c>
      <c r="I38" s="145">
        <f>IFERROR(VLOOKUP($B38,'2012'!$B:$Q,13,0),"")</f>
        <v>0</v>
      </c>
      <c r="J38" s="145">
        <f>IFERROR(VLOOKUP($B38,云核!$B:$Q,12,0),0)</f>
        <v>71</v>
      </c>
      <c r="K38" s="145">
        <f>IFERROR(VLOOKUP($B38,云核!$B:$Q,13,0),"")</f>
        <v>0</v>
      </c>
      <c r="L38" s="145">
        <f>IFERROR(VLOOKUP($B38,'公共开发部(开发测试)'!$B:$Q,12,0),0)</f>
        <v>49</v>
      </c>
      <c r="M38" s="145">
        <f>IFERROR(VLOOKUP($B38,'公共开发部(开发测试)'!$B:$Q,13,0),"")</f>
        <v>4.2553191489361701E-2</v>
      </c>
      <c r="N38" s="145">
        <f>IFERROR(VLOOKUP($B38,BSS!$B:$Q,12,0),0)</f>
        <v>70</v>
      </c>
      <c r="O38" s="145">
        <f>IFERROR(VLOOKUP($B38,BSS!$B:$Q,13,0),"")</f>
        <v>0</v>
      </c>
      <c r="P38" s="145">
        <f>IFERROR(VLOOKUP($B38,GSD!$B:$Q,12,0),0)</f>
        <v>209</v>
      </c>
      <c r="Q38" s="145">
        <f>IFERROR(VLOOKUP($B38,GSD!$B:$Q,13,0),"")</f>
        <v>40.013157894736842</v>
      </c>
      <c r="R38" s="145">
        <f>IFERROR(VLOOKUP($B38,'企业IT(开发测试)'!$B:$Q,12,0),0)</f>
        <v>44</v>
      </c>
      <c r="S38" s="145">
        <f>IFERROR(VLOOKUP($B38,'企业IT(开发测试)'!$B:$Q,13,0),"")</f>
        <v>0</v>
      </c>
      <c r="T38" s="145">
        <f>IFERROR(VLOOKUP($B38,'网络(C开发)'!$B:$Q,12,0),0)</f>
        <v>27</v>
      </c>
      <c r="U38" s="145">
        <f>IFERROR(VLOOKUP($B38,'网络(C开发)'!$B:$Q,13,0),"")</f>
        <v>0</v>
      </c>
      <c r="V38" s="145">
        <f>IFERROR(VLOOKUP($B38,'网络(J开发)'!$B:$Q,12,0),0)</f>
        <v>12</v>
      </c>
      <c r="W38" s="145">
        <f>IFERROR(VLOOKUP($B38,'网络(J开发)'!$B:$Q,13,0),"")</f>
        <v>0</v>
      </c>
      <c r="X38" s="145">
        <f>IFERROR(VLOOKUP($B38,'无线(开发效率)'!$B:$Q,12,0),0)</f>
        <v>81</v>
      </c>
      <c r="Y38" s="145">
        <f>IFERROR(VLOOKUP($B38,'无线(开发效率)'!$B:$Q,13,0),"")</f>
        <v>5.1728395061728394</v>
      </c>
      <c r="Z38" s="145"/>
      <c r="AA38" s="145"/>
      <c r="AB38" s="145">
        <f>IFERROR(VLOOKUP($B38,'云BU(开发测试)'!$B:$Q,12,0),0)</f>
        <v>40</v>
      </c>
      <c r="AC38" s="145">
        <f>IFERROR(VLOOKUP($B38,'云BU(开发测试)'!$B:$Q,13,0),"")</f>
        <v>1.2250000000000001</v>
      </c>
      <c r="AD38" s="145"/>
      <c r="AE38" s="145"/>
      <c r="AF38" s="145"/>
      <c r="AG38" s="145"/>
      <c r="AH38" s="145"/>
      <c r="AI38" s="145"/>
    </row>
    <row r="39" spans="1:35" ht="19.5" customHeight="1">
      <c r="A39" s="363"/>
      <c r="B39" s="140" t="s">
        <v>211</v>
      </c>
      <c r="C39" s="221">
        <f t="shared" si="2"/>
        <v>591</v>
      </c>
      <c r="D39" s="132">
        <f t="shared" si="0"/>
        <v>4.087767297338873</v>
      </c>
      <c r="E39" s="4">
        <f t="shared" si="1"/>
        <v>1.1637553810038501</v>
      </c>
      <c r="F39" s="4">
        <f t="shared" si="4"/>
        <v>5.2515226783427229</v>
      </c>
      <c r="G39" s="144">
        <f t="shared" si="3"/>
        <v>2.9240119163350231</v>
      </c>
      <c r="H39" s="145">
        <f>IFERROR(VLOOKUP($B39,'2012'!$B:$Q,12,0),0)</f>
        <v>28</v>
      </c>
      <c r="I39" s="145">
        <f>IFERROR(VLOOKUP($B39,'2012'!$B:$Q,13,0),"")</f>
        <v>2.6117857142857139</v>
      </c>
      <c r="J39" s="145">
        <f>IFERROR(VLOOKUP($B39,云核!$B:$Q,12,0),0)</f>
        <v>59</v>
      </c>
      <c r="K39" s="145">
        <f>IFERROR(VLOOKUP($B39,云核!$B:$Q,13,0),"")</f>
        <v>5.035254237288135</v>
      </c>
      <c r="L39" s="145">
        <f>IFERROR(VLOOKUP($B39,'公共开发部(开发测试)'!$B:$Q,12,0),0)</f>
        <v>49</v>
      </c>
      <c r="M39" s="145">
        <f>IFERROR(VLOOKUP($B39,'公共开发部(开发测试)'!$B:$Q,13,0),"")</f>
        <v>5.3511363636363631</v>
      </c>
      <c r="N39" s="145">
        <f>IFERROR(VLOOKUP($B39,BSS!$B:$Q,12,0),0)</f>
        <v>74</v>
      </c>
      <c r="O39" s="145">
        <f>IFERROR(VLOOKUP($B39,BSS!$B:$Q,13,0),"")</f>
        <v>2.4746486486486488</v>
      </c>
      <c r="P39" s="145">
        <f>IFERROR(VLOOKUP($B39,GSD!$B:$Q,12,0),0)</f>
        <v>188</v>
      </c>
      <c r="Q39" s="145">
        <f>IFERROR(VLOOKUP($B39,GSD!$B:$Q,13,0),"")</f>
        <v>4.1488015957446853</v>
      </c>
      <c r="R39" s="145">
        <f>IFERROR(VLOOKUP($B39,'企业IT(开发测试)'!$B:$Q,12,0),0)</f>
        <v>32</v>
      </c>
      <c r="S39" s="145">
        <f>IFERROR(VLOOKUP($B39,'企业IT(开发测试)'!$B:$Q,13,0),"")</f>
        <v>3.9290624999999997</v>
      </c>
      <c r="T39" s="145">
        <f>IFERROR(VLOOKUP($B39,'网络(C开发)'!$B:$Q,12,0),0)</f>
        <v>27</v>
      </c>
      <c r="U39" s="145">
        <f>IFERROR(VLOOKUP($B39,'网络(C开发)'!$B:$Q,13,0),"")</f>
        <v>4.2378181818181817</v>
      </c>
      <c r="V39" s="145">
        <f>IFERROR(VLOOKUP($B39,'网络(J开发)'!$B:$Q,12,0),0)</f>
        <v>12</v>
      </c>
      <c r="W39" s="145">
        <f>IFERROR(VLOOKUP($B39,'网络(J开发)'!$B:$Q,13,0),"")</f>
        <v>6.1604166666666664</v>
      </c>
      <c r="X39" s="145">
        <f>IFERROR(VLOOKUP($B39,'无线(开发效率)'!$B:$Q,12,0),0)</f>
        <v>99</v>
      </c>
      <c r="Y39" s="145">
        <f>IFERROR(VLOOKUP($B39,'无线(开发效率)'!$B:$Q,13,0),"")</f>
        <v>4.3381818181818188</v>
      </c>
      <c r="Z39" s="145"/>
      <c r="AA39" s="145"/>
      <c r="AB39" s="145">
        <f>IFERROR(VLOOKUP($B39,'云BU(开发测试)'!$B:$Q,12,0),0)</f>
        <v>23</v>
      </c>
      <c r="AC39" s="145">
        <f>IFERROR(VLOOKUP($B39,'云BU(开发测试)'!$B:$Q,13,0),"")</f>
        <v>3.3391304347826085</v>
      </c>
      <c r="AD39" s="145"/>
      <c r="AE39" s="145"/>
      <c r="AF39" s="145"/>
      <c r="AG39" s="145"/>
      <c r="AH39" s="145"/>
      <c r="AI39" s="145"/>
    </row>
    <row r="40" spans="1:35" ht="19.5" customHeight="1">
      <c r="A40" s="363"/>
      <c r="B40" s="140" t="s">
        <v>245</v>
      </c>
      <c r="C40" s="221">
        <f t="shared" si="2"/>
        <v>523</v>
      </c>
      <c r="D40" s="23">
        <f t="shared" si="0"/>
        <v>7.506301429245435E-2</v>
      </c>
      <c r="E40" s="23">
        <f t="shared" si="1"/>
        <v>2.4221971730847492E-2</v>
      </c>
      <c r="F40" s="23">
        <f t="shared" si="4"/>
        <v>9.9284986023301838E-2</v>
      </c>
      <c r="G40" s="156">
        <f t="shared" si="3"/>
        <v>5.0841042561606861E-2</v>
      </c>
      <c r="H40" s="145">
        <f>IFERROR(VLOOKUP($B40,'2012'!$B:$Q,12,0),0)</f>
        <v>27</v>
      </c>
      <c r="I40" s="145">
        <f>IFERROR(VLOOKUP($B40,'2012'!$B:$Q,13,0),"")</f>
        <v>4.1822222222222219E-2</v>
      </c>
      <c r="J40" s="145">
        <f>IFERROR(VLOOKUP($B40,云核!$B:$Q,12,0),0)</f>
        <v>35</v>
      </c>
      <c r="K40" s="145">
        <f>IFERROR(VLOOKUP($B40,云核!$B:$Q,13,0),"")</f>
        <v>5.6988571428571416E-2</v>
      </c>
      <c r="L40" s="145">
        <f>IFERROR(VLOOKUP($B40,'公共开发部(开发测试)'!$B:$Q,12,0),0)</f>
        <v>55</v>
      </c>
      <c r="M40" s="145">
        <f>IFERROR(VLOOKUP($B40,'公共开发部(开发测试)'!$B:$Q,13,0),"")</f>
        <v>5.4991836734693884E-2</v>
      </c>
      <c r="N40" s="145">
        <f>IFERROR(VLOOKUP($B40,BSS!$B:$Q,12,0),0)</f>
        <v>69</v>
      </c>
      <c r="O40" s="145">
        <f>IFERROR(VLOOKUP($B40,BSS!$B:$Q,13,0),"")</f>
        <v>4.190144927536231E-2</v>
      </c>
      <c r="P40" s="145">
        <f>IFERROR(VLOOKUP($B40,GSD!$B:$Q,12,0),0)</f>
        <v>187</v>
      </c>
      <c r="Q40" s="145">
        <f>IFERROR(VLOOKUP($B40,GSD!$B:$Q,13,0),"")</f>
        <v>0.10711283422459901</v>
      </c>
      <c r="R40" s="145">
        <f>IFERROR(VLOOKUP($B40,'企业IT(开发测试)'!$B:$Q,12,0),0)</f>
        <v>23</v>
      </c>
      <c r="S40" s="145">
        <f>IFERROR(VLOOKUP($B40,'企业IT(开发测试)'!$B:$Q,13,0),"")</f>
        <v>5.2413043478260868E-2</v>
      </c>
      <c r="T40" s="145">
        <f>IFERROR(VLOOKUP($B40,'网络(C开发)'!$B:$Q,12,0),0)</f>
        <v>27</v>
      </c>
      <c r="U40" s="145">
        <f>IFERROR(VLOOKUP($B40,'网络(C开发)'!$B:$Q,13,0),"")</f>
        <v>0.10395575757575758</v>
      </c>
      <c r="V40" s="145">
        <f>IFERROR(VLOOKUP($B40,'网络(J开发)'!$B:$Q,12,0),0)</f>
        <v>12</v>
      </c>
      <c r="W40" s="145">
        <f>IFERROR(VLOOKUP($B40,'网络(J开发)'!$B:$Q,13,0),"")</f>
        <v>0.04</v>
      </c>
      <c r="X40" s="145">
        <f>IFERROR(VLOOKUP($B40,'无线(开发效率)'!$B:$Q,12,0),0)</f>
        <v>78</v>
      </c>
      <c r="Y40" s="145">
        <f>IFERROR(VLOOKUP($B40,'无线(开发效率)'!$B:$Q,13,0),"")</f>
        <v>6.5525641025641013E-2</v>
      </c>
      <c r="Z40" s="145"/>
      <c r="AA40" s="145"/>
      <c r="AB40" s="145">
        <f>IFERROR(VLOOKUP($B40,'云BU(开发测试)'!$B:$Q,12,0),0)</f>
        <v>10</v>
      </c>
      <c r="AC40" s="145">
        <f>IFERROR(VLOOKUP($B40,'云BU(开发测试)'!$B:$Q,13,0),"")</f>
        <v>5.850000000000001E-2</v>
      </c>
      <c r="AD40" s="145"/>
      <c r="AE40" s="145"/>
      <c r="AF40" s="145"/>
      <c r="AG40" s="145"/>
      <c r="AH40" s="145"/>
      <c r="AI40" s="145"/>
    </row>
    <row r="41" spans="1:35" ht="19.5" customHeight="1">
      <c r="A41" s="363"/>
      <c r="B41" s="141" t="s">
        <v>222</v>
      </c>
      <c r="C41" s="221">
        <f t="shared" si="2"/>
        <v>483</v>
      </c>
      <c r="D41" s="132">
        <f t="shared" si="0"/>
        <v>1.9716905395698654</v>
      </c>
      <c r="E41" s="4">
        <f t="shared" si="1"/>
        <v>1.6667276686813912</v>
      </c>
      <c r="F41" s="4">
        <f t="shared" si="4"/>
        <v>3.6384182082512568</v>
      </c>
      <c r="G41" s="144">
        <f t="shared" si="3"/>
        <v>0.30496287088847418</v>
      </c>
      <c r="H41" s="145">
        <f>IFERROR(VLOOKUP($B41,'2012'!$B:$Q,12,0),0)</f>
        <v>34</v>
      </c>
      <c r="I41" s="145">
        <f>IFERROR(VLOOKUP($B41,'2012'!$B:$Q,13,0),"")</f>
        <v>0</v>
      </c>
      <c r="J41" s="145">
        <f>IFERROR(VLOOKUP($B41,云核!$B:$Q,12,0),0)</f>
        <v>56</v>
      </c>
      <c r="K41" s="145">
        <f>IFERROR(VLOOKUP($B41,云核!$B:$Q,13,0),"")</f>
        <v>0</v>
      </c>
      <c r="L41" s="145">
        <f>IFERROR(VLOOKUP($B41,'公共开发部(开发测试)'!$B:$Q,12,0),0)</f>
        <v>53</v>
      </c>
      <c r="M41" s="145">
        <f>IFERROR(VLOOKUP($B41,'公共开发部(开发测试)'!$B:$Q,13,0),"")</f>
        <v>8.1632653061224483E-2</v>
      </c>
      <c r="N41" s="145">
        <f>IFERROR(VLOOKUP($B41,BSS!$B:$Q,12,0),0)</f>
        <v>69</v>
      </c>
      <c r="O41" s="145">
        <f>IFERROR(VLOOKUP($B41,BSS!$B:$Q,13,0),"")</f>
        <v>0</v>
      </c>
      <c r="P41" s="145">
        <f>IFERROR(VLOOKUP($B41,GSD!$B:$Q,12,0),0)</f>
        <v>179</v>
      </c>
      <c r="Q41" s="145">
        <f>IFERROR(VLOOKUP($B41,GSD!$B:$Q,13,0),"")</f>
        <v>5.2905027932960893</v>
      </c>
      <c r="R41" s="145">
        <f>IFERROR(VLOOKUP($B41,'企业IT(开发测试)'!$B:$Q,12,0),0)</f>
        <v>34</v>
      </c>
      <c r="S41" s="145">
        <f>IFERROR(VLOOKUP($B41,'企业IT(开发测试)'!$B:$Q,13,0),"")</f>
        <v>0</v>
      </c>
      <c r="T41" s="145">
        <f>IFERROR(VLOOKUP($B41,'网络(C开发)'!$B:$Q,12,0),0)</f>
        <v>27</v>
      </c>
      <c r="U41" s="145">
        <f>IFERROR(VLOOKUP($B41,'网络(C开发)'!$B:$Q,13,0),"")</f>
        <v>0</v>
      </c>
      <c r="V41" s="145">
        <f>IFERROR(VLOOKUP($B41,'网络(J开发)'!$B:$Q,12,0),0)</f>
        <v>12</v>
      </c>
      <c r="W41" s="145">
        <f>IFERROR(VLOOKUP($B41,'网络(J开发)'!$B:$Q,13,0),"")</f>
        <v>0</v>
      </c>
      <c r="X41" s="145">
        <f>IFERROR(VLOOKUP($B41,'无线(开发效率)'!$B:$Q,12,0),0)</f>
        <v>10</v>
      </c>
      <c r="Y41" s="145">
        <f>IFERROR(VLOOKUP($B41,'无线(开发效率)'!$B:$Q,13,0),"")</f>
        <v>0</v>
      </c>
      <c r="Z41" s="145"/>
      <c r="AA41" s="145"/>
      <c r="AB41" s="145">
        <f>IFERROR(VLOOKUP($B41,'云BU(开发测试)'!$B:$Q,12,0),0)</f>
        <v>9</v>
      </c>
      <c r="AC41" s="145">
        <f>IFERROR(VLOOKUP($B41,'云BU(开发测试)'!$B:$Q,13,0),"")</f>
        <v>0.1111111111111111</v>
      </c>
      <c r="AD41" s="145"/>
      <c r="AE41" s="145"/>
      <c r="AF41" s="145"/>
      <c r="AG41" s="145"/>
      <c r="AH41" s="145"/>
      <c r="AI41" s="145"/>
    </row>
    <row r="42" spans="1:35" ht="19.5" customHeight="1">
      <c r="A42" s="363"/>
      <c r="B42" s="141" t="s">
        <v>223</v>
      </c>
      <c r="C42" s="221">
        <f t="shared" si="2"/>
        <v>446</v>
      </c>
      <c r="D42" s="132">
        <f t="shared" si="0"/>
        <v>7.2755559622952317E-3</v>
      </c>
      <c r="E42" s="4">
        <f t="shared" si="1"/>
        <v>1.9360883633683955E-2</v>
      </c>
      <c r="F42" s="4">
        <f t="shared" si="4"/>
        <v>2.6636439595979187E-2</v>
      </c>
      <c r="G42" s="144">
        <f t="shared" si="3"/>
        <v>0</v>
      </c>
      <c r="H42" s="145">
        <f>IFERROR(VLOOKUP($B42,'2012'!$B:$Q,12,0),0)</f>
        <v>34</v>
      </c>
      <c r="I42" s="145">
        <f>IFERROR(VLOOKUP($B42,'2012'!$B:$Q,13,0),"")</f>
        <v>0</v>
      </c>
      <c r="J42" s="145">
        <f>IFERROR(VLOOKUP($B42,云核!$B:$Q,12,0),0)</f>
        <v>58</v>
      </c>
      <c r="K42" s="145">
        <f>IFERROR(VLOOKUP($B42,云核!$B:$Q,13,0),"")</f>
        <v>0</v>
      </c>
      <c r="L42" s="145">
        <f>IFERROR(VLOOKUP($B42,'公共开发部(开发测试)'!$B:$Q,12,0),0)</f>
        <v>53</v>
      </c>
      <c r="M42" s="145">
        <f>IFERROR(VLOOKUP($B42,'公共开发部(开发测试)'!$B:$Q,13,0),"")</f>
        <v>6.1224489795918366E-2</v>
      </c>
      <c r="N42" s="145">
        <f>IFERROR(VLOOKUP($B42,BSS!$B:$Q,12,0),0)</f>
        <v>67</v>
      </c>
      <c r="O42" s="145">
        <f>IFERROR(VLOOKUP($B42,BSS!$B:$Q,13,0),"")</f>
        <v>0</v>
      </c>
      <c r="P42" s="145">
        <f>IFERROR(VLOOKUP($B42,GSD!$B:$Q,12,0),0)</f>
        <v>143</v>
      </c>
      <c r="Q42" s="145">
        <f>IFERROR(VLOOKUP($B42,GSD!$B:$Q,13,0),"")</f>
        <v>0</v>
      </c>
      <c r="R42" s="145">
        <f>IFERROR(VLOOKUP($B42,'企业IT(开发测试)'!$B:$Q,12,0),0)</f>
        <v>34</v>
      </c>
      <c r="S42" s="145">
        <f>IFERROR(VLOOKUP($B42,'企业IT(开发测试)'!$B:$Q,13,0),"")</f>
        <v>0</v>
      </c>
      <c r="T42" s="145">
        <f>IFERROR(VLOOKUP($B42,'网络(C开发)'!$B:$Q,12,0),0)</f>
        <v>27</v>
      </c>
      <c r="U42" s="145">
        <f>IFERROR(VLOOKUP($B42,'网络(C开发)'!$B:$Q,13,0),"")</f>
        <v>0</v>
      </c>
      <c r="V42" s="145">
        <f>IFERROR(VLOOKUP($B42,'网络(J开发)'!$B:$Q,12,0),0)</f>
        <v>12</v>
      </c>
      <c r="W42" s="145">
        <f>IFERROR(VLOOKUP($B42,'网络(J开发)'!$B:$Q,13,0),"")</f>
        <v>0</v>
      </c>
      <c r="X42" s="145">
        <f>IFERROR(VLOOKUP($B42,'无线(开发效率)'!$B:$Q,12,0),0)</f>
        <v>10</v>
      </c>
      <c r="Y42" s="145">
        <f>IFERROR(VLOOKUP($B42,'无线(开发效率)'!$B:$Q,13,0),"")</f>
        <v>0</v>
      </c>
      <c r="Z42" s="145"/>
      <c r="AA42" s="145"/>
      <c r="AB42" s="145">
        <f>IFERROR(VLOOKUP($B42,'云BU(开发测试)'!$B:$Q,12,0),0)</f>
        <v>8</v>
      </c>
      <c r="AC42" s="145">
        <f>IFERROR(VLOOKUP($B42,'云BU(开发测试)'!$B:$Q,13,0),"")</f>
        <v>0</v>
      </c>
      <c r="AD42" s="145"/>
      <c r="AE42" s="145"/>
      <c r="AF42" s="145"/>
      <c r="AG42" s="145"/>
      <c r="AH42" s="145"/>
      <c r="AI42" s="145"/>
    </row>
    <row r="43" spans="1:35" ht="19.5" customHeight="1">
      <c r="A43" s="363"/>
      <c r="B43" s="141" t="s">
        <v>383</v>
      </c>
      <c r="C43" s="221">
        <f t="shared" si="2"/>
        <v>304</v>
      </c>
      <c r="D43" s="132">
        <f t="shared" si="0"/>
        <v>76.595635964912304</v>
      </c>
      <c r="E43" s="4">
        <f t="shared" si="1"/>
        <v>41.799567906319226</v>
      </c>
      <c r="F43" s="4">
        <f t="shared" si="4"/>
        <v>118.39520387123153</v>
      </c>
      <c r="G43" s="144">
        <f t="shared" si="3"/>
        <v>34.796068058593079</v>
      </c>
      <c r="H43" s="145">
        <f>IFERROR(VLOOKUP($B43,'2012'!$B:$Q,12,0),0)</f>
        <v>5</v>
      </c>
      <c r="I43" s="145">
        <f>IFERROR(VLOOKUP($B43,'2012'!$B:$Q,13,0),"")</f>
        <v>59.070000000000007</v>
      </c>
      <c r="J43" s="145"/>
      <c r="K43" s="145"/>
      <c r="L43" s="145">
        <f>IFERROR(VLOOKUP($B43,'公共开发部(开发测试)'!$B:$Q,12,0),0)</f>
        <v>40</v>
      </c>
      <c r="M43" s="145">
        <f>IFERROR(VLOOKUP($B43,'公共开发部(开发测试)'!$B:$Q,13,0),"")</f>
        <v>85.929333333333332</v>
      </c>
      <c r="N43" s="145">
        <f>IFERROR(VLOOKUP($B43,BSS!$B:$Q,12,0),0)</f>
        <v>48</v>
      </c>
      <c r="O43" s="145">
        <f>IFERROR(VLOOKUP($B43,BSS!$B:$Q,13,0),"")</f>
        <v>86.149166666666659</v>
      </c>
      <c r="P43" s="145">
        <f>IFERROR(VLOOKUP($B43,GSD!$B:$Q,12,0),0)</f>
        <v>169</v>
      </c>
      <c r="Q43" s="145">
        <f>IFERROR(VLOOKUP($B43,GSD!$B:$Q,13,0),"")</f>
        <v>83.763727810650948</v>
      </c>
      <c r="R43" s="145">
        <f>IFERROR(VLOOKUP($B43,'企业IT(开发测试)'!$B:$Q,12,0),0)</f>
        <v>13</v>
      </c>
      <c r="S43" s="145">
        <f>IFERROR(VLOOKUP($B43,'企业IT(开发测试)'!$B:$Q,13,0),"")</f>
        <v>97.024615384615373</v>
      </c>
      <c r="T43" s="145">
        <f>IFERROR(VLOOKUP($B43,'网络(C开发)'!$B:$Q,12,0),0)</f>
        <v>27</v>
      </c>
      <c r="U43" s="145">
        <f>IFERROR(VLOOKUP($B43,'网络(C开发)'!$B:$Q,13,0),"")</f>
        <v>0</v>
      </c>
      <c r="V43" s="145"/>
      <c r="W43" s="145"/>
      <c r="X43" s="145">
        <f>IFERROR(VLOOKUP($B43,'无线(开发效率)'!$B:$Q,12,0),0)</f>
        <v>2</v>
      </c>
      <c r="Y43" s="145">
        <f>IFERROR(VLOOKUP($B43,'无线(开发效率)'!$B:$Q,13,0),"")</f>
        <v>0</v>
      </c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</row>
  </sheetData>
  <mergeCells count="24">
    <mergeCell ref="AH1:AI1"/>
    <mergeCell ref="AF1:AG1"/>
    <mergeCell ref="AD1:AE1"/>
    <mergeCell ref="N1:O1"/>
    <mergeCell ref="A1:B2"/>
    <mergeCell ref="C1:G1"/>
    <mergeCell ref="H1:I1"/>
    <mergeCell ref="J1:K1"/>
    <mergeCell ref="L1:M1"/>
    <mergeCell ref="P1:Q1"/>
    <mergeCell ref="R1:S1"/>
    <mergeCell ref="T1:U1"/>
    <mergeCell ref="V1:W1"/>
    <mergeCell ref="X1:Y1"/>
    <mergeCell ref="Z1:AA1"/>
    <mergeCell ref="AB1:AC1"/>
    <mergeCell ref="A38:A43"/>
    <mergeCell ref="A31:A37"/>
    <mergeCell ref="A3:A13"/>
    <mergeCell ref="A14:A16"/>
    <mergeCell ref="A17:A20"/>
    <mergeCell ref="A21:A25"/>
    <mergeCell ref="A27:A28"/>
    <mergeCell ref="A29:A30"/>
  </mergeCells>
  <phoneticPr fontId="26" type="noConversion"/>
  <conditionalFormatting sqref="I3:I43">
    <cfRule type="containsBlanks" priority="1279" stopIfTrue="1">
      <formula>LEN(TRIM(I3))=0</formula>
    </cfRule>
    <cfRule type="cellIs" dxfId="16" priority="1280" operator="notBetween">
      <formula>$F3</formula>
      <formula>$G3</formula>
    </cfRule>
  </conditionalFormatting>
  <conditionalFormatting sqref="K3:K43">
    <cfRule type="containsBlanks" priority="25" stopIfTrue="1">
      <formula>LEN(TRIM(K3))=0</formula>
    </cfRule>
    <cfRule type="cellIs" dxfId="15" priority="26" operator="notBetween">
      <formula>$F3</formula>
      <formula>$G3</formula>
    </cfRule>
  </conditionalFormatting>
  <conditionalFormatting sqref="M3:M43">
    <cfRule type="containsBlanks" priority="23" stopIfTrue="1">
      <formula>LEN(TRIM(M3))=0</formula>
    </cfRule>
    <cfRule type="cellIs" dxfId="14" priority="24" operator="notBetween">
      <formula>$F3</formula>
      <formula>$G3</formula>
    </cfRule>
  </conditionalFormatting>
  <conditionalFormatting sqref="O3:O43">
    <cfRule type="containsBlanks" priority="21" stopIfTrue="1">
      <formula>LEN(TRIM(O3))=0</formula>
    </cfRule>
    <cfRule type="cellIs" dxfId="13" priority="22" operator="notBetween">
      <formula>$F3</formula>
      <formula>$G3</formula>
    </cfRule>
  </conditionalFormatting>
  <conditionalFormatting sqref="Q3:Q43">
    <cfRule type="containsBlanks" priority="19" stopIfTrue="1">
      <formula>LEN(TRIM(Q3))=0</formula>
    </cfRule>
    <cfRule type="cellIs" dxfId="12" priority="20" operator="notBetween">
      <formula>$F3</formula>
      <formula>$G3</formula>
    </cfRule>
  </conditionalFormatting>
  <conditionalFormatting sqref="S3:S43">
    <cfRule type="containsBlanks" priority="17" stopIfTrue="1">
      <formula>LEN(TRIM(S3))=0</formula>
    </cfRule>
    <cfRule type="cellIs" dxfId="11" priority="18" operator="notBetween">
      <formula>$F3</formula>
      <formula>$G3</formula>
    </cfRule>
  </conditionalFormatting>
  <conditionalFormatting sqref="U3:U43">
    <cfRule type="containsBlanks" priority="15" stopIfTrue="1">
      <formula>LEN(TRIM(U3))=0</formula>
    </cfRule>
    <cfRule type="cellIs" dxfId="10" priority="16" operator="notBetween">
      <formula>$F3</formula>
      <formula>$G3</formula>
    </cfRule>
  </conditionalFormatting>
  <conditionalFormatting sqref="W3:W43">
    <cfRule type="containsBlanks" priority="13" stopIfTrue="1">
      <formula>LEN(TRIM(W3))=0</formula>
    </cfRule>
    <cfRule type="cellIs" dxfId="9" priority="14" operator="notBetween">
      <formula>$F3</formula>
      <formula>$G3</formula>
    </cfRule>
  </conditionalFormatting>
  <conditionalFormatting sqref="Y3:Y43">
    <cfRule type="containsBlanks" priority="11" stopIfTrue="1">
      <formula>LEN(TRIM(Y3))=0</formula>
    </cfRule>
    <cfRule type="cellIs" dxfId="8" priority="12" operator="notBetween">
      <formula>$F3</formula>
      <formula>$G3</formula>
    </cfRule>
  </conditionalFormatting>
  <conditionalFormatting sqref="AA3:AA43">
    <cfRule type="containsBlanks" priority="9" stopIfTrue="1">
      <formula>LEN(TRIM(AA3))=0</formula>
    </cfRule>
    <cfRule type="cellIs" dxfId="7" priority="10" operator="notBetween">
      <formula>$F3</formula>
      <formula>$G3</formula>
    </cfRule>
  </conditionalFormatting>
  <conditionalFormatting sqref="AC3:AC43">
    <cfRule type="containsBlanks" priority="7" stopIfTrue="1">
      <formula>LEN(TRIM(AC3))=0</formula>
    </cfRule>
    <cfRule type="cellIs" dxfId="6" priority="8" operator="notBetween">
      <formula>$F3</formula>
      <formula>$G3</formula>
    </cfRule>
  </conditionalFormatting>
  <conditionalFormatting sqref="AE3:AE43">
    <cfRule type="containsBlanks" priority="5" stopIfTrue="1">
      <formula>LEN(TRIM(AE3))=0</formula>
    </cfRule>
    <cfRule type="cellIs" dxfId="5" priority="6" operator="notBetween">
      <formula>$F3</formula>
      <formula>$G3</formula>
    </cfRule>
  </conditionalFormatting>
  <conditionalFormatting sqref="AG3:AG43">
    <cfRule type="containsBlanks" priority="3" stopIfTrue="1">
      <formula>LEN(TRIM(AG3))=0</formula>
    </cfRule>
    <cfRule type="cellIs" dxfId="4" priority="4" operator="notBetween">
      <formula>$F3</formula>
      <formula>$G3</formula>
    </cfRule>
  </conditionalFormatting>
  <conditionalFormatting sqref="AI3:AI43">
    <cfRule type="containsBlanks" priority="1" stopIfTrue="1">
      <formula>LEN(TRIM(AI3))=0</formula>
    </cfRule>
    <cfRule type="cellIs" dxfId="3" priority="2" operator="notBetween">
      <formula>$F3</formula>
      <formula>$G3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70C0"/>
  </sheetPr>
  <dimension ref="A1:AI15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J18" sqref="J18"/>
    </sheetView>
  </sheetViews>
  <sheetFormatPr defaultColWidth="9" defaultRowHeight="14.25"/>
  <cols>
    <col min="1" max="1" width="5.25" style="26" bestFit="1" customWidth="1"/>
    <col min="2" max="2" width="24.75" style="26" bestFit="1" customWidth="1"/>
    <col min="3" max="3" width="6" style="26" bestFit="1" customWidth="1"/>
    <col min="4" max="4" width="7.75" style="26" bestFit="1" customWidth="1"/>
    <col min="5" max="5" width="6.75" style="26" bestFit="1" customWidth="1"/>
    <col min="6" max="7" width="7.625" style="26" bestFit="1" customWidth="1"/>
    <col min="8" max="16384" width="9" style="26"/>
  </cols>
  <sheetData>
    <row r="1" spans="1:35" ht="34.5" customHeight="1">
      <c r="A1" s="372" t="s">
        <v>232</v>
      </c>
      <c r="B1" s="373"/>
      <c r="C1" s="374" t="s">
        <v>486</v>
      </c>
      <c r="D1" s="375"/>
      <c r="E1" s="375"/>
      <c r="F1" s="375"/>
      <c r="G1" s="376"/>
      <c r="H1" s="370">
        <v>2012</v>
      </c>
      <c r="I1" s="371"/>
      <c r="J1" s="371" t="s">
        <v>376</v>
      </c>
      <c r="K1" s="371"/>
      <c r="L1" s="371" t="s">
        <v>514</v>
      </c>
      <c r="M1" s="371"/>
      <c r="N1" s="371" t="s">
        <v>512</v>
      </c>
      <c r="O1" s="371"/>
      <c r="P1" s="371" t="s">
        <v>513</v>
      </c>
      <c r="Q1" s="371"/>
      <c r="R1" s="371" t="s">
        <v>515</v>
      </c>
      <c r="S1" s="371"/>
      <c r="T1" s="371" t="s">
        <v>559</v>
      </c>
      <c r="U1" s="371"/>
      <c r="V1" s="371"/>
      <c r="W1" s="371"/>
      <c r="X1" s="371" t="s">
        <v>518</v>
      </c>
      <c r="Y1" s="371"/>
      <c r="Z1" s="371" t="s">
        <v>519</v>
      </c>
      <c r="AA1" s="371"/>
      <c r="AB1" s="371" t="s">
        <v>520</v>
      </c>
      <c r="AC1" s="371"/>
      <c r="AD1" s="369"/>
      <c r="AE1" s="370"/>
      <c r="AF1" s="369"/>
      <c r="AG1" s="370"/>
      <c r="AH1" s="369"/>
      <c r="AI1" s="370"/>
    </row>
    <row r="2" spans="1:35" s="85" customFormat="1" ht="14.25" customHeight="1">
      <c r="A2" s="372"/>
      <c r="B2" s="373"/>
      <c r="C2" s="142" t="s">
        <v>341</v>
      </c>
      <c r="D2" s="313" t="s">
        <v>364</v>
      </c>
      <c r="E2" s="313" t="s">
        <v>363</v>
      </c>
      <c r="F2" s="313" t="s">
        <v>2</v>
      </c>
      <c r="G2" s="143" t="s">
        <v>3</v>
      </c>
      <c r="H2" s="147" t="s">
        <v>341</v>
      </c>
      <c r="I2" s="148" t="s">
        <v>364</v>
      </c>
      <c r="J2" s="148" t="s">
        <v>341</v>
      </c>
      <c r="K2" s="148" t="s">
        <v>364</v>
      </c>
      <c r="L2" s="148" t="s">
        <v>341</v>
      </c>
      <c r="M2" s="148" t="s">
        <v>364</v>
      </c>
      <c r="N2" s="148" t="s">
        <v>341</v>
      </c>
      <c r="O2" s="148" t="s">
        <v>364</v>
      </c>
      <c r="P2" s="148" t="s">
        <v>341</v>
      </c>
      <c r="Q2" s="148" t="s">
        <v>364</v>
      </c>
      <c r="R2" s="148" t="s">
        <v>341</v>
      </c>
      <c r="S2" s="148" t="s">
        <v>364</v>
      </c>
      <c r="T2" s="148" t="s">
        <v>341</v>
      </c>
      <c r="U2" s="148" t="s">
        <v>364</v>
      </c>
      <c r="V2" s="148"/>
      <c r="W2" s="148"/>
      <c r="X2" s="148" t="s">
        <v>341</v>
      </c>
      <c r="Y2" s="148" t="s">
        <v>364</v>
      </c>
      <c r="Z2" s="148" t="s">
        <v>341</v>
      </c>
      <c r="AA2" s="148" t="s">
        <v>364</v>
      </c>
      <c r="AB2" s="148" t="s">
        <v>341</v>
      </c>
      <c r="AC2" s="148" t="s">
        <v>364</v>
      </c>
      <c r="AD2" s="148" t="s">
        <v>341</v>
      </c>
      <c r="AE2" s="148" t="s">
        <v>364</v>
      </c>
      <c r="AF2" s="148" t="s">
        <v>341</v>
      </c>
      <c r="AG2" s="148" t="s">
        <v>364</v>
      </c>
      <c r="AH2" s="148" t="s">
        <v>341</v>
      </c>
      <c r="AI2" s="148" t="s">
        <v>364</v>
      </c>
    </row>
    <row r="3" spans="1:35" s="85" customFormat="1">
      <c r="A3" s="351" t="s">
        <v>525</v>
      </c>
      <c r="B3" s="320" t="s">
        <v>526</v>
      </c>
      <c r="C3" s="221">
        <f>SUM(H3+J3+L3+N3+P3+R3+T3+V3+X3+Z3+AB3+AD3+AF3+AH3)</f>
        <v>9</v>
      </c>
      <c r="D3" s="132">
        <f t="shared" ref="D3:D15" si="0">(H3*I3+J3*K3+L3*M3+N3*O3+P3*Q3+R3*S3+T3*U3+V3*W3+X3*Y3+Z3*AA3+AB3*AC3+AD3*AE3+AF3*AG3+AH3*AI3)/C3</f>
        <v>4.4161299270913483</v>
      </c>
      <c r="E3" s="132">
        <f t="shared" ref="E3:E15" si="1">IFERROR(STDEV(I3,K3,M3,O3,Q3,S3,U3,W3,Y3,AA3,AC3,AE3,AG3,AI3),"")</f>
        <v>1.8424700747498211</v>
      </c>
      <c r="F3" s="132">
        <f>IFERROR(IF(E3&lt;D3*0.1,D3+3*E3,D3+E3),"")</f>
        <v>6.2586000018411694</v>
      </c>
      <c r="G3" s="220">
        <f>IFERROR(IF(E3&lt;D3*0.1,MAX(D3-3*E3,0),MAX(D3-E3,0)),"")</f>
        <v>2.5736598523415273</v>
      </c>
      <c r="H3" s="145"/>
      <c r="I3" s="145"/>
      <c r="J3" s="145"/>
      <c r="K3" s="145"/>
      <c r="L3" s="145">
        <f>IFERROR(VLOOKUP($B3,'公共开发部(开发测试)'!$B:$Q,12,0),0)</f>
        <v>8</v>
      </c>
      <c r="M3" s="145">
        <f>IFERROR(VLOOKUP($B3,'公共开发部(开发测试)'!$B:$Q,13,0),"")</f>
        <v>4.7056461679777666</v>
      </c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>
        <f>IFERROR(VLOOKUP($B3,'云BU(开发测试)'!$B:$Q,12,0),0)</f>
        <v>1</v>
      </c>
      <c r="AC3" s="145">
        <f>IFERROR(VLOOKUP($B3,'云BU(开发测试)'!$B:$Q,13,0),"")</f>
        <v>2.1</v>
      </c>
      <c r="AD3" s="145"/>
      <c r="AE3" s="145"/>
      <c r="AF3" s="145"/>
      <c r="AG3" s="145"/>
      <c r="AH3" s="145"/>
      <c r="AI3" s="145"/>
    </row>
    <row r="4" spans="1:35" s="85" customFormat="1">
      <c r="A4" s="351"/>
      <c r="B4" s="320" t="s">
        <v>527</v>
      </c>
      <c r="C4" s="221">
        <f t="shared" ref="C4:C15" si="2">SUM(H4+J4+L4+N4+P4+R4+T4+V4+X4+Z4+AB4+AD4+AF4+AH4)</f>
        <v>51</v>
      </c>
      <c r="D4" s="4">
        <f t="shared" si="0"/>
        <v>7.3626765875844429</v>
      </c>
      <c r="E4" s="4">
        <f t="shared" si="1"/>
        <v>2.4905654230913363</v>
      </c>
      <c r="F4" s="4">
        <f>IFERROR(IF(E4&lt;D4*0.1,D4+3*E4,D4+E4),"")</f>
        <v>9.8532420106757783</v>
      </c>
      <c r="G4" s="144">
        <f>IFERROR(IF(E4&lt;D4*0.1,MAX(D4-3*E4,0),MAX(D4-E4,0)),"")</f>
        <v>4.8721111644931065</v>
      </c>
      <c r="H4" s="145"/>
      <c r="I4" s="145"/>
      <c r="J4" s="145"/>
      <c r="K4" s="145"/>
      <c r="L4" s="145">
        <f>IFERROR(VLOOKUP($B4,'公共开发部(开发测试)'!$B:$Q,12,0),0)</f>
        <v>10</v>
      </c>
      <c r="M4" s="145">
        <f>IFERROR(VLOOKUP($B4,'公共开发部(开发测试)'!$B:$Q,13,0),"")</f>
        <v>5.8201926921079963</v>
      </c>
      <c r="N4" s="145"/>
      <c r="O4" s="145"/>
      <c r="P4" s="145"/>
      <c r="Q4" s="145"/>
      <c r="R4" s="145">
        <f>IFERROR(VLOOKUP($B4,'企业IT(开发测试)'!$B:$Q,12,0),0)</f>
        <v>15</v>
      </c>
      <c r="S4" s="145">
        <f>IFERROR(VLOOKUP($B4,'企业IT(开发测试)'!$B:$Q,13,0),"")</f>
        <v>4.7225274919373286</v>
      </c>
      <c r="T4" s="145"/>
      <c r="U4" s="145"/>
      <c r="V4" s="145"/>
      <c r="W4" s="145"/>
      <c r="X4" s="145"/>
      <c r="Y4" s="145"/>
      <c r="Z4" s="145"/>
      <c r="AA4" s="145"/>
      <c r="AB4" s="145">
        <f>IFERROR(VLOOKUP($B4,'云BU(开发测试)'!$B:$Q,12,0),0)</f>
        <v>26</v>
      </c>
      <c r="AC4" s="145">
        <f>IFERROR(VLOOKUP($B4,'云BU(开发测试)'!$B:$Q,13,0),"")</f>
        <v>9.4791025641025648</v>
      </c>
      <c r="AD4" s="145"/>
      <c r="AE4" s="145"/>
      <c r="AF4" s="145"/>
      <c r="AG4" s="145"/>
      <c r="AH4" s="145"/>
      <c r="AI4" s="145"/>
    </row>
    <row r="5" spans="1:35" s="85" customFormat="1">
      <c r="A5" s="351"/>
      <c r="B5" s="320" t="s">
        <v>528</v>
      </c>
      <c r="C5" s="221">
        <f t="shared" si="2"/>
        <v>16</v>
      </c>
      <c r="D5" s="4">
        <f t="shared" si="0"/>
        <v>13.740285645867543</v>
      </c>
      <c r="E5" s="4">
        <f t="shared" si="1"/>
        <v>0.11869039339348161</v>
      </c>
      <c r="F5" s="4">
        <f>IFERROR(IF(E5&lt;D5*0.1,D5+3*E5,D5+E5)," ")</f>
        <v>14.096356826047987</v>
      </c>
      <c r="G5" s="144">
        <f t="shared" ref="G5:G15" si="3">IFERROR(IF(E5&lt;D5*0.1,MAX(D5-3*E5,0),MAX(D5-E5,0)),"")</f>
        <v>13.384214465687098</v>
      </c>
      <c r="H5" s="145"/>
      <c r="I5" s="145"/>
      <c r="J5" s="145"/>
      <c r="K5" s="145"/>
      <c r="L5" s="145">
        <f>IFERROR(VLOOKUP($B5,'公共开发部(开发测试)'!$B:$Q,12,0),0)</f>
        <v>13</v>
      </c>
      <c r="M5" s="145">
        <f>IFERROR(VLOOKUP($B5,'公共开发部(开发测试)'!$B:$Q,13,0),"")</f>
        <v>13.708813102606207</v>
      </c>
      <c r="N5" s="145"/>
      <c r="O5" s="145"/>
      <c r="P5" s="145"/>
      <c r="Q5" s="145"/>
      <c r="R5" s="145">
        <f>IFERROR(VLOOKUP($B5,'企业IT(开发测试)'!$B:$Q,12,0),0)</f>
        <v>3</v>
      </c>
      <c r="S5" s="145">
        <f>IFERROR(VLOOKUP($B5,'企业IT(开发测试)'!$B:$Q,13,0),"")</f>
        <v>13.876666666666667</v>
      </c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</row>
    <row r="6" spans="1:35" s="85" customFormat="1">
      <c r="A6" s="351"/>
      <c r="B6" s="320" t="s">
        <v>529</v>
      </c>
      <c r="C6" s="221">
        <f t="shared" si="2"/>
        <v>17</v>
      </c>
      <c r="D6" s="4">
        <f t="shared" si="0"/>
        <v>18.058755068155673</v>
      </c>
      <c r="E6" s="4" t="str">
        <f t="shared" si="1"/>
        <v/>
      </c>
      <c r="F6" s="4" t="str">
        <f t="shared" ref="F6:F15" si="4">IFERROR(IF(E6&lt;D6*0.1,D6+3*E6,D6+E6),"")</f>
        <v/>
      </c>
      <c r="G6" s="144" t="str">
        <f t="shared" si="3"/>
        <v/>
      </c>
      <c r="H6" s="145"/>
      <c r="I6" s="145"/>
      <c r="J6" s="145"/>
      <c r="K6" s="145"/>
      <c r="L6" s="145">
        <f>IFERROR(VLOOKUP($B6,'公共开发部(开发测试)'!$B:$Q,12,0),0)</f>
        <v>17</v>
      </c>
      <c r="M6" s="145">
        <f>IFERROR(VLOOKUP($B6,'公共开发部(开发测试)'!$B:$Q,13,0),"")</f>
        <v>18.058755068155673</v>
      </c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</row>
    <row r="7" spans="1:35" s="85" customFormat="1">
      <c r="A7" s="351"/>
      <c r="B7" s="320" t="s">
        <v>530</v>
      </c>
      <c r="C7" s="221">
        <f t="shared" si="2"/>
        <v>73</v>
      </c>
      <c r="D7" s="4">
        <f t="shared" si="0"/>
        <v>2.9452054794520551E-3</v>
      </c>
      <c r="E7" s="4">
        <f t="shared" si="1"/>
        <v>9.5017473721942334E-3</v>
      </c>
      <c r="F7" s="4">
        <f t="shared" si="4"/>
        <v>1.2446952851646289E-2</v>
      </c>
      <c r="G7" s="144">
        <f t="shared" si="3"/>
        <v>0</v>
      </c>
      <c r="H7" s="145"/>
      <c r="I7" s="145"/>
      <c r="J7" s="145"/>
      <c r="K7" s="145"/>
      <c r="L7" s="145">
        <f>IFERROR(VLOOKUP($B7,'公共开发部(开发测试)'!$B:$Q,12,0),0)</f>
        <v>57</v>
      </c>
      <c r="M7" s="145">
        <f>IFERROR(VLOOKUP($B7,'公共开发部(开发测试)'!$B:$Q,13,0),"")</f>
        <v>0</v>
      </c>
      <c r="N7" s="145"/>
      <c r="O7" s="145"/>
      <c r="P7" s="145"/>
      <c r="Q7" s="145"/>
      <c r="R7" s="145">
        <f>IFERROR(VLOOKUP($B7,'企业IT(开发测试)'!$B:$Q,12,0),0)</f>
        <v>16</v>
      </c>
      <c r="S7" s="145">
        <f>IFERROR(VLOOKUP($B7,'企业IT(开发测试)'!$B:$Q,13,0),"")</f>
        <v>1.3437500000000002E-2</v>
      </c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</row>
    <row r="8" spans="1:35" s="85" customFormat="1">
      <c r="A8" s="351" t="s">
        <v>531</v>
      </c>
      <c r="B8" s="320" t="s">
        <v>532</v>
      </c>
      <c r="C8" s="221">
        <f t="shared" si="2"/>
        <v>15</v>
      </c>
      <c r="D8" s="4">
        <f t="shared" si="0"/>
        <v>18.326898970112104</v>
      </c>
      <c r="E8" s="4">
        <f t="shared" si="1"/>
        <v>3.0252308744964638</v>
      </c>
      <c r="F8" s="4">
        <f t="shared" si="4"/>
        <v>21.352129844608569</v>
      </c>
      <c r="G8" s="144">
        <f t="shared" si="3"/>
        <v>15.301668095615641</v>
      </c>
      <c r="H8" s="145"/>
      <c r="I8" s="145"/>
      <c r="J8" s="145"/>
      <c r="K8" s="145"/>
      <c r="L8" s="145">
        <f>IFERROR(VLOOKUP($B8,'公共开发部(开发测试)'!$B:$Q,12,0),0)</f>
        <v>14</v>
      </c>
      <c r="M8" s="145">
        <f>IFERROR(VLOOKUP($B8,'公共开发部(开发测试)'!$B:$Q,13,0),"")</f>
        <v>18.041677467977255</v>
      </c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>
        <f>IFERROR(VLOOKUP($B8,'云BU(开发测试)'!$B:$Q,12,0),0)</f>
        <v>1</v>
      </c>
      <c r="AC8" s="145">
        <f>IFERROR(VLOOKUP($B8,'云BU(开发测试)'!$B:$Q,13,0),"")</f>
        <v>22.32</v>
      </c>
      <c r="AD8" s="145"/>
      <c r="AE8" s="145"/>
      <c r="AF8" s="145"/>
      <c r="AG8" s="145"/>
      <c r="AH8" s="145"/>
      <c r="AI8" s="145"/>
    </row>
    <row r="9" spans="1:35" s="85" customFormat="1">
      <c r="A9" s="351"/>
      <c r="B9" s="320" t="s">
        <v>533</v>
      </c>
      <c r="C9" s="221">
        <f t="shared" si="2"/>
        <v>51</v>
      </c>
      <c r="D9" s="4">
        <f t="shared" si="0"/>
        <v>0.68250601079902995</v>
      </c>
      <c r="E9" s="4">
        <f t="shared" si="1"/>
        <v>0.26087294419754209</v>
      </c>
      <c r="F9" s="4">
        <f t="shared" si="4"/>
        <v>0.94337895499657209</v>
      </c>
      <c r="G9" s="144">
        <f t="shared" si="3"/>
        <v>0.42163306660148786</v>
      </c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>
        <f>IFERROR(VLOOKUP($B9,'网络(测试)'!$B:$Q,12,0),0)</f>
        <v>26</v>
      </c>
      <c r="U9" s="145">
        <f>IFERROR(VLOOKUP($B9,'网络(测试)'!$B:$Q,13,0),"")</f>
        <v>0.50165794425963584</v>
      </c>
      <c r="V9" s="145"/>
      <c r="W9" s="145"/>
      <c r="X9" s="145"/>
      <c r="Y9" s="145"/>
      <c r="Z9" s="145"/>
      <c r="AA9" s="145"/>
      <c r="AB9" s="145">
        <f>IFERROR(VLOOKUP($B9,'云BU(开发测试)'!$B:$Q,12,0),0)</f>
        <v>25</v>
      </c>
      <c r="AC9" s="145">
        <f>IFERROR(VLOOKUP($B9,'云BU(开发测试)'!$B:$Q,13,0),"")</f>
        <v>0.87058799999999992</v>
      </c>
      <c r="AD9" s="145"/>
      <c r="AE9" s="145"/>
      <c r="AF9" s="145"/>
      <c r="AG9" s="145"/>
      <c r="AH9" s="145"/>
      <c r="AI9" s="145"/>
    </row>
    <row r="10" spans="1:35" s="85" customFormat="1">
      <c r="A10" s="351"/>
      <c r="B10" s="320" t="s">
        <v>534</v>
      </c>
      <c r="C10" s="221">
        <f t="shared" si="2"/>
        <v>12</v>
      </c>
      <c r="D10" s="4">
        <f t="shared" si="0"/>
        <v>0.4078556283917803</v>
      </c>
      <c r="E10" s="4" t="str">
        <f t="shared" si="1"/>
        <v/>
      </c>
      <c r="F10" s="4" t="str">
        <f t="shared" si="4"/>
        <v/>
      </c>
      <c r="G10" s="144" t="str">
        <f t="shared" si="3"/>
        <v/>
      </c>
      <c r="H10" s="145"/>
      <c r="I10" s="145"/>
      <c r="J10" s="145"/>
      <c r="K10" s="145"/>
      <c r="L10" s="145">
        <f>IFERROR(VLOOKUP($B10,'公共开发部(开发测试)'!$B:$Q,12,0),0)</f>
        <v>12</v>
      </c>
      <c r="M10" s="145">
        <f>IFERROR(VLOOKUP($B10,'公共开发部(开发测试)'!$B:$Q,13,0),"")</f>
        <v>0.4078556283917803</v>
      </c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</row>
    <row r="11" spans="1:35" s="86" customFormat="1">
      <c r="A11" s="351"/>
      <c r="B11" s="320" t="s">
        <v>535</v>
      </c>
      <c r="C11" s="221">
        <f t="shared" si="2"/>
        <v>51</v>
      </c>
      <c r="D11" s="23">
        <f t="shared" si="0"/>
        <v>2.593456445544482E-3</v>
      </c>
      <c r="E11" s="23">
        <f t="shared" si="1"/>
        <v>6.3636643021083763E-3</v>
      </c>
      <c r="F11" s="23">
        <f t="shared" si="4"/>
        <v>8.9571207476528587E-3</v>
      </c>
      <c r="G11" s="156">
        <f t="shared" si="3"/>
        <v>0</v>
      </c>
      <c r="H11" s="145"/>
      <c r="I11" s="145"/>
      <c r="J11" s="145"/>
      <c r="K11" s="145"/>
      <c r="L11" s="145">
        <f>IFERROR(VLOOKUP($B11,'公共开发部(开发测试)'!$B:$Q,12,0),0)</f>
        <v>12</v>
      </c>
      <c r="M11" s="145">
        <f>IFERROR(VLOOKUP($B11,'公共开发部(开发测试)'!$B:$Q,13,0),"")</f>
        <v>1.1022189893564049E-2</v>
      </c>
      <c r="N11" s="145"/>
      <c r="O11" s="145"/>
      <c r="P11" s="145"/>
      <c r="Q11" s="145"/>
      <c r="R11" s="145">
        <f>IFERROR(VLOOKUP($B11,'企业IT(开发测试)'!$B:$Q,12,0),0)</f>
        <v>14</v>
      </c>
      <c r="S11" s="145">
        <f>IFERROR(VLOOKUP($B11,'企业IT(开发测试)'!$B:$Q,13,0),"")</f>
        <v>0</v>
      </c>
      <c r="T11" s="145">
        <f>IFERROR(VLOOKUP($B11,'网络(测试)'!$B:$Q,12,0),0)</f>
        <v>25</v>
      </c>
      <c r="U11" s="145">
        <f>IFERROR(VLOOKUP($B11,'网络(测试)'!$B:$Q,13,0),"")</f>
        <v>0</v>
      </c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</row>
    <row r="12" spans="1:35" s="87" customFormat="1">
      <c r="A12" s="351"/>
      <c r="B12" s="321" t="s">
        <v>536</v>
      </c>
      <c r="C12" s="221">
        <f t="shared" si="2"/>
        <v>15</v>
      </c>
      <c r="D12" s="23">
        <f t="shared" si="0"/>
        <v>0.95878917408824449</v>
      </c>
      <c r="E12" s="23" t="str">
        <f t="shared" si="1"/>
        <v/>
      </c>
      <c r="F12" s="23" t="str">
        <f t="shared" si="4"/>
        <v/>
      </c>
      <c r="G12" s="156" t="str">
        <f t="shared" si="3"/>
        <v/>
      </c>
      <c r="H12" s="145"/>
      <c r="I12" s="145"/>
      <c r="J12" s="145"/>
      <c r="K12" s="145"/>
      <c r="L12" s="145">
        <f>IFERROR(VLOOKUP($B12,'公共开发部(开发测试)'!$B:$Q,12,0),0)</f>
        <v>15</v>
      </c>
      <c r="M12" s="145">
        <f>IFERROR(VLOOKUP($B12,'公共开发部(开发测试)'!$B:$Q,13,0),"")</f>
        <v>0.95878917408824449</v>
      </c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</row>
    <row r="13" spans="1:35" s="85" customFormat="1" ht="16.5">
      <c r="A13" s="351"/>
      <c r="B13" s="322" t="s">
        <v>537</v>
      </c>
      <c r="C13" s="221">
        <f t="shared" si="2"/>
        <v>86</v>
      </c>
      <c r="D13" s="23">
        <f t="shared" si="0"/>
        <v>0.98740581395348836</v>
      </c>
      <c r="E13" s="23">
        <f t="shared" si="1"/>
        <v>1.7532410328172054E-2</v>
      </c>
      <c r="F13" s="23">
        <f t="shared" si="4"/>
        <v>1.0400030449380044</v>
      </c>
      <c r="G13" s="156">
        <f t="shared" si="3"/>
        <v>0.93480858296897218</v>
      </c>
      <c r="H13" s="145"/>
      <c r="I13" s="145"/>
      <c r="J13" s="145"/>
      <c r="K13" s="145"/>
      <c r="L13" s="145">
        <f>IFERROR(VLOOKUP($B13,'公共开发部(开发测试)'!$B:$Q,12,0),0)</f>
        <v>4</v>
      </c>
      <c r="M13" s="145">
        <f>IFERROR(VLOOKUP($B13,'公共开发部(开发测试)'!$B:$Q,13,0),"")</f>
        <v>0.95750000000000002</v>
      </c>
      <c r="N13" s="145"/>
      <c r="O13" s="145"/>
      <c r="P13" s="145"/>
      <c r="Q13" s="145"/>
      <c r="R13" s="145">
        <f>IFERROR(VLOOKUP($B13,'企业IT(开发测试)'!$B:$Q,12,0),0)</f>
        <v>15</v>
      </c>
      <c r="S13" s="145">
        <f>IFERROR(VLOOKUP($B13,'企业IT(开发测试)'!$B:$Q,13,0),"")</f>
        <v>0.98636666666666672</v>
      </c>
      <c r="T13" s="145">
        <f>IFERROR(VLOOKUP($B13,'网络(测试)'!$B:$Q,12,0),0)</f>
        <v>31</v>
      </c>
      <c r="U13" s="145">
        <f>IFERROR(VLOOKUP($B13,'网络(测试)'!$B:$Q,13,0),"")</f>
        <v>0.99946774193548382</v>
      </c>
      <c r="V13" s="145"/>
      <c r="W13" s="145"/>
      <c r="X13" s="145"/>
      <c r="Y13" s="145"/>
      <c r="Z13" s="145"/>
      <c r="AA13" s="145"/>
      <c r="AB13" s="145">
        <f>IFERROR(VLOOKUP($B13,'云BU(开发测试)'!$B:$Q,12,0),0)</f>
        <v>36</v>
      </c>
      <c r="AC13" s="145">
        <f>IFERROR(VLOOKUP($B13,'云BU(开发测试)'!$B:$Q,13,0),"")</f>
        <v>0.98077499999999995</v>
      </c>
      <c r="AD13" s="145"/>
      <c r="AE13" s="145"/>
      <c r="AF13" s="145"/>
      <c r="AG13" s="145"/>
      <c r="AH13" s="145"/>
      <c r="AI13" s="145"/>
    </row>
    <row r="14" spans="1:35" s="86" customFormat="1">
      <c r="A14" s="351"/>
      <c r="B14" s="320" t="s">
        <v>538</v>
      </c>
      <c r="C14" s="221">
        <f t="shared" si="2"/>
        <v>16</v>
      </c>
      <c r="D14" s="15">
        <f t="shared" si="0"/>
        <v>3.75</v>
      </c>
      <c r="E14" s="15">
        <f t="shared" si="1"/>
        <v>0.65271395186450298</v>
      </c>
      <c r="F14" s="15">
        <f t="shared" si="4"/>
        <v>4.4027139518645031</v>
      </c>
      <c r="G14" s="402">
        <f t="shared" si="3"/>
        <v>3.0972860481354969</v>
      </c>
      <c r="H14" s="145"/>
      <c r="I14" s="145"/>
      <c r="J14" s="145"/>
      <c r="K14" s="145"/>
      <c r="L14" s="145">
        <f>IFERROR(VLOOKUP($B14,'公共开发部(开发测试)'!$B:$Q,12,0),0)</f>
        <v>13</v>
      </c>
      <c r="M14" s="145">
        <f>IFERROR(VLOOKUP($B14,'公共开发部(开发测试)'!$B:$Q,13,0),"")</f>
        <v>3.9230769230769229</v>
      </c>
      <c r="N14" s="145"/>
      <c r="O14" s="145"/>
      <c r="P14" s="145"/>
      <c r="Q14" s="145"/>
      <c r="R14" s="145">
        <f>IFERROR(VLOOKUP($B14,'企业IT(开发测试)'!$B:$Q,12,0),0)</f>
        <v>3</v>
      </c>
      <c r="S14" s="145">
        <f>IFERROR(VLOOKUP($B14,'企业IT(开发测试)'!$B:$Q,13,0),"")</f>
        <v>3</v>
      </c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  <c r="AH14" s="145"/>
      <c r="AI14" s="145"/>
    </row>
    <row r="15" spans="1:35" s="85" customFormat="1">
      <c r="A15" s="351"/>
      <c r="B15" s="320" t="s">
        <v>539</v>
      </c>
      <c r="C15" s="221">
        <f t="shared" si="2"/>
        <v>61</v>
      </c>
      <c r="D15" s="4">
        <f t="shared" si="0"/>
        <v>3.0150115263042228</v>
      </c>
      <c r="E15" s="4">
        <f t="shared" si="1"/>
        <v>0.54424603934015359</v>
      </c>
      <c r="F15" s="4">
        <f t="shared" si="4"/>
        <v>3.5592575656443763</v>
      </c>
      <c r="G15" s="144">
        <f t="shared" si="3"/>
        <v>2.4707654869640692</v>
      </c>
      <c r="H15" s="145"/>
      <c r="I15" s="145"/>
      <c r="J15" s="145"/>
      <c r="K15" s="145"/>
      <c r="L15" s="145">
        <f>IFERROR(VLOOKUP($B15,'公共开发部(开发测试)'!$B:$Q,12,0),0)</f>
        <v>53</v>
      </c>
      <c r="M15" s="145">
        <f>IFERROR(VLOOKUP($B15,'公共开发部(开发测试)'!$B:$Q,13,0),"")</f>
        <v>2.9140698698973133</v>
      </c>
      <c r="N15" s="145"/>
      <c r="O15" s="145"/>
      <c r="P15" s="145"/>
      <c r="Q15" s="145"/>
      <c r="R15" s="145">
        <f>IFERROR(VLOOKUP($B15,'企业IT(开发测试)'!$B:$Q,12,0),0)</f>
        <v>8</v>
      </c>
      <c r="S15" s="145">
        <f>IFERROR(VLOOKUP($B15,'企业IT(开发测试)'!$B:$Q,13,0),"")</f>
        <v>3.6837500000000003</v>
      </c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</row>
  </sheetData>
  <mergeCells count="18">
    <mergeCell ref="A8:A15"/>
    <mergeCell ref="P1:Q1"/>
    <mergeCell ref="R1:S1"/>
    <mergeCell ref="T1:U1"/>
    <mergeCell ref="V1:W1"/>
    <mergeCell ref="A1:B2"/>
    <mergeCell ref="C1:G1"/>
    <mergeCell ref="H1:I1"/>
    <mergeCell ref="J1:K1"/>
    <mergeCell ref="L1:M1"/>
    <mergeCell ref="N1:O1"/>
    <mergeCell ref="AB1:AC1"/>
    <mergeCell ref="AD1:AE1"/>
    <mergeCell ref="AF1:AG1"/>
    <mergeCell ref="AH1:AI1"/>
    <mergeCell ref="A3:A7"/>
    <mergeCell ref="X1:Y1"/>
    <mergeCell ref="Z1:AA1"/>
  </mergeCells>
  <phoneticPr fontId="26" type="noConversion"/>
  <conditionalFormatting sqref="I3:I15 K3:K15 M3:M15 O3:O15 Q3:Q15 S3:S15 W3:W15 Y3:Y15 AA3:AA15 AC3:AC15 AE3:AE15 AG3:AG15 AI3:AI15 U3:U15">
    <cfRule type="containsBlanks" priority="27" stopIfTrue="1">
      <formula>LEN(TRIM(I3))=0</formula>
    </cfRule>
    <cfRule type="cellIs" dxfId="2" priority="28" operator="notBetween">
      <formula>$F3</formula>
      <formula>$G3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70C0"/>
  </sheetPr>
  <dimension ref="A1:AI17"/>
  <sheetViews>
    <sheetView workbookViewId="0">
      <pane xSplit="7" ySplit="2" topLeftCell="Q3" activePane="bottomRight" state="frozen"/>
      <selection pane="topRight" activeCell="H1" sqref="H1"/>
      <selection pane="bottomLeft" activeCell="A3" sqref="A3"/>
      <selection pane="bottomRight" activeCell="C5" sqref="C5"/>
    </sheetView>
  </sheetViews>
  <sheetFormatPr defaultColWidth="9" defaultRowHeight="14.25"/>
  <cols>
    <col min="1" max="1" width="11" style="26" bestFit="1" customWidth="1"/>
    <col min="2" max="2" width="28" style="26" bestFit="1" customWidth="1"/>
    <col min="3" max="3" width="6" style="26" bestFit="1" customWidth="1"/>
    <col min="4" max="4" width="7.75" style="26" bestFit="1" customWidth="1"/>
    <col min="5" max="5" width="6" style="26" bestFit="1" customWidth="1"/>
    <col min="6" max="7" width="4.5" style="26" bestFit="1" customWidth="1"/>
    <col min="8" max="16384" width="9" style="26"/>
  </cols>
  <sheetData>
    <row r="1" spans="1:35" ht="34.5" customHeight="1">
      <c r="A1" s="372" t="s">
        <v>232</v>
      </c>
      <c r="B1" s="373"/>
      <c r="C1" s="374" t="s">
        <v>486</v>
      </c>
      <c r="D1" s="375"/>
      <c r="E1" s="375"/>
      <c r="F1" s="375"/>
      <c r="G1" s="376"/>
      <c r="H1" s="370">
        <v>2012</v>
      </c>
      <c r="I1" s="371"/>
      <c r="J1" s="371" t="s">
        <v>376</v>
      </c>
      <c r="K1" s="371"/>
      <c r="L1" s="371" t="s">
        <v>514</v>
      </c>
      <c r="M1" s="371"/>
      <c r="N1" s="371" t="s">
        <v>512</v>
      </c>
      <c r="O1" s="371"/>
      <c r="P1" s="371" t="s">
        <v>513</v>
      </c>
      <c r="Q1" s="371"/>
      <c r="R1" s="371" t="s">
        <v>515</v>
      </c>
      <c r="S1" s="371"/>
      <c r="T1" s="371" t="s">
        <v>560</v>
      </c>
      <c r="U1" s="371"/>
      <c r="V1" s="371" t="s">
        <v>561</v>
      </c>
      <c r="W1" s="371"/>
      <c r="X1" s="371" t="s">
        <v>518</v>
      </c>
      <c r="Y1" s="371"/>
      <c r="Z1" s="371" t="s">
        <v>519</v>
      </c>
      <c r="AA1" s="371"/>
      <c r="AB1" s="371" t="s">
        <v>520</v>
      </c>
      <c r="AC1" s="371"/>
      <c r="AD1" s="369"/>
      <c r="AE1" s="370"/>
      <c r="AF1" s="369"/>
      <c r="AG1" s="370"/>
      <c r="AH1" s="369"/>
      <c r="AI1" s="370"/>
    </row>
    <row r="2" spans="1:35" s="85" customFormat="1" ht="14.25" customHeight="1">
      <c r="A2" s="372"/>
      <c r="B2" s="373"/>
      <c r="C2" s="142" t="s">
        <v>341</v>
      </c>
      <c r="D2" s="313" t="s">
        <v>364</v>
      </c>
      <c r="E2" s="313" t="s">
        <v>363</v>
      </c>
      <c r="F2" s="313" t="s">
        <v>2</v>
      </c>
      <c r="G2" s="143" t="s">
        <v>3</v>
      </c>
      <c r="H2" s="147" t="s">
        <v>341</v>
      </c>
      <c r="I2" s="148" t="s">
        <v>364</v>
      </c>
      <c r="J2" s="148" t="s">
        <v>341</v>
      </c>
      <c r="K2" s="148" t="s">
        <v>364</v>
      </c>
      <c r="L2" s="148" t="s">
        <v>341</v>
      </c>
      <c r="M2" s="148" t="s">
        <v>364</v>
      </c>
      <c r="N2" s="148" t="s">
        <v>341</v>
      </c>
      <c r="O2" s="148" t="s">
        <v>364</v>
      </c>
      <c r="P2" s="148" t="s">
        <v>341</v>
      </c>
      <c r="Q2" s="148" t="s">
        <v>364</v>
      </c>
      <c r="R2" s="148" t="s">
        <v>341</v>
      </c>
      <c r="S2" s="148" t="s">
        <v>364</v>
      </c>
      <c r="T2" s="148" t="s">
        <v>341</v>
      </c>
      <c r="U2" s="148" t="s">
        <v>364</v>
      </c>
      <c r="V2" s="148" t="s">
        <v>341</v>
      </c>
      <c r="W2" s="148" t="s">
        <v>364</v>
      </c>
      <c r="X2" s="148" t="s">
        <v>341</v>
      </c>
      <c r="Y2" s="148" t="s">
        <v>364</v>
      </c>
      <c r="Z2" s="148" t="s">
        <v>341</v>
      </c>
      <c r="AA2" s="148" t="s">
        <v>364</v>
      </c>
      <c r="AB2" s="148" t="s">
        <v>341</v>
      </c>
      <c r="AC2" s="148" t="s">
        <v>364</v>
      </c>
      <c r="AD2" s="148" t="s">
        <v>341</v>
      </c>
      <c r="AE2" s="148" t="s">
        <v>364</v>
      </c>
      <c r="AF2" s="148" t="s">
        <v>341</v>
      </c>
      <c r="AG2" s="148" t="s">
        <v>364</v>
      </c>
      <c r="AH2" s="148" t="s">
        <v>341</v>
      </c>
      <c r="AI2" s="148" t="s">
        <v>364</v>
      </c>
    </row>
    <row r="3" spans="1:35" s="85" customFormat="1">
      <c r="A3" s="323" t="s">
        <v>504</v>
      </c>
      <c r="B3" s="320" t="s">
        <v>340</v>
      </c>
      <c r="C3" s="221">
        <f>SUM(H3+J3+L3+N3+P3+R3+T3+V3+X3+Z3+AB3+AD3+AF3+AH3)</f>
        <v>5</v>
      </c>
      <c r="D3" s="132">
        <f t="shared" ref="D3:D17" si="0">(H3*I3+J3*K3+L3*M3+N3*O3+P3*Q3+R3*S3+T3*U3+V3*W3+X3*Y3+Z3*AA3+AB3*AC3+AD3*AE3+AF3*AG3+AH3*AI3)/C3</f>
        <v>1.9150040225261464</v>
      </c>
      <c r="E3" s="132" t="str">
        <f t="shared" ref="E3:E17" si="1">IFERROR(STDEV(I3,K3,M3,O3,Q3,S3,U3,W3,Y3,AA3,AC3,AE3,AG3,AI3),"")</f>
        <v/>
      </c>
      <c r="F3" s="132" t="str">
        <f>IFERROR(IF(E3&lt;D3*0.1,D3+3*E3,D3+E3),"")</f>
        <v/>
      </c>
      <c r="G3" s="220" t="str">
        <f>IFERROR(IF(E3&lt;D3*0.1,MAX(D3-3*E3,0),MAX(D3-E3,0)),"")</f>
        <v/>
      </c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>
        <f>IFERROR(VLOOKUP($B3,'网络(AD)'!$B:$Q,12,0),0)</f>
        <v>5</v>
      </c>
      <c r="U3" s="145">
        <f>IFERROR(VLOOKUP($B3,'网络(AD)'!$B:$Q,13,0),"")</f>
        <v>1.9150040225261464</v>
      </c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</row>
    <row r="4" spans="1:35" s="85" customFormat="1">
      <c r="A4" s="323" t="s">
        <v>540</v>
      </c>
      <c r="B4" s="320" t="s">
        <v>541</v>
      </c>
      <c r="C4" s="221">
        <f t="shared" ref="C4:C17" si="2">SUM(H4+J4+L4+N4+P4+R4+T4+V4+X4+Z4+AB4+AD4+AF4+AH4)</f>
        <v>5</v>
      </c>
      <c r="D4" s="4">
        <f t="shared" si="0"/>
        <v>0</v>
      </c>
      <c r="E4" s="4" t="str">
        <f t="shared" si="1"/>
        <v/>
      </c>
      <c r="F4" s="4" t="str">
        <f>IFERROR(IF(E4&lt;D4*0.1,D4+3*E4,D4+E4),"")</f>
        <v/>
      </c>
      <c r="G4" s="144" t="str">
        <f>IFERROR(IF(E4&lt;D4*0.1,MAX(D4-3*E4,0),MAX(D4-E4,0)),"")</f>
        <v/>
      </c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>
        <f>IFERROR(VLOOKUP($B4,'网络(AD)'!$B:$Q,12,0),0)</f>
        <v>5</v>
      </c>
      <c r="U4" s="145">
        <f>IFERROR(VLOOKUP($B4,'网络(AD)'!$B:$Q,13,0),"")</f>
        <v>0</v>
      </c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</row>
    <row r="5" spans="1:35" s="85" customFormat="1">
      <c r="A5" s="323" t="s">
        <v>492</v>
      </c>
      <c r="B5" s="320" t="s">
        <v>267</v>
      </c>
      <c r="C5" s="221"/>
      <c r="D5" s="4"/>
      <c r="E5" s="4" t="str">
        <f t="shared" si="1"/>
        <v/>
      </c>
      <c r="F5" s="4" t="str">
        <f>IFERROR(IF(E5&lt;D5*0.1,D5+3*E5,D5+E5)," ")</f>
        <v xml:space="preserve"> </v>
      </c>
      <c r="G5" s="144" t="str">
        <f t="shared" ref="G5:G17" si="3">IFERROR(IF(E5&lt;D5*0.1,MAX(D5-3*E5,0),MAX(D5-E5,0)),"")</f>
        <v/>
      </c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</row>
    <row r="6" spans="1:35" s="85" customFormat="1">
      <c r="A6" s="377" t="s">
        <v>313</v>
      </c>
      <c r="B6" s="320" t="s">
        <v>494</v>
      </c>
      <c r="C6" s="221">
        <f t="shared" si="2"/>
        <v>5</v>
      </c>
      <c r="D6" s="4">
        <f t="shared" si="0"/>
        <v>1</v>
      </c>
      <c r="E6" s="4" t="str">
        <f t="shared" si="1"/>
        <v/>
      </c>
      <c r="F6" s="4" t="str">
        <f t="shared" ref="F6:F17" si="4">IFERROR(IF(E6&lt;D6*0.1,D6+3*E6,D6+E6),"")</f>
        <v/>
      </c>
      <c r="G6" s="144" t="str">
        <f t="shared" si="3"/>
        <v/>
      </c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>
        <f>IFERROR(VLOOKUP($B6,'网络(AD)'!$B:$Q,12,0),0)</f>
        <v>5</v>
      </c>
      <c r="U6" s="145">
        <f>IFERROR(VLOOKUP($B6,'网络(AD)'!$B:$Q,13,0),"")</f>
        <v>1</v>
      </c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</row>
    <row r="7" spans="1:35" s="85" customFormat="1">
      <c r="A7" s="378"/>
      <c r="B7" s="320" t="s">
        <v>495</v>
      </c>
      <c r="C7" s="221">
        <f t="shared" si="2"/>
        <v>5</v>
      </c>
      <c r="D7" s="4">
        <f t="shared" si="0"/>
        <v>1</v>
      </c>
      <c r="E7" s="4" t="str">
        <f t="shared" si="1"/>
        <v/>
      </c>
      <c r="F7" s="4" t="str">
        <f t="shared" si="4"/>
        <v/>
      </c>
      <c r="G7" s="144" t="str">
        <f t="shared" si="3"/>
        <v/>
      </c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>
        <f>IFERROR(VLOOKUP($B7,'网络(AD)'!$B:$Q,12,0),0)</f>
        <v>5</v>
      </c>
      <c r="U7" s="145">
        <f>IFERROR(VLOOKUP($B7,'网络(AD)'!$B:$Q,13,0),"")</f>
        <v>1</v>
      </c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</row>
    <row r="8" spans="1:35" s="85" customFormat="1">
      <c r="A8" s="378"/>
      <c r="B8" s="320" t="s">
        <v>542</v>
      </c>
      <c r="C8" s="221">
        <f t="shared" si="2"/>
        <v>5</v>
      </c>
      <c r="D8" s="4">
        <f t="shared" si="0"/>
        <v>0.46658654517525483</v>
      </c>
      <c r="E8" s="4" t="str">
        <f t="shared" si="1"/>
        <v/>
      </c>
      <c r="F8" s="4" t="str">
        <f t="shared" si="4"/>
        <v/>
      </c>
      <c r="G8" s="144" t="str">
        <f t="shared" si="3"/>
        <v/>
      </c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>
        <f>IFERROR(VLOOKUP($B8,'网络(AD)'!$B:$Q,12,0),0)</f>
        <v>5</v>
      </c>
      <c r="U8" s="145">
        <f>IFERROR(VLOOKUP($B8,'网络(AD)'!$B:$Q,13,0),"")</f>
        <v>0.46658654517525483</v>
      </c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</row>
    <row r="9" spans="1:35" s="85" customFormat="1">
      <c r="A9" s="378"/>
      <c r="B9" s="320" t="s">
        <v>543</v>
      </c>
      <c r="C9" s="221">
        <f t="shared" si="2"/>
        <v>5</v>
      </c>
      <c r="D9" s="4">
        <f t="shared" si="0"/>
        <v>1</v>
      </c>
      <c r="E9" s="4" t="str">
        <f t="shared" si="1"/>
        <v/>
      </c>
      <c r="F9" s="4" t="str">
        <f t="shared" si="4"/>
        <v/>
      </c>
      <c r="G9" s="144" t="str">
        <f t="shared" si="3"/>
        <v/>
      </c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>
        <f>IFERROR(VLOOKUP($B9,'网络(AD)'!$B:$Q,12,0),0)</f>
        <v>5</v>
      </c>
      <c r="U9" s="145">
        <f>IFERROR(VLOOKUP($B9,'网络(AD)'!$B:$Q,13,0),"")</f>
        <v>1</v>
      </c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</row>
    <row r="10" spans="1:35" s="85" customFormat="1">
      <c r="A10" s="378"/>
      <c r="B10" s="320" t="s">
        <v>544</v>
      </c>
      <c r="C10" s="221">
        <f t="shared" si="2"/>
        <v>5</v>
      </c>
      <c r="D10" s="4">
        <f t="shared" si="0"/>
        <v>1</v>
      </c>
      <c r="E10" s="4" t="str">
        <f t="shared" si="1"/>
        <v/>
      </c>
      <c r="F10" s="4" t="str">
        <f t="shared" si="4"/>
        <v/>
      </c>
      <c r="G10" s="144" t="str">
        <f t="shared" si="3"/>
        <v/>
      </c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>
        <f>IFERROR(VLOOKUP($B10,'网络(AD)'!$B:$Q,12,0),0)</f>
        <v>5</v>
      </c>
      <c r="U10" s="145">
        <f>IFERROR(VLOOKUP($B10,'网络(AD)'!$B:$Q,13,0),"")</f>
        <v>1</v>
      </c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</row>
    <row r="11" spans="1:35" s="86" customFormat="1">
      <c r="A11" s="378"/>
      <c r="B11" s="320" t="s">
        <v>545</v>
      </c>
      <c r="C11" s="221"/>
      <c r="D11" s="23"/>
      <c r="E11" s="23" t="str">
        <f t="shared" si="1"/>
        <v/>
      </c>
      <c r="F11" s="23" t="str">
        <f t="shared" si="4"/>
        <v/>
      </c>
      <c r="G11" s="156" t="str">
        <f t="shared" si="3"/>
        <v/>
      </c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</row>
    <row r="12" spans="1:35" s="87" customFormat="1">
      <c r="A12" s="378"/>
      <c r="B12" s="320" t="s">
        <v>546</v>
      </c>
      <c r="C12" s="221">
        <f t="shared" si="2"/>
        <v>5</v>
      </c>
      <c r="D12" s="23">
        <f t="shared" si="0"/>
        <v>0.98619999999999997</v>
      </c>
      <c r="E12" s="23" t="str">
        <f t="shared" si="1"/>
        <v/>
      </c>
      <c r="F12" s="23" t="str">
        <f t="shared" si="4"/>
        <v/>
      </c>
      <c r="G12" s="156" t="str">
        <f t="shared" si="3"/>
        <v/>
      </c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>
        <f>IFERROR(VLOOKUP($B12,'网络(AD)'!$B:$Q,12,0),0)</f>
        <v>5</v>
      </c>
      <c r="U12" s="145">
        <f>IFERROR(VLOOKUP($B12,'网络(AD)'!$B:$Q,13,0),"")</f>
        <v>0.98619999999999997</v>
      </c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</row>
    <row r="13" spans="1:35" s="85" customFormat="1">
      <c r="A13" s="378"/>
      <c r="B13" s="320" t="s">
        <v>547</v>
      </c>
      <c r="C13" s="221"/>
      <c r="D13" s="23"/>
      <c r="E13" s="23" t="str">
        <f t="shared" si="1"/>
        <v/>
      </c>
      <c r="F13" s="23" t="str">
        <f t="shared" si="4"/>
        <v/>
      </c>
      <c r="G13" s="156" t="str">
        <f t="shared" si="3"/>
        <v/>
      </c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</row>
    <row r="14" spans="1:35" s="86" customFormat="1">
      <c r="A14" s="378"/>
      <c r="B14" s="320" t="s">
        <v>502</v>
      </c>
      <c r="C14" s="221"/>
      <c r="D14" s="23"/>
      <c r="E14" s="23" t="str">
        <f t="shared" si="1"/>
        <v/>
      </c>
      <c r="F14" s="23" t="str">
        <f t="shared" si="4"/>
        <v/>
      </c>
      <c r="G14" s="156" t="str">
        <f t="shared" si="3"/>
        <v/>
      </c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  <c r="AH14" s="145"/>
      <c r="AI14" s="145"/>
    </row>
    <row r="15" spans="1:35" s="85" customFormat="1">
      <c r="A15" s="379"/>
      <c r="B15" s="320" t="s">
        <v>503</v>
      </c>
      <c r="C15" s="221"/>
      <c r="D15" s="4"/>
      <c r="E15" s="4" t="str">
        <f t="shared" si="1"/>
        <v/>
      </c>
      <c r="F15" s="4" t="str">
        <f t="shared" si="4"/>
        <v/>
      </c>
      <c r="G15" s="144" t="str">
        <f t="shared" si="3"/>
        <v/>
      </c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</row>
    <row r="16" spans="1:35" s="85" customFormat="1">
      <c r="A16" s="314" t="s">
        <v>551</v>
      </c>
      <c r="B16" s="324" t="s">
        <v>548</v>
      </c>
      <c r="C16" s="221">
        <f t="shared" si="2"/>
        <v>9</v>
      </c>
      <c r="D16" s="4">
        <f t="shared" si="0"/>
        <v>7505.9931535795295</v>
      </c>
      <c r="E16" s="4" t="str">
        <f t="shared" si="1"/>
        <v/>
      </c>
      <c r="F16" s="4" t="str">
        <f t="shared" si="4"/>
        <v/>
      </c>
      <c r="G16" s="144" t="str">
        <f t="shared" si="3"/>
        <v/>
      </c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>
        <f>IFERROR(VLOOKUP($B16,'网络(AT)'!$B:$Q,12,0),0)</f>
        <v>9</v>
      </c>
      <c r="W16" s="145">
        <f>IFERROR(VLOOKUP($B16,'网络(AT)'!$B:$Q,13,0),"")</f>
        <v>7505.9931535795295</v>
      </c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  <c r="AH16" s="145"/>
      <c r="AI16" s="145"/>
    </row>
    <row r="17" spans="1:35" s="85" customFormat="1">
      <c r="A17" s="314" t="s">
        <v>550</v>
      </c>
      <c r="B17" s="324" t="s">
        <v>549</v>
      </c>
      <c r="C17" s="221">
        <f t="shared" si="2"/>
        <v>10</v>
      </c>
      <c r="D17" s="4">
        <f t="shared" si="0"/>
        <v>87.105604765983742</v>
      </c>
      <c r="E17" s="4" t="str">
        <f t="shared" si="1"/>
        <v/>
      </c>
      <c r="F17" s="4" t="str">
        <f t="shared" si="4"/>
        <v/>
      </c>
      <c r="G17" s="144" t="str">
        <f t="shared" si="3"/>
        <v/>
      </c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>
        <f>IFERROR(VLOOKUP($B17,'网络(AT)'!$B:$Q,12,0),0)</f>
        <v>10</v>
      </c>
      <c r="W17" s="145">
        <f>IFERROR(VLOOKUP($B17,'网络(AT)'!$B:$Q,13,0),"")</f>
        <v>87.105604765983742</v>
      </c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  <c r="AH17" s="145"/>
      <c r="AI17" s="145"/>
    </row>
  </sheetData>
  <mergeCells count="17">
    <mergeCell ref="N1:O1"/>
    <mergeCell ref="AB1:AC1"/>
    <mergeCell ref="AD1:AE1"/>
    <mergeCell ref="AF1:AG1"/>
    <mergeCell ref="AH1:AI1"/>
    <mergeCell ref="A6:A15"/>
    <mergeCell ref="P1:Q1"/>
    <mergeCell ref="R1:S1"/>
    <mergeCell ref="T1:U1"/>
    <mergeCell ref="V1:W1"/>
    <mergeCell ref="X1:Y1"/>
    <mergeCell ref="Z1:AA1"/>
    <mergeCell ref="A1:B2"/>
    <mergeCell ref="C1:G1"/>
    <mergeCell ref="H1:I1"/>
    <mergeCell ref="J1:K1"/>
    <mergeCell ref="L1:M1"/>
  </mergeCells>
  <phoneticPr fontId="26" type="noConversion"/>
  <conditionalFormatting sqref="I3:I17 K3:K17 M3:M17 O3:O17 Q3:Q17 S3:S17 Y3:Y17 AA3:AA17 AC3:AC17 AE3:AE17 AG3:AG17 AI3:AI17 U3:U17 W3:W17">
    <cfRule type="containsBlanks" priority="27" stopIfTrue="1">
      <formula>LEN(TRIM(I3))=0</formula>
    </cfRule>
    <cfRule type="cellIs" dxfId="1" priority="28" operator="notBetween">
      <formula>$F3</formula>
      <formula>$G3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70C0"/>
  </sheetPr>
  <dimension ref="A1:AI10"/>
  <sheetViews>
    <sheetView workbookViewId="0">
      <pane xSplit="7" ySplit="2" topLeftCell="N3" activePane="bottomRight" state="frozen"/>
      <selection pane="topRight" activeCell="H1" sqref="H1"/>
      <selection pane="bottomLeft" activeCell="A3" sqref="A3"/>
      <selection pane="bottomRight" activeCell="D14" sqref="D14"/>
    </sheetView>
  </sheetViews>
  <sheetFormatPr defaultColWidth="9" defaultRowHeight="14.25"/>
  <cols>
    <col min="1" max="1" width="5.25" style="26" bestFit="1" customWidth="1"/>
    <col min="2" max="2" width="34.625" style="26" bestFit="1" customWidth="1"/>
    <col min="3" max="3" width="6" style="26" bestFit="1" customWidth="1"/>
    <col min="4" max="4" width="7.75" style="26" bestFit="1" customWidth="1"/>
    <col min="5" max="5" width="6" style="26" bestFit="1" customWidth="1"/>
    <col min="6" max="7" width="4.5" style="26" bestFit="1" customWidth="1"/>
    <col min="8" max="16384" width="9" style="26"/>
  </cols>
  <sheetData>
    <row r="1" spans="1:35" ht="34.5" customHeight="1">
      <c r="A1" s="372" t="s">
        <v>232</v>
      </c>
      <c r="B1" s="373"/>
      <c r="C1" s="374" t="s">
        <v>486</v>
      </c>
      <c r="D1" s="375"/>
      <c r="E1" s="375"/>
      <c r="F1" s="375"/>
      <c r="G1" s="376"/>
      <c r="H1" s="370">
        <v>2012</v>
      </c>
      <c r="I1" s="371"/>
      <c r="J1" s="371" t="s">
        <v>376</v>
      </c>
      <c r="K1" s="371"/>
      <c r="L1" s="371" t="s">
        <v>514</v>
      </c>
      <c r="M1" s="371"/>
      <c r="N1" s="371" t="s">
        <v>512</v>
      </c>
      <c r="O1" s="371"/>
      <c r="P1" s="371" t="s">
        <v>513</v>
      </c>
      <c r="Q1" s="371"/>
      <c r="R1" s="371" t="s">
        <v>515</v>
      </c>
      <c r="S1" s="371"/>
      <c r="T1" s="371" t="s">
        <v>562</v>
      </c>
      <c r="U1" s="371"/>
      <c r="V1" s="371" t="s">
        <v>517</v>
      </c>
      <c r="W1" s="371"/>
      <c r="X1" s="371" t="s">
        <v>518</v>
      </c>
      <c r="Y1" s="371"/>
      <c r="Z1" s="371" t="s">
        <v>519</v>
      </c>
      <c r="AA1" s="371"/>
      <c r="AB1" s="371" t="s">
        <v>520</v>
      </c>
      <c r="AC1" s="371"/>
      <c r="AD1" s="369"/>
      <c r="AE1" s="370"/>
      <c r="AF1" s="369"/>
      <c r="AG1" s="370"/>
      <c r="AH1" s="369"/>
      <c r="AI1" s="370"/>
    </row>
    <row r="2" spans="1:35" s="85" customFormat="1" ht="14.25" customHeight="1">
      <c r="A2" s="372"/>
      <c r="B2" s="373"/>
      <c r="C2" s="142" t="s">
        <v>341</v>
      </c>
      <c r="D2" s="313" t="s">
        <v>364</v>
      </c>
      <c r="E2" s="313" t="s">
        <v>363</v>
      </c>
      <c r="F2" s="313" t="s">
        <v>2</v>
      </c>
      <c r="G2" s="143" t="s">
        <v>3</v>
      </c>
      <c r="H2" s="147" t="s">
        <v>341</v>
      </c>
      <c r="I2" s="148" t="s">
        <v>364</v>
      </c>
      <c r="J2" s="148" t="s">
        <v>341</v>
      </c>
      <c r="K2" s="148" t="s">
        <v>364</v>
      </c>
      <c r="L2" s="148" t="s">
        <v>341</v>
      </c>
      <c r="M2" s="148" t="s">
        <v>364</v>
      </c>
      <c r="N2" s="148" t="s">
        <v>341</v>
      </c>
      <c r="O2" s="148" t="s">
        <v>364</v>
      </c>
      <c r="P2" s="148" t="s">
        <v>341</v>
      </c>
      <c r="Q2" s="148" t="s">
        <v>364</v>
      </c>
      <c r="R2" s="148" t="s">
        <v>341</v>
      </c>
      <c r="S2" s="148" t="s">
        <v>364</v>
      </c>
      <c r="T2" s="148" t="s">
        <v>341</v>
      </c>
      <c r="U2" s="148" t="s">
        <v>364</v>
      </c>
      <c r="V2" s="148" t="s">
        <v>341</v>
      </c>
      <c r="W2" s="148" t="s">
        <v>364</v>
      </c>
      <c r="X2" s="148" t="s">
        <v>341</v>
      </c>
      <c r="Y2" s="148" t="s">
        <v>364</v>
      </c>
      <c r="Z2" s="148" t="s">
        <v>341</v>
      </c>
      <c r="AA2" s="148" t="s">
        <v>364</v>
      </c>
      <c r="AB2" s="148" t="s">
        <v>341</v>
      </c>
      <c r="AC2" s="148" t="s">
        <v>364</v>
      </c>
      <c r="AD2" s="148" t="s">
        <v>341</v>
      </c>
      <c r="AE2" s="148" t="s">
        <v>364</v>
      </c>
      <c r="AF2" s="148" t="s">
        <v>341</v>
      </c>
      <c r="AG2" s="148" t="s">
        <v>364</v>
      </c>
      <c r="AH2" s="148" t="s">
        <v>341</v>
      </c>
      <c r="AI2" s="148" t="s">
        <v>364</v>
      </c>
    </row>
    <row r="3" spans="1:35" s="85" customFormat="1">
      <c r="A3" s="352" t="s">
        <v>552</v>
      </c>
      <c r="B3" s="324" t="s">
        <v>553</v>
      </c>
      <c r="C3" s="221">
        <f>SUM(H3+J3+L3+N3+P3+R3+T3+V3+X3+Z3+AB3+AD3+AF3+AH3)</f>
        <v>3</v>
      </c>
      <c r="D3" s="132">
        <f t="shared" ref="D3:D10" si="0">(H3*I3+J3*K3+L3*M3+N3*O3+P3*Q3+R3*S3+T3*U3+V3*W3+X3*Y3+Z3*AA3+AB3*AC3+AD3*AE3+AF3*AG3+AH3*AI3)/C3</f>
        <v>0.99159663865546221</v>
      </c>
      <c r="E3" s="132" t="str">
        <f t="shared" ref="E3:E10" si="1">IFERROR(STDEV(I3,K3,M3,O3,Q3,S3,U3,W3,Y3,AA3,AC3,AE3,AG3,AI3),"")</f>
        <v/>
      </c>
      <c r="F3" s="132" t="str">
        <f>IFERROR(IF(E3&lt;D3*0.1,D3+3*E3,D3+E3),"")</f>
        <v/>
      </c>
      <c r="G3" s="220" t="str">
        <f>IFERROR(IF(E3&lt;D3*0.1,MAX(D3-3*E3,0),MAX(D3-E3,0)),"")</f>
        <v/>
      </c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>
        <f>IFERROR(VLOOKUP($B3,'网络(维护)'!$B:$Q,12,0),0)</f>
        <v>3</v>
      </c>
      <c r="U3" s="145">
        <f>IFERROR(VLOOKUP($B3,'网络(维护)'!$B:$Q,13,0),"")</f>
        <v>0.99159663865546221</v>
      </c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</row>
    <row r="4" spans="1:35" s="85" customFormat="1">
      <c r="A4" s="352"/>
      <c r="B4" s="320" t="s">
        <v>554</v>
      </c>
      <c r="C4" s="221">
        <f t="shared" ref="C4:C10" si="2">SUM(H4+J4+L4+N4+P4+R4+T4+V4+X4+Z4+AB4+AD4+AF4+AH4)</f>
        <v>3</v>
      </c>
      <c r="D4" s="4">
        <f t="shared" si="0"/>
        <v>0.78030303030303028</v>
      </c>
      <c r="E4" s="4" t="str">
        <f t="shared" si="1"/>
        <v/>
      </c>
      <c r="F4" s="4" t="str">
        <f>IFERROR(IF(E4&lt;D4*0.1,D4+3*E4,D4+E4),"")</f>
        <v/>
      </c>
      <c r="G4" s="144" t="str">
        <f>IFERROR(IF(E4&lt;D4*0.1,MAX(D4-3*E4,0),MAX(D4-E4,0)),"")</f>
        <v/>
      </c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>
        <f>IFERROR(VLOOKUP($B4,'网络(维护)'!$B:$Q,12,0),0)</f>
        <v>3</v>
      </c>
      <c r="U4" s="145">
        <f>IFERROR(VLOOKUP($B4,'网络(维护)'!$B:$Q,13,0),"")</f>
        <v>0.78030303030303028</v>
      </c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</row>
    <row r="5" spans="1:35" s="85" customFormat="1">
      <c r="A5" s="352"/>
      <c r="B5" s="320" t="s">
        <v>555</v>
      </c>
      <c r="C5" s="221">
        <f t="shared" si="2"/>
        <v>4</v>
      </c>
      <c r="D5" s="4">
        <f t="shared" si="0"/>
        <v>45.375</v>
      </c>
      <c r="E5" s="4" t="str">
        <f t="shared" si="1"/>
        <v/>
      </c>
      <c r="F5" s="4" t="str">
        <f>IFERROR(IF(E5&lt;D5*0.1,D5+3*E5,D5+E5)," ")</f>
        <v xml:space="preserve"> </v>
      </c>
      <c r="G5" s="144" t="str">
        <f t="shared" ref="G5:G10" si="3">IFERROR(IF(E5&lt;D5*0.1,MAX(D5-3*E5,0),MAX(D5-E5,0)),"")</f>
        <v/>
      </c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>
        <f>IFERROR(VLOOKUP($B5,'网络(维护)'!$B:$Q,12,0),0)</f>
        <v>4</v>
      </c>
      <c r="U5" s="145">
        <f>IFERROR(VLOOKUP($B5,'网络(维护)'!$B:$Q,13,0),"")</f>
        <v>45.375</v>
      </c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</row>
    <row r="6" spans="1:35" s="85" customFormat="1">
      <c r="A6" s="352"/>
      <c r="B6" s="320" t="s">
        <v>556</v>
      </c>
      <c r="C6" s="221">
        <f t="shared" si="2"/>
        <v>4</v>
      </c>
      <c r="D6" s="4">
        <f t="shared" si="0"/>
        <v>0</v>
      </c>
      <c r="E6" s="4" t="str">
        <f t="shared" si="1"/>
        <v/>
      </c>
      <c r="F6" s="4" t="str">
        <f t="shared" ref="F6:F10" si="4">IFERROR(IF(E6&lt;D6*0.1,D6+3*E6,D6+E6),"")</f>
        <v/>
      </c>
      <c r="G6" s="144" t="str">
        <f t="shared" si="3"/>
        <v/>
      </c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>
        <f>IFERROR(VLOOKUP($B6,'网络(维护)'!$B:$Q,12,0),0)</f>
        <v>4</v>
      </c>
      <c r="U6" s="145">
        <f>IFERROR(VLOOKUP($B6,'网络(维护)'!$B:$Q,13,0),"")</f>
        <v>0</v>
      </c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</row>
    <row r="7" spans="1:35" s="85" customFormat="1">
      <c r="A7" s="351" t="s">
        <v>557</v>
      </c>
      <c r="B7" s="320" t="s">
        <v>393</v>
      </c>
      <c r="C7" s="221"/>
      <c r="D7" s="4"/>
      <c r="E7" s="4" t="str">
        <f t="shared" si="1"/>
        <v/>
      </c>
      <c r="F7" s="4" t="str">
        <f t="shared" si="4"/>
        <v/>
      </c>
      <c r="G7" s="144" t="str">
        <f t="shared" si="3"/>
        <v/>
      </c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</row>
    <row r="8" spans="1:35" s="85" customFormat="1">
      <c r="A8" s="351"/>
      <c r="B8" s="320" t="s">
        <v>558</v>
      </c>
      <c r="C8" s="221">
        <f t="shared" si="2"/>
        <v>4</v>
      </c>
      <c r="D8" s="4">
        <f t="shared" si="0"/>
        <v>1</v>
      </c>
      <c r="E8" s="4" t="str">
        <f t="shared" si="1"/>
        <v/>
      </c>
      <c r="F8" s="4" t="str">
        <f t="shared" si="4"/>
        <v/>
      </c>
      <c r="G8" s="144" t="str">
        <f t="shared" si="3"/>
        <v/>
      </c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>
        <f>IFERROR(VLOOKUP($B8,'网络(维护)'!$B:$Q,12,0),0)</f>
        <v>4</v>
      </c>
      <c r="U8" s="145">
        <f>IFERROR(VLOOKUP($B8,'网络(维护)'!$B:$Q,13,0),"")</f>
        <v>1</v>
      </c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</row>
    <row r="9" spans="1:35" s="85" customFormat="1">
      <c r="A9" s="351"/>
      <c r="B9" s="320" t="s">
        <v>395</v>
      </c>
      <c r="C9" s="221"/>
      <c r="D9" s="4"/>
      <c r="E9" s="4" t="str">
        <f t="shared" si="1"/>
        <v/>
      </c>
      <c r="F9" s="4" t="str">
        <f t="shared" si="4"/>
        <v/>
      </c>
      <c r="G9" s="144" t="str">
        <f t="shared" si="3"/>
        <v/>
      </c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</row>
    <row r="10" spans="1:35" s="85" customFormat="1">
      <c r="A10" s="351"/>
      <c r="B10" s="320" t="s">
        <v>396</v>
      </c>
      <c r="C10" s="221">
        <f t="shared" si="2"/>
        <v>4</v>
      </c>
      <c r="D10" s="4">
        <f t="shared" si="0"/>
        <v>8</v>
      </c>
      <c r="E10" s="4" t="str">
        <f t="shared" si="1"/>
        <v/>
      </c>
      <c r="F10" s="4" t="str">
        <f t="shared" si="4"/>
        <v/>
      </c>
      <c r="G10" s="144" t="str">
        <f t="shared" si="3"/>
        <v/>
      </c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>
        <f>IFERROR(VLOOKUP($B10,'网络(维护)'!$B:$Q,12,0),0)</f>
        <v>4</v>
      </c>
      <c r="U10" s="145">
        <f>IFERROR(VLOOKUP($B10,'网络(维护)'!$B:$Q,13,0),"")</f>
        <v>8</v>
      </c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</row>
  </sheetData>
  <mergeCells count="18">
    <mergeCell ref="AH1:AI1"/>
    <mergeCell ref="P1:Q1"/>
    <mergeCell ref="R1:S1"/>
    <mergeCell ref="T1:U1"/>
    <mergeCell ref="V1:W1"/>
    <mergeCell ref="X1:Y1"/>
    <mergeCell ref="Z1:AA1"/>
    <mergeCell ref="A3:A6"/>
    <mergeCell ref="A7:A10"/>
    <mergeCell ref="AB1:AC1"/>
    <mergeCell ref="AD1:AE1"/>
    <mergeCell ref="AF1:AG1"/>
    <mergeCell ref="A1:B2"/>
    <mergeCell ref="C1:G1"/>
    <mergeCell ref="H1:I1"/>
    <mergeCell ref="J1:K1"/>
    <mergeCell ref="L1:M1"/>
    <mergeCell ref="N1:O1"/>
  </mergeCells>
  <phoneticPr fontId="26" type="noConversion"/>
  <conditionalFormatting sqref="I3:I10 K3:K10 M3:M10 O3:O10 Q3:Q10 S3:S10 W3:W10 Y3:Y10 AA3:AA10 AC3:AC10 AE3:AE10 AG3:AG10 AI3:AI10 U3:U10">
    <cfRule type="containsBlanks" priority="27" stopIfTrue="1">
      <formula>LEN(TRIM(I3))=0</formula>
    </cfRule>
    <cfRule type="cellIs" dxfId="0" priority="28" operator="notBetween">
      <formula>$F3</formula>
      <formula>$G3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topLeftCell="A7" workbookViewId="0">
      <selection activeCell="B3" sqref="B3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124" t="s">
        <v>343</v>
      </c>
      <c r="D2" s="124" t="s">
        <v>344</v>
      </c>
      <c r="E2" s="124" t="s">
        <v>345</v>
      </c>
      <c r="F2" s="124" t="s">
        <v>346</v>
      </c>
      <c r="G2" s="124" t="s">
        <v>347</v>
      </c>
      <c r="H2" s="124" t="s">
        <v>356</v>
      </c>
      <c r="I2" s="124" t="s">
        <v>357</v>
      </c>
      <c r="J2" s="124" t="s">
        <v>358</v>
      </c>
      <c r="K2" s="124" t="s">
        <v>359</v>
      </c>
      <c r="L2" s="124" t="s">
        <v>360</v>
      </c>
      <c r="M2" s="124" t="s">
        <v>356</v>
      </c>
      <c r="N2" s="124" t="s">
        <v>357</v>
      </c>
      <c r="O2" s="124" t="s">
        <v>358</v>
      </c>
      <c r="P2" s="124" t="s">
        <v>359</v>
      </c>
      <c r="Q2" s="124" t="s">
        <v>360</v>
      </c>
    </row>
    <row r="3" spans="1:17">
      <c r="A3" s="351" t="s">
        <v>348</v>
      </c>
      <c r="B3" s="117" t="s">
        <v>349</v>
      </c>
      <c r="C3" s="231">
        <v>14</v>
      </c>
      <c r="D3" s="229">
        <v>28.401488017942366</v>
      </c>
      <c r="E3" s="229">
        <v>3.9788060702142021</v>
      </c>
      <c r="F3" s="229">
        <v>32.380294088156568</v>
      </c>
      <c r="G3" s="229">
        <v>24.422681947728165</v>
      </c>
      <c r="H3" s="231">
        <v>18</v>
      </c>
      <c r="I3" s="229">
        <v>29.405804196337492</v>
      </c>
      <c r="J3" s="229">
        <v>3.0959692438035122</v>
      </c>
      <c r="K3" s="229">
        <v>32.501773440141001</v>
      </c>
      <c r="L3" s="229">
        <v>26.309834952533979</v>
      </c>
      <c r="M3" s="135">
        <f>IFERROR(C3+H3,"")</f>
        <v>32</v>
      </c>
      <c r="N3" s="136">
        <f>IFERROR((C3*D3+H3*I3)/M3,"")</f>
        <v>28.966415868289623</v>
      </c>
      <c r="O3" s="136">
        <f>IFERROR((E3+J3)/2,"")</f>
        <v>3.5373876570088569</v>
      </c>
      <c r="P3" s="136">
        <f>IFERROR(MAXA(F3,K3),"")</f>
        <v>32.501773440141001</v>
      </c>
      <c r="Q3" s="136">
        <f>IFERROR(MINA(G3,L3),"")</f>
        <v>24.422681947728165</v>
      </c>
    </row>
    <row r="4" spans="1:17">
      <c r="A4" s="351"/>
      <c r="B4" s="118" t="s">
        <v>333</v>
      </c>
      <c r="C4" s="231">
        <v>10</v>
      </c>
      <c r="D4" s="229">
        <v>60.951811097618929</v>
      </c>
      <c r="E4" s="229">
        <v>6.0187537196886023</v>
      </c>
      <c r="F4" s="229">
        <v>79.008072256684727</v>
      </c>
      <c r="G4" s="229">
        <v>42.895549938553124</v>
      </c>
      <c r="H4" s="231">
        <v>13</v>
      </c>
      <c r="I4" s="229">
        <v>48.356093151913981</v>
      </c>
      <c r="J4" s="229">
        <v>9.1456443547377244</v>
      </c>
      <c r="K4" s="229">
        <v>57.501737506651708</v>
      </c>
      <c r="L4" s="229">
        <v>39.210448797176255</v>
      </c>
      <c r="M4" s="135">
        <f t="shared" ref="M4:M42" si="0">IFERROR(C4+H4,"")</f>
        <v>23</v>
      </c>
      <c r="N4" s="136">
        <f t="shared" ref="N4:N42" si="1">IFERROR((C4*D4+H4*I4)/M4,"")</f>
        <v>53.832492258742221</v>
      </c>
      <c r="O4" s="136">
        <f t="shared" ref="O4:O42" si="2">IFERROR((E4+J4)/2,"")</f>
        <v>7.5821990372131634</v>
      </c>
      <c r="P4" s="136">
        <f t="shared" ref="P4:P42" si="3">IFERROR(MAXA(F4,K4),"")</f>
        <v>79.008072256684727</v>
      </c>
      <c r="Q4" s="136">
        <f t="shared" ref="Q4:Q42" si="4">IFERROR(MINA(G4,L4),"")</f>
        <v>39.210448797176255</v>
      </c>
    </row>
    <row r="5" spans="1:17">
      <c r="A5" s="351"/>
      <c r="B5" s="118" t="s">
        <v>361</v>
      </c>
      <c r="C5" s="231">
        <v>12</v>
      </c>
      <c r="D5" s="229">
        <v>1.6215530303030301</v>
      </c>
      <c r="E5" s="229">
        <v>1.2524116356547148</v>
      </c>
      <c r="F5" s="229">
        <v>2.8739646659577449</v>
      </c>
      <c r="G5" s="229">
        <v>0.3691413946483153</v>
      </c>
      <c r="H5" s="231">
        <v>13</v>
      </c>
      <c r="I5" s="229">
        <v>1.5969762249685524</v>
      </c>
      <c r="J5" s="229">
        <v>0.51203098433080951</v>
      </c>
      <c r="K5" s="229">
        <v>2.1090072092993619</v>
      </c>
      <c r="L5" s="229">
        <v>1.0849452406377429</v>
      </c>
      <c r="M5" s="135">
        <f t="shared" si="0"/>
        <v>25</v>
      </c>
      <c r="N5" s="136">
        <f t="shared" si="1"/>
        <v>1.6087730915291019</v>
      </c>
      <c r="O5" s="136">
        <f t="shared" si="2"/>
        <v>0.88222130999276216</v>
      </c>
      <c r="P5" s="136">
        <f t="shared" si="3"/>
        <v>2.8739646659577449</v>
      </c>
      <c r="Q5" s="136">
        <f t="shared" si="4"/>
        <v>0.3691413946483153</v>
      </c>
    </row>
    <row r="6" spans="1:17">
      <c r="A6" s="351"/>
      <c r="B6" s="118" t="s">
        <v>362</v>
      </c>
      <c r="C6" s="231">
        <v>11</v>
      </c>
      <c r="D6" s="229">
        <v>2.4595867768595032</v>
      </c>
      <c r="E6" s="229">
        <v>2.2952199030897957</v>
      </c>
      <c r="F6" s="229">
        <v>4.754806679949299</v>
      </c>
      <c r="G6" s="229">
        <v>0.16436687376970749</v>
      </c>
      <c r="H6" s="231">
        <v>13</v>
      </c>
      <c r="I6" s="229">
        <v>2.2401166670141999</v>
      </c>
      <c r="J6" s="229">
        <v>0.77605625914810883</v>
      </c>
      <c r="K6" s="229">
        <v>3.0161729261623087</v>
      </c>
      <c r="L6" s="229">
        <v>1.464060407866091</v>
      </c>
      <c r="M6" s="135">
        <f t="shared" si="0"/>
        <v>24</v>
      </c>
      <c r="N6" s="136">
        <f t="shared" si="1"/>
        <v>2.3407071340266303</v>
      </c>
      <c r="O6" s="136">
        <f t="shared" si="2"/>
        <v>1.5356380811189523</v>
      </c>
      <c r="P6" s="136">
        <f t="shared" si="3"/>
        <v>4.754806679949299</v>
      </c>
      <c r="Q6" s="136">
        <f t="shared" si="4"/>
        <v>0.16436687376970749</v>
      </c>
    </row>
    <row r="7" spans="1:17">
      <c r="A7" s="351"/>
      <c r="B7" s="118" t="s">
        <v>350</v>
      </c>
      <c r="C7" s="231">
        <v>11</v>
      </c>
      <c r="D7" s="229">
        <v>19.295799281620216</v>
      </c>
      <c r="E7" s="229">
        <v>2.0846380163891416</v>
      </c>
      <c r="F7" s="229">
        <v>21.380437298009358</v>
      </c>
      <c r="G7" s="229">
        <v>17.211161265231073</v>
      </c>
      <c r="H7" s="231">
        <v>12</v>
      </c>
      <c r="I7" s="229">
        <v>20.28292960662526</v>
      </c>
      <c r="J7" s="229">
        <v>1.0459508227060403</v>
      </c>
      <c r="K7" s="229">
        <v>23.420782074743379</v>
      </c>
      <c r="L7" s="229">
        <v>17.145077138507141</v>
      </c>
      <c r="M7" s="135">
        <f t="shared" si="0"/>
        <v>23</v>
      </c>
      <c r="N7" s="136">
        <f t="shared" si="1"/>
        <v>19.810823799014152</v>
      </c>
      <c r="O7" s="136">
        <f t="shared" si="2"/>
        <v>1.5652944195475911</v>
      </c>
      <c r="P7" s="136">
        <f t="shared" si="3"/>
        <v>23.420782074743379</v>
      </c>
      <c r="Q7" s="136">
        <f t="shared" si="4"/>
        <v>17.145077138507141</v>
      </c>
    </row>
    <row r="8" spans="1:17">
      <c r="A8" s="351"/>
      <c r="B8" s="118" t="s">
        <v>351</v>
      </c>
      <c r="C8" s="231">
        <v>14</v>
      </c>
      <c r="D8" s="229">
        <v>23.58482052395426</v>
      </c>
      <c r="E8" s="229">
        <v>10.051147350737823</v>
      </c>
      <c r="F8" s="229">
        <v>33.635967874692085</v>
      </c>
      <c r="G8" s="229">
        <v>13.533673173216437</v>
      </c>
      <c r="H8" s="231">
        <v>12</v>
      </c>
      <c r="I8" s="229">
        <v>25.494365301922684</v>
      </c>
      <c r="J8" s="229">
        <v>2.0055131824248682</v>
      </c>
      <c r="K8" s="229">
        <v>31.510904849197289</v>
      </c>
      <c r="L8" s="229">
        <v>19.47782575464808</v>
      </c>
      <c r="M8" s="135">
        <f t="shared" si="0"/>
        <v>26</v>
      </c>
      <c r="N8" s="136">
        <f t="shared" si="1"/>
        <v>24.466148883016611</v>
      </c>
      <c r="O8" s="136">
        <f t="shared" si="2"/>
        <v>6.0283302665813459</v>
      </c>
      <c r="P8" s="136">
        <f t="shared" si="3"/>
        <v>33.635967874692085</v>
      </c>
      <c r="Q8" s="136">
        <f t="shared" si="4"/>
        <v>13.533673173216437</v>
      </c>
    </row>
    <row r="9" spans="1:17">
      <c r="A9" s="351"/>
      <c r="B9" s="118" t="s">
        <v>352</v>
      </c>
      <c r="C9" s="231">
        <v>9</v>
      </c>
      <c r="D9" s="234">
        <v>102.2031746031746</v>
      </c>
      <c r="E9" s="229">
        <v>47.32679920347249</v>
      </c>
      <c r="F9" s="229">
        <v>149.52997380664709</v>
      </c>
      <c r="G9" s="229">
        <v>54.876375399702113</v>
      </c>
      <c r="H9" s="231">
        <v>14</v>
      </c>
      <c r="I9" s="229">
        <v>112.91031037414969</v>
      </c>
      <c r="J9" s="229">
        <v>76.735522572691579</v>
      </c>
      <c r="K9" s="229">
        <v>189.64583294684127</v>
      </c>
      <c r="L9" s="229">
        <v>36.174787801458109</v>
      </c>
      <c r="M9" s="135">
        <f t="shared" si="0"/>
        <v>23</v>
      </c>
      <c r="N9" s="136">
        <f t="shared" si="1"/>
        <v>108.72056159420291</v>
      </c>
      <c r="O9" s="136">
        <f t="shared" si="2"/>
        <v>62.031160888082034</v>
      </c>
      <c r="P9" s="136">
        <f t="shared" si="3"/>
        <v>189.64583294684127</v>
      </c>
      <c r="Q9" s="136">
        <f t="shared" si="4"/>
        <v>36.174787801458109</v>
      </c>
    </row>
    <row r="10" spans="1:17">
      <c r="A10" s="351"/>
      <c r="B10" s="118" t="s">
        <v>353</v>
      </c>
      <c r="C10" s="231">
        <v>5</v>
      </c>
      <c r="D10" s="229">
        <v>18.608045977011493</v>
      </c>
      <c r="E10" s="229">
        <v>4.9361767523164826</v>
      </c>
      <c r="F10" s="229">
        <v>23.544222729327977</v>
      </c>
      <c r="G10" s="229">
        <v>13.67186922469501</v>
      </c>
      <c r="H10" s="231">
        <v>7</v>
      </c>
      <c r="I10" s="229">
        <v>20.61118930330753</v>
      </c>
      <c r="J10" s="229">
        <v>1.6509982477263885</v>
      </c>
      <c r="K10" s="229">
        <v>25.564184046486695</v>
      </c>
      <c r="L10" s="229">
        <v>15.658194560128365</v>
      </c>
      <c r="M10" s="135">
        <f t="shared" si="0"/>
        <v>12</v>
      </c>
      <c r="N10" s="136">
        <f t="shared" si="1"/>
        <v>19.776546250684181</v>
      </c>
      <c r="O10" s="136">
        <f t="shared" si="2"/>
        <v>3.2935875000214354</v>
      </c>
      <c r="P10" s="136">
        <f t="shared" si="3"/>
        <v>25.564184046486695</v>
      </c>
      <c r="Q10" s="136">
        <f t="shared" si="4"/>
        <v>13.67186922469501</v>
      </c>
    </row>
    <row r="11" spans="1:17">
      <c r="A11" s="351"/>
      <c r="B11" s="118" t="s">
        <v>354</v>
      </c>
      <c r="C11" s="231">
        <v>7</v>
      </c>
      <c r="D11" s="235">
        <v>7.7301587301587302E-2</v>
      </c>
      <c r="E11" s="230">
        <v>1.9916049557639728E-2</v>
      </c>
      <c r="F11" s="230">
        <v>9.7217636859227033E-2</v>
      </c>
      <c r="G11" s="230">
        <v>5.7385537743947571E-2</v>
      </c>
      <c r="H11" s="231">
        <v>15</v>
      </c>
      <c r="I11" s="232">
        <v>8.2055046260928605E-2</v>
      </c>
      <c r="J11" s="230">
        <v>2.7023134641112518E-2</v>
      </c>
      <c r="K11" s="230">
        <v>0.10907818090204112</v>
      </c>
      <c r="L11" s="230">
        <v>5.503191161981609E-2</v>
      </c>
      <c r="M11" s="135">
        <f t="shared" si="0"/>
        <v>22</v>
      </c>
      <c r="N11" s="119">
        <f t="shared" si="1"/>
        <v>8.0542582046592731E-2</v>
      </c>
      <c r="O11" s="119">
        <f t="shared" si="2"/>
        <v>2.3469592099376123E-2</v>
      </c>
      <c r="P11" s="119">
        <f t="shared" si="3"/>
        <v>0.10907818090204112</v>
      </c>
      <c r="Q11" s="119">
        <f t="shared" si="4"/>
        <v>5.503191161981609E-2</v>
      </c>
    </row>
    <row r="12" spans="1:17">
      <c r="A12" s="351"/>
      <c r="B12" s="118" t="s">
        <v>355</v>
      </c>
      <c r="C12" s="231">
        <v>18</v>
      </c>
      <c r="D12" s="230">
        <v>0</v>
      </c>
      <c r="E12" s="230">
        <v>0</v>
      </c>
      <c r="F12" s="230">
        <v>0</v>
      </c>
      <c r="G12" s="230">
        <v>0</v>
      </c>
      <c r="H12" s="231">
        <v>23</v>
      </c>
      <c r="I12" s="230">
        <v>0</v>
      </c>
      <c r="J12" s="230">
        <v>0</v>
      </c>
      <c r="K12" s="230">
        <v>0</v>
      </c>
      <c r="L12" s="230">
        <v>0</v>
      </c>
      <c r="M12" s="135">
        <f t="shared" si="0"/>
        <v>41</v>
      </c>
      <c r="N12" s="119">
        <f t="shared" si="1"/>
        <v>0</v>
      </c>
      <c r="O12" s="119">
        <f t="shared" si="2"/>
        <v>0</v>
      </c>
      <c r="P12" s="119">
        <f t="shared" si="3"/>
        <v>0</v>
      </c>
      <c r="Q12" s="119">
        <f t="shared" si="4"/>
        <v>0</v>
      </c>
    </row>
    <row r="13" spans="1:17">
      <c r="A13" s="351"/>
      <c r="B13" s="118" t="s">
        <v>268</v>
      </c>
      <c r="C13" s="231">
        <v>14</v>
      </c>
      <c r="D13" s="230">
        <v>0</v>
      </c>
      <c r="E13" s="230">
        <v>0</v>
      </c>
      <c r="F13" s="230">
        <v>0</v>
      </c>
      <c r="G13" s="230">
        <v>0</v>
      </c>
      <c r="H13" s="231">
        <v>20</v>
      </c>
      <c r="I13" s="230">
        <v>0</v>
      </c>
      <c r="J13" s="230">
        <v>0</v>
      </c>
      <c r="K13" s="230">
        <v>0</v>
      </c>
      <c r="L13" s="230">
        <v>0</v>
      </c>
      <c r="M13" s="135">
        <f t="shared" si="0"/>
        <v>34</v>
      </c>
      <c r="N13" s="119">
        <f t="shared" si="1"/>
        <v>0</v>
      </c>
      <c r="O13" s="119">
        <f t="shared" si="2"/>
        <v>0</v>
      </c>
      <c r="P13" s="119">
        <f t="shared" si="3"/>
        <v>0</v>
      </c>
      <c r="Q13" s="119">
        <f t="shared" si="4"/>
        <v>0</v>
      </c>
    </row>
    <row r="14" spans="1:17">
      <c r="A14" s="382" t="s">
        <v>269</v>
      </c>
      <c r="B14" s="118" t="s">
        <v>270</v>
      </c>
      <c r="C14" s="231">
        <v>13</v>
      </c>
      <c r="D14" s="230">
        <v>0.93165483234713997</v>
      </c>
      <c r="E14" s="230">
        <v>0.10188439120440337</v>
      </c>
      <c r="F14" s="230">
        <v>1</v>
      </c>
      <c r="G14" s="230">
        <v>0.82977044114273657</v>
      </c>
      <c r="H14" s="231">
        <v>21</v>
      </c>
      <c r="I14" s="230">
        <v>0.80371532091097297</v>
      </c>
      <c r="J14" s="230">
        <v>0.19306027931989495</v>
      </c>
      <c r="K14" s="230">
        <v>0.99677560023086786</v>
      </c>
      <c r="L14" s="230">
        <v>0.61065504159107808</v>
      </c>
      <c r="M14" s="135">
        <f t="shared" si="0"/>
        <v>34</v>
      </c>
      <c r="N14" s="119">
        <f t="shared" si="1"/>
        <v>0.85263336940127221</v>
      </c>
      <c r="O14" s="119">
        <f t="shared" si="2"/>
        <v>0.14747233526214915</v>
      </c>
      <c r="P14" s="119">
        <f t="shared" si="3"/>
        <v>1</v>
      </c>
      <c r="Q14" s="119">
        <f t="shared" si="4"/>
        <v>0.61065504159107808</v>
      </c>
    </row>
    <row r="15" spans="1:17">
      <c r="A15" s="382"/>
      <c r="B15" s="118" t="s">
        <v>271</v>
      </c>
      <c r="C15" s="231">
        <v>0</v>
      </c>
      <c r="D15" s="229" t="s">
        <v>87</v>
      </c>
      <c r="E15" s="229" t="s">
        <v>87</v>
      </c>
      <c r="F15" s="229" t="s">
        <v>87</v>
      </c>
      <c r="G15" s="229" t="s">
        <v>87</v>
      </c>
      <c r="H15" s="231">
        <v>3</v>
      </c>
      <c r="I15" s="229">
        <v>0.26333333333333336</v>
      </c>
      <c r="J15" s="229">
        <v>0.10115993936995671</v>
      </c>
      <c r="K15" s="229">
        <v>0.36449327270329007</v>
      </c>
      <c r="L15" s="229">
        <v>0.16217339396337666</v>
      </c>
      <c r="M15" s="231">
        <v>3</v>
      </c>
      <c r="N15" s="229">
        <v>0.26333333333333336</v>
      </c>
      <c r="O15" s="229">
        <v>0.10115993936995671</v>
      </c>
      <c r="P15" s="229">
        <v>0.36449327270329007</v>
      </c>
      <c r="Q15" s="229">
        <v>0.16217339396337666</v>
      </c>
    </row>
    <row r="16" spans="1:17">
      <c r="A16" s="382"/>
      <c r="B16" s="118" t="s">
        <v>272</v>
      </c>
      <c r="C16" s="231">
        <v>8</v>
      </c>
      <c r="D16" s="229">
        <v>0.55625000000000002</v>
      </c>
      <c r="E16" s="229">
        <v>0.62641696519627743</v>
      </c>
      <c r="F16" s="229">
        <v>1.1826669651962773</v>
      </c>
      <c r="G16" s="229">
        <v>0</v>
      </c>
      <c r="H16" s="231">
        <v>5</v>
      </c>
      <c r="I16" s="229">
        <v>0.35799999999999998</v>
      </c>
      <c r="J16" s="229">
        <v>0.21936271333114027</v>
      </c>
      <c r="K16" s="229">
        <v>0.57736271333114031</v>
      </c>
      <c r="L16" s="229">
        <v>0.13863728666885972</v>
      </c>
      <c r="M16" s="135">
        <f t="shared" si="0"/>
        <v>13</v>
      </c>
      <c r="N16" s="136">
        <f t="shared" si="1"/>
        <v>0.48000000000000004</v>
      </c>
      <c r="O16" s="136">
        <f t="shared" si="2"/>
        <v>0.42288983926370882</v>
      </c>
      <c r="P16" s="136">
        <f t="shared" si="3"/>
        <v>1.1826669651962773</v>
      </c>
      <c r="Q16" s="136">
        <f t="shared" si="4"/>
        <v>0</v>
      </c>
    </row>
    <row r="17" spans="1:17">
      <c r="A17" s="382" t="s">
        <v>273</v>
      </c>
      <c r="B17" s="118" t="s">
        <v>306</v>
      </c>
      <c r="C17" s="231">
        <v>11</v>
      </c>
      <c r="D17" s="229">
        <v>9.3545094737424161</v>
      </c>
      <c r="E17" s="229">
        <v>0.78478848463722806</v>
      </c>
      <c r="F17" s="229">
        <v>11.708874927654101</v>
      </c>
      <c r="G17" s="229">
        <v>7.0001440198307314</v>
      </c>
      <c r="H17" s="231">
        <v>18</v>
      </c>
      <c r="I17" s="229">
        <v>9.7487665405494059</v>
      </c>
      <c r="J17" s="229">
        <v>0.89013078080427777</v>
      </c>
      <c r="K17" s="229">
        <v>12.41915888296224</v>
      </c>
      <c r="L17" s="229">
        <v>7.0783741981365722</v>
      </c>
      <c r="M17" s="135">
        <f t="shared" si="0"/>
        <v>29</v>
      </c>
      <c r="N17" s="136">
        <f t="shared" si="1"/>
        <v>9.5992207565881351</v>
      </c>
      <c r="O17" s="136">
        <f t="shared" si="2"/>
        <v>0.83745963272075286</v>
      </c>
      <c r="P17" s="136">
        <f t="shared" si="3"/>
        <v>12.41915888296224</v>
      </c>
      <c r="Q17" s="136">
        <f t="shared" si="4"/>
        <v>7.0001440198307314</v>
      </c>
    </row>
    <row r="18" spans="1:17">
      <c r="A18" s="382"/>
      <c r="B18" s="118" t="s">
        <v>274</v>
      </c>
      <c r="C18" s="231">
        <v>0</v>
      </c>
      <c r="D18" s="229" t="s">
        <v>87</v>
      </c>
      <c r="E18" s="229" t="s">
        <v>87</v>
      </c>
      <c r="F18" s="229" t="s">
        <v>87</v>
      </c>
      <c r="G18" s="229" t="s">
        <v>87</v>
      </c>
      <c r="H18" s="231">
        <v>6</v>
      </c>
      <c r="I18" s="229">
        <v>2.0146153846153845</v>
      </c>
      <c r="J18" s="229">
        <v>1.5703370911628041</v>
      </c>
      <c r="K18" s="229">
        <v>3.5849524757781888</v>
      </c>
      <c r="L18" s="229">
        <v>0.44427829345258041</v>
      </c>
      <c r="M18" s="135">
        <f t="shared" si="0"/>
        <v>6</v>
      </c>
      <c r="N18" s="229">
        <v>2.0146153846153845</v>
      </c>
      <c r="O18" s="229">
        <v>1.5703370911628041</v>
      </c>
      <c r="P18" s="229">
        <v>3.5849524757781888</v>
      </c>
      <c r="Q18" s="229">
        <v>0.44427829345258041</v>
      </c>
    </row>
    <row r="19" spans="1:17">
      <c r="A19" s="382"/>
      <c r="B19" s="118" t="s">
        <v>275</v>
      </c>
      <c r="C19" s="231">
        <v>19</v>
      </c>
      <c r="D19" s="229">
        <v>0</v>
      </c>
      <c r="E19" s="229">
        <v>0</v>
      </c>
      <c r="F19" s="229">
        <v>0</v>
      </c>
      <c r="G19" s="229">
        <v>0</v>
      </c>
      <c r="H19" s="231">
        <v>23</v>
      </c>
      <c r="I19" s="233">
        <v>1.0869565217391304</v>
      </c>
      <c r="J19" s="229">
        <v>2.9063104301167715</v>
      </c>
      <c r="K19" s="229">
        <v>3.9932669518559019</v>
      </c>
      <c r="L19" s="229">
        <v>0</v>
      </c>
      <c r="M19" s="135">
        <f t="shared" si="0"/>
        <v>42</v>
      </c>
      <c r="N19" s="136">
        <f t="shared" si="1"/>
        <v>0.59523809523809523</v>
      </c>
      <c r="O19" s="136">
        <f t="shared" si="2"/>
        <v>1.4531552150583857</v>
      </c>
      <c r="P19" s="136">
        <f t="shared" si="3"/>
        <v>3.9932669518559019</v>
      </c>
      <c r="Q19" s="136">
        <f t="shared" si="4"/>
        <v>0</v>
      </c>
    </row>
    <row r="20" spans="1:17">
      <c r="A20" s="382"/>
      <c r="B20" s="118" t="s">
        <v>276</v>
      </c>
      <c r="C20" s="231">
        <v>19</v>
      </c>
      <c r="D20" s="229">
        <v>0</v>
      </c>
      <c r="E20" s="229">
        <v>0</v>
      </c>
      <c r="F20" s="229">
        <v>0</v>
      </c>
      <c r="G20" s="229">
        <v>0</v>
      </c>
      <c r="H20" s="231">
        <v>24</v>
      </c>
      <c r="I20" s="229">
        <v>0</v>
      </c>
      <c r="J20" s="229">
        <v>0</v>
      </c>
      <c r="K20" s="229">
        <v>0</v>
      </c>
      <c r="L20" s="229">
        <v>0</v>
      </c>
      <c r="M20" s="135">
        <f t="shared" si="0"/>
        <v>43</v>
      </c>
      <c r="N20" s="136">
        <f t="shared" si="1"/>
        <v>0</v>
      </c>
      <c r="O20" s="136">
        <f t="shared" si="2"/>
        <v>0</v>
      </c>
      <c r="P20" s="136">
        <f t="shared" si="3"/>
        <v>0</v>
      </c>
      <c r="Q20" s="136">
        <f t="shared" si="4"/>
        <v>0</v>
      </c>
    </row>
    <row r="21" spans="1:17">
      <c r="A21" s="382" t="s">
        <v>277</v>
      </c>
      <c r="B21" s="118" t="s">
        <v>278</v>
      </c>
      <c r="C21" s="231">
        <v>4</v>
      </c>
      <c r="D21" s="229">
        <v>0.11905514705882353</v>
      </c>
      <c r="E21" s="229">
        <v>5.4376523265463064E-2</v>
      </c>
      <c r="F21" s="229">
        <v>0.17343167032428658</v>
      </c>
      <c r="G21" s="229">
        <v>6.4678623793360465E-2</v>
      </c>
      <c r="H21" s="231">
        <v>8</v>
      </c>
      <c r="I21" s="229">
        <v>9.1012499999999996E-2</v>
      </c>
      <c r="J21" s="229">
        <v>3.1968754276637076E-2</v>
      </c>
      <c r="K21" s="229">
        <v>0.12298125427663707</v>
      </c>
      <c r="L21" s="229">
        <v>5.904374572336292E-2</v>
      </c>
      <c r="M21" s="135">
        <f t="shared" si="0"/>
        <v>12</v>
      </c>
      <c r="N21" s="136">
        <f t="shared" si="1"/>
        <v>0.10036004901960784</v>
      </c>
      <c r="O21" s="136">
        <f t="shared" si="2"/>
        <v>4.317263877105007E-2</v>
      </c>
      <c r="P21" s="136">
        <f t="shared" si="3"/>
        <v>0.17343167032428658</v>
      </c>
      <c r="Q21" s="136">
        <f t="shared" si="4"/>
        <v>5.904374572336292E-2</v>
      </c>
    </row>
    <row r="22" spans="1:17">
      <c r="A22" s="382"/>
      <c r="B22" s="118" t="s">
        <v>279</v>
      </c>
      <c r="C22" s="231">
        <v>7</v>
      </c>
      <c r="D22" s="229">
        <v>7.0403257843285064E-2</v>
      </c>
      <c r="E22" s="229">
        <v>0.14556288600480741</v>
      </c>
      <c r="F22" s="229">
        <v>0.21596614384809248</v>
      </c>
      <c r="G22" s="229">
        <v>0</v>
      </c>
      <c r="H22" s="231">
        <v>12</v>
      </c>
      <c r="I22" s="229">
        <v>9.7538303731240547E-2</v>
      </c>
      <c r="J22" s="229">
        <v>0.16730103573785596</v>
      </c>
      <c r="K22" s="229">
        <v>0.26483933946909649</v>
      </c>
      <c r="L22" s="229">
        <v>0</v>
      </c>
      <c r="M22" s="135">
        <f t="shared" si="0"/>
        <v>19</v>
      </c>
      <c r="N22" s="136">
        <f t="shared" si="1"/>
        <v>8.7541181561993794E-2</v>
      </c>
      <c r="O22" s="136">
        <f t="shared" si="2"/>
        <v>0.15643196087133168</v>
      </c>
      <c r="P22" s="136">
        <f t="shared" si="3"/>
        <v>0.26483933946909649</v>
      </c>
      <c r="Q22" s="136">
        <f t="shared" si="4"/>
        <v>0</v>
      </c>
    </row>
    <row r="23" spans="1:17">
      <c r="A23" s="382"/>
      <c r="B23" s="118" t="s">
        <v>280</v>
      </c>
      <c r="C23" s="231">
        <v>8</v>
      </c>
      <c r="D23" s="229">
        <v>20.949796581865883</v>
      </c>
      <c r="E23" s="229">
        <v>5.5642718579015957</v>
      </c>
      <c r="F23" s="229">
        <v>26.514068439767478</v>
      </c>
      <c r="G23" s="229">
        <v>15.385524723964288</v>
      </c>
      <c r="H23" s="231">
        <v>20</v>
      </c>
      <c r="I23" s="229">
        <v>18.918552501305061</v>
      </c>
      <c r="J23" s="229">
        <v>8.1015953700674768</v>
      </c>
      <c r="K23" s="229">
        <v>27.020147871372536</v>
      </c>
      <c r="L23" s="229">
        <v>10.816957131237585</v>
      </c>
      <c r="M23" s="135">
        <f t="shared" si="0"/>
        <v>28</v>
      </c>
      <c r="N23" s="136">
        <f t="shared" si="1"/>
        <v>19.498907952893866</v>
      </c>
      <c r="O23" s="136">
        <f t="shared" si="2"/>
        <v>6.8329336139845367</v>
      </c>
      <c r="P23" s="136">
        <f t="shared" si="3"/>
        <v>27.020147871372536</v>
      </c>
      <c r="Q23" s="136">
        <f t="shared" si="4"/>
        <v>10.816957131237585</v>
      </c>
    </row>
    <row r="24" spans="1:17">
      <c r="A24" s="382"/>
      <c r="B24" s="118" t="s">
        <v>281</v>
      </c>
      <c r="C24" s="231">
        <v>3</v>
      </c>
      <c r="D24" s="230">
        <v>0.76569999999999994</v>
      </c>
      <c r="E24" s="230">
        <v>0.18278613185906648</v>
      </c>
      <c r="F24" s="230">
        <v>0.94848613185906638</v>
      </c>
      <c r="G24" s="230">
        <v>0.58291386814093349</v>
      </c>
      <c r="H24" s="231">
        <v>13</v>
      </c>
      <c r="I24" s="230">
        <v>0.70964615384615393</v>
      </c>
      <c r="J24" s="230">
        <v>0.10994186050957833</v>
      </c>
      <c r="K24" s="230">
        <v>0.81958801435573225</v>
      </c>
      <c r="L24" s="230">
        <v>0.5997042933365756</v>
      </c>
      <c r="M24" s="135">
        <f t="shared" si="0"/>
        <v>16</v>
      </c>
      <c r="N24" s="230">
        <f t="shared" si="1"/>
        <v>0.72015625000000005</v>
      </c>
      <c r="O24" s="230">
        <f t="shared" si="2"/>
        <v>0.14636399618432239</v>
      </c>
      <c r="P24" s="230">
        <f t="shared" si="3"/>
        <v>0.94848613185906638</v>
      </c>
      <c r="Q24" s="230">
        <f t="shared" si="4"/>
        <v>0.58291386814093349</v>
      </c>
    </row>
    <row r="25" spans="1:17">
      <c r="A25" s="382"/>
      <c r="B25" s="118" t="s">
        <v>282</v>
      </c>
      <c r="C25" s="231">
        <v>9</v>
      </c>
      <c r="D25" s="229">
        <v>4.5664199229341396</v>
      </c>
      <c r="E25" s="229">
        <v>1.4909836507860728</v>
      </c>
      <c r="F25" s="229">
        <v>6.0574035737202125</v>
      </c>
      <c r="G25" s="229">
        <v>3.0754362721480666</v>
      </c>
      <c r="H25" s="231">
        <v>18</v>
      </c>
      <c r="I25" s="229">
        <v>3.6425610476700214</v>
      </c>
      <c r="J25" s="229">
        <v>1.885295758677149</v>
      </c>
      <c r="K25" s="229">
        <v>5.5278568063471702</v>
      </c>
      <c r="L25" s="229">
        <v>1.7572652889928724</v>
      </c>
      <c r="M25" s="135">
        <f t="shared" si="0"/>
        <v>27</v>
      </c>
      <c r="N25" s="136">
        <f t="shared" si="1"/>
        <v>3.9505140060913937</v>
      </c>
      <c r="O25" s="136">
        <f t="shared" si="2"/>
        <v>1.6881397047316109</v>
      </c>
      <c r="P25" s="136">
        <f t="shared" si="3"/>
        <v>6.0574035737202125</v>
      </c>
      <c r="Q25" s="136">
        <f t="shared" si="4"/>
        <v>1.7572652889928724</v>
      </c>
    </row>
    <row r="26" spans="1:17">
      <c r="A26" s="123" t="s">
        <v>283</v>
      </c>
      <c r="B26" s="118" t="s">
        <v>284</v>
      </c>
      <c r="C26" s="231">
        <v>3</v>
      </c>
      <c r="D26" s="229">
        <v>0.62680216802168021</v>
      </c>
      <c r="E26" s="229">
        <v>2.5354950404919228E-2</v>
      </c>
      <c r="F26" s="229">
        <v>0.70286701923643791</v>
      </c>
      <c r="G26" s="229">
        <v>0.55073731680692251</v>
      </c>
      <c r="H26" s="231">
        <v>8</v>
      </c>
      <c r="I26" s="229">
        <v>0.6046341463414634</v>
      </c>
      <c r="J26" s="229">
        <v>7.2387966901231823E-2</v>
      </c>
      <c r="K26" s="229">
        <v>0.67702211324269523</v>
      </c>
      <c r="L26" s="229">
        <v>0.53224617944023156</v>
      </c>
      <c r="M26" s="135">
        <f t="shared" si="0"/>
        <v>11</v>
      </c>
      <c r="N26" s="136">
        <f t="shared" si="1"/>
        <v>0.61067997043606792</v>
      </c>
      <c r="O26" s="136">
        <f t="shared" si="2"/>
        <v>4.8871458653075524E-2</v>
      </c>
      <c r="P26" s="136">
        <f t="shared" si="3"/>
        <v>0.70286701923643791</v>
      </c>
      <c r="Q26" s="136">
        <f t="shared" si="4"/>
        <v>0.53224617944023156</v>
      </c>
    </row>
    <row r="27" spans="1:17">
      <c r="A27" s="382" t="s">
        <v>285</v>
      </c>
      <c r="B27" s="118" t="s">
        <v>286</v>
      </c>
      <c r="C27" s="231">
        <v>0</v>
      </c>
      <c r="D27" s="229" t="s">
        <v>87</v>
      </c>
      <c r="E27" s="229" t="s">
        <v>87</v>
      </c>
      <c r="F27" s="229" t="s">
        <v>87</v>
      </c>
      <c r="G27" s="229" t="s">
        <v>87</v>
      </c>
      <c r="H27" s="231">
        <v>0</v>
      </c>
      <c r="I27" s="229" t="s">
        <v>87</v>
      </c>
      <c r="J27" s="229" t="s">
        <v>87</v>
      </c>
      <c r="K27" s="229" t="s">
        <v>87</v>
      </c>
      <c r="L27" s="229" t="s">
        <v>87</v>
      </c>
      <c r="M27" s="135">
        <f t="shared" si="0"/>
        <v>0</v>
      </c>
      <c r="N27" s="136" t="str">
        <f t="shared" si="1"/>
        <v/>
      </c>
      <c r="O27" s="136" t="str">
        <f t="shared" si="2"/>
        <v/>
      </c>
      <c r="P27" s="136">
        <f t="shared" si="3"/>
        <v>0</v>
      </c>
      <c r="Q27" s="136">
        <f t="shared" si="4"/>
        <v>0</v>
      </c>
    </row>
    <row r="28" spans="1:17">
      <c r="A28" s="382"/>
      <c r="B28" s="118" t="s">
        <v>287</v>
      </c>
      <c r="C28" s="231">
        <v>0</v>
      </c>
      <c r="D28" s="229" t="s">
        <v>87</v>
      </c>
      <c r="E28" s="229" t="s">
        <v>87</v>
      </c>
      <c r="F28" s="229" t="s">
        <v>87</v>
      </c>
      <c r="G28" s="229" t="s">
        <v>87</v>
      </c>
      <c r="H28" s="231">
        <v>0</v>
      </c>
      <c r="I28" s="229" t="s">
        <v>87</v>
      </c>
      <c r="J28" s="229" t="s">
        <v>87</v>
      </c>
      <c r="K28" s="229" t="s">
        <v>87</v>
      </c>
      <c r="L28" s="229" t="s">
        <v>87</v>
      </c>
      <c r="M28" s="135">
        <f t="shared" si="0"/>
        <v>0</v>
      </c>
      <c r="N28" s="136" t="str">
        <f t="shared" si="1"/>
        <v/>
      </c>
      <c r="O28" s="136" t="str">
        <f t="shared" si="2"/>
        <v/>
      </c>
      <c r="P28" s="136">
        <f t="shared" si="3"/>
        <v>0</v>
      </c>
      <c r="Q28" s="136">
        <f t="shared" si="4"/>
        <v>0</v>
      </c>
    </row>
    <row r="29" spans="1:17">
      <c r="A29" s="382" t="s">
        <v>288</v>
      </c>
      <c r="B29" s="118" t="s">
        <v>289</v>
      </c>
      <c r="C29" s="231">
        <v>18</v>
      </c>
      <c r="D29" s="229">
        <v>0</v>
      </c>
      <c r="E29" s="229">
        <v>0</v>
      </c>
      <c r="F29" s="229">
        <v>0</v>
      </c>
      <c r="G29" s="229">
        <v>0</v>
      </c>
      <c r="H29" s="231">
        <v>23</v>
      </c>
      <c r="I29" s="229">
        <v>0.35652173913043478</v>
      </c>
      <c r="J29" s="229">
        <v>0.63448338824627581</v>
      </c>
      <c r="K29" s="229">
        <v>0.99100512737671065</v>
      </c>
      <c r="L29" s="229">
        <v>0</v>
      </c>
      <c r="M29" s="135">
        <f t="shared" si="0"/>
        <v>41</v>
      </c>
      <c r="N29" s="136">
        <f t="shared" si="1"/>
        <v>0.19999999999999998</v>
      </c>
      <c r="O29" s="136">
        <f t="shared" si="2"/>
        <v>0.31724169412313791</v>
      </c>
      <c r="P29" s="136">
        <f t="shared" si="3"/>
        <v>0.99100512737671065</v>
      </c>
      <c r="Q29" s="136">
        <f t="shared" si="4"/>
        <v>0</v>
      </c>
    </row>
    <row r="30" spans="1:17">
      <c r="A30" s="382"/>
      <c r="B30" s="118" t="s">
        <v>290</v>
      </c>
      <c r="C30" s="231">
        <v>19</v>
      </c>
      <c r="D30" s="229">
        <v>0</v>
      </c>
      <c r="E30" s="229">
        <v>0</v>
      </c>
      <c r="F30" s="229">
        <v>0</v>
      </c>
      <c r="G30" s="229">
        <v>0</v>
      </c>
      <c r="H30" s="231">
        <v>24</v>
      </c>
      <c r="I30" s="229">
        <v>0</v>
      </c>
      <c r="J30" s="229">
        <v>0</v>
      </c>
      <c r="K30" s="229">
        <v>0</v>
      </c>
      <c r="L30" s="229">
        <v>0</v>
      </c>
      <c r="M30" s="135">
        <f t="shared" si="0"/>
        <v>43</v>
      </c>
      <c r="N30" s="136">
        <f t="shared" si="1"/>
        <v>0</v>
      </c>
      <c r="O30" s="136">
        <f t="shared" si="2"/>
        <v>0</v>
      </c>
      <c r="P30" s="136">
        <f t="shared" si="3"/>
        <v>0</v>
      </c>
      <c r="Q30" s="136">
        <f t="shared" si="4"/>
        <v>0</v>
      </c>
    </row>
    <row r="31" spans="1:17">
      <c r="A31" s="384" t="s">
        <v>291</v>
      </c>
      <c r="B31" s="118" t="s">
        <v>292</v>
      </c>
      <c r="C31" s="231">
        <v>10</v>
      </c>
      <c r="D31" s="230">
        <v>0.97399999999999998</v>
      </c>
      <c r="E31" s="230">
        <v>5.3582750126426985E-2</v>
      </c>
      <c r="F31" s="230">
        <v>1</v>
      </c>
      <c r="G31" s="230">
        <v>0.813251749620719</v>
      </c>
      <c r="H31" s="231">
        <v>20</v>
      </c>
      <c r="I31" s="230">
        <v>0.94589999999999996</v>
      </c>
      <c r="J31" s="230">
        <v>6.2216853360687281E-2</v>
      </c>
      <c r="K31" s="230">
        <v>1</v>
      </c>
      <c r="L31" s="230">
        <v>0.75924943991793814</v>
      </c>
      <c r="M31" s="135">
        <f t="shared" si="0"/>
        <v>30</v>
      </c>
      <c r="N31" s="230">
        <f t="shared" si="1"/>
        <v>0.95526666666666671</v>
      </c>
      <c r="O31" s="230">
        <f t="shared" si="2"/>
        <v>5.7899801743557133E-2</v>
      </c>
      <c r="P31" s="230">
        <f t="shared" si="3"/>
        <v>1</v>
      </c>
      <c r="Q31" s="230">
        <f t="shared" si="4"/>
        <v>0.75924943991793814</v>
      </c>
    </row>
    <row r="32" spans="1:17">
      <c r="A32" s="385"/>
      <c r="B32" s="118" t="s">
        <v>293</v>
      </c>
      <c r="C32" s="231">
        <v>5</v>
      </c>
      <c r="D32" s="229">
        <v>3.95</v>
      </c>
      <c r="E32" s="229">
        <v>0.71589105316381718</v>
      </c>
      <c r="F32" s="229">
        <v>4.6658910531638176</v>
      </c>
      <c r="G32" s="229">
        <v>3.2341089468361828</v>
      </c>
      <c r="H32" s="231">
        <v>6</v>
      </c>
      <c r="I32" s="229">
        <v>3.8833333333333333</v>
      </c>
      <c r="J32" s="229">
        <v>0.49159604012508656</v>
      </c>
      <c r="K32" s="229">
        <v>4.3749293734584196</v>
      </c>
      <c r="L32" s="229">
        <v>3.3917372932082466</v>
      </c>
      <c r="M32" s="135">
        <f t="shared" si="0"/>
        <v>11</v>
      </c>
      <c r="N32" s="136">
        <f t="shared" si="1"/>
        <v>3.9136363636363636</v>
      </c>
      <c r="O32" s="136">
        <f t="shared" si="2"/>
        <v>0.60374354664445185</v>
      </c>
      <c r="P32" s="136">
        <f t="shared" si="3"/>
        <v>4.6658910531638176</v>
      </c>
      <c r="Q32" s="136">
        <f t="shared" si="4"/>
        <v>3.2341089468361828</v>
      </c>
    </row>
    <row r="33" spans="1:17">
      <c r="A33" s="385"/>
      <c r="B33" s="118" t="s">
        <v>294</v>
      </c>
      <c r="C33" s="231">
        <v>10</v>
      </c>
      <c r="D33" s="229">
        <v>30.931999999999999</v>
      </c>
      <c r="E33" s="229">
        <v>17.346713297400811</v>
      </c>
      <c r="F33" s="229">
        <v>48.278713297400813</v>
      </c>
      <c r="G33" s="229">
        <v>13.585286702599188</v>
      </c>
      <c r="H33" s="231">
        <v>9</v>
      </c>
      <c r="I33" s="233">
        <v>29.495555555555555</v>
      </c>
      <c r="J33" s="229">
        <v>13.597101815378821</v>
      </c>
      <c r="K33" s="229">
        <v>43.092657370934376</v>
      </c>
      <c r="L33" s="229">
        <v>15.898453740176734</v>
      </c>
      <c r="M33" s="135">
        <f t="shared" si="0"/>
        <v>19</v>
      </c>
      <c r="N33" s="136">
        <f t="shared" si="1"/>
        <v>30.251578947368419</v>
      </c>
      <c r="O33" s="136">
        <f t="shared" si="2"/>
        <v>15.471907556389816</v>
      </c>
      <c r="P33" s="136">
        <f t="shared" si="3"/>
        <v>48.278713297400813</v>
      </c>
      <c r="Q33" s="136">
        <f t="shared" si="4"/>
        <v>13.585286702599188</v>
      </c>
    </row>
    <row r="34" spans="1:17">
      <c r="A34" s="385"/>
      <c r="B34" s="118" t="s">
        <v>295</v>
      </c>
      <c r="C34" s="231">
        <v>0</v>
      </c>
      <c r="D34" s="229" t="s">
        <v>87</v>
      </c>
      <c r="E34" s="229" t="s">
        <v>87</v>
      </c>
      <c r="F34" s="229" t="s">
        <v>87</v>
      </c>
      <c r="G34" s="229" t="s">
        <v>87</v>
      </c>
      <c r="H34" s="231">
        <v>3</v>
      </c>
      <c r="I34" s="229">
        <v>1.6666666666666667</v>
      </c>
      <c r="J34" s="229">
        <v>0.28867513459481237</v>
      </c>
      <c r="K34" s="229">
        <v>1.9553418012614792</v>
      </c>
      <c r="L34" s="229">
        <v>1.3779915320718543</v>
      </c>
      <c r="M34" s="231">
        <v>3</v>
      </c>
      <c r="N34" s="229">
        <v>1.6666666666666667</v>
      </c>
      <c r="O34" s="229">
        <v>0.28867513459481237</v>
      </c>
      <c r="P34" s="229">
        <v>1.9553418012614792</v>
      </c>
      <c r="Q34" s="229">
        <v>1.3779915320718543</v>
      </c>
    </row>
    <row r="35" spans="1:17">
      <c r="A35" s="386"/>
      <c r="B35" s="118" t="s">
        <v>296</v>
      </c>
      <c r="C35" s="231">
        <v>7</v>
      </c>
      <c r="D35" s="229">
        <v>2</v>
      </c>
      <c r="E35" s="229">
        <v>0.57735026918962573</v>
      </c>
      <c r="F35" s="229">
        <v>2.5773502691896257</v>
      </c>
      <c r="G35" s="229">
        <v>1.4226497308103743</v>
      </c>
      <c r="H35" s="231">
        <v>6</v>
      </c>
      <c r="I35" s="229">
        <v>1.75</v>
      </c>
      <c r="J35" s="229">
        <v>0.27386127875258304</v>
      </c>
      <c r="K35" s="229">
        <v>2.0238612787525829</v>
      </c>
      <c r="L35" s="229">
        <v>1.4761387212474171</v>
      </c>
      <c r="M35" s="135">
        <f t="shared" si="0"/>
        <v>13</v>
      </c>
      <c r="N35" s="136">
        <f t="shared" si="1"/>
        <v>1.8846153846153846</v>
      </c>
      <c r="O35" s="136">
        <f t="shared" si="2"/>
        <v>0.42560577397110438</v>
      </c>
      <c r="P35" s="136">
        <f t="shared" si="3"/>
        <v>2.5773502691896257</v>
      </c>
      <c r="Q35" s="136">
        <f t="shared" si="4"/>
        <v>1.4226497308103743</v>
      </c>
    </row>
    <row r="36" spans="1:17">
      <c r="A36" s="386"/>
      <c r="B36" s="118" t="s">
        <v>297</v>
      </c>
      <c r="C36" s="231">
        <v>0</v>
      </c>
      <c r="D36" s="229" t="s">
        <v>87</v>
      </c>
      <c r="E36" s="229" t="s">
        <v>87</v>
      </c>
      <c r="F36" s="229" t="s">
        <v>87</v>
      </c>
      <c r="G36" s="229" t="s">
        <v>87</v>
      </c>
      <c r="H36" s="231">
        <v>2</v>
      </c>
      <c r="I36" s="229">
        <v>2</v>
      </c>
      <c r="J36" s="229">
        <v>0</v>
      </c>
      <c r="K36" s="229">
        <v>2</v>
      </c>
      <c r="L36" s="229">
        <v>2</v>
      </c>
      <c r="M36" s="231">
        <v>2</v>
      </c>
      <c r="N36" s="229">
        <v>2</v>
      </c>
      <c r="O36" s="229">
        <v>0</v>
      </c>
      <c r="P36" s="229">
        <v>2</v>
      </c>
      <c r="Q36" s="229">
        <v>2</v>
      </c>
    </row>
    <row r="37" spans="1:17">
      <c r="A37" s="387"/>
      <c r="B37" s="118" t="s">
        <v>298</v>
      </c>
      <c r="C37" s="231">
        <v>0</v>
      </c>
      <c r="D37" s="229" t="s">
        <v>87</v>
      </c>
      <c r="E37" s="229" t="s">
        <v>87</v>
      </c>
      <c r="F37" s="229" t="s">
        <v>87</v>
      </c>
      <c r="G37" s="229" t="s">
        <v>87</v>
      </c>
      <c r="H37" s="231">
        <v>5</v>
      </c>
      <c r="I37" s="229">
        <v>2.9</v>
      </c>
      <c r="J37" s="229">
        <v>0.54772255750516674</v>
      </c>
      <c r="K37" s="229">
        <v>3.4477225575051667</v>
      </c>
      <c r="L37" s="229">
        <v>2.3522774424948332</v>
      </c>
      <c r="M37" s="231">
        <v>5</v>
      </c>
      <c r="N37" s="229">
        <v>2.9</v>
      </c>
      <c r="O37" s="229">
        <v>0.54772255750516674</v>
      </c>
      <c r="P37" s="229">
        <v>3.4477225575051667</v>
      </c>
      <c r="Q37" s="229">
        <v>2.3522774424948332</v>
      </c>
    </row>
    <row r="38" spans="1:17">
      <c r="A38" s="363" t="s">
        <v>299</v>
      </c>
      <c r="B38" s="118" t="s">
        <v>300</v>
      </c>
      <c r="C38" s="231">
        <v>17</v>
      </c>
      <c r="D38" s="229">
        <v>0</v>
      </c>
      <c r="E38" s="229">
        <v>0</v>
      </c>
      <c r="F38" s="229">
        <v>0</v>
      </c>
      <c r="G38" s="229">
        <v>0</v>
      </c>
      <c r="H38" s="231">
        <v>24</v>
      </c>
      <c r="I38" s="229">
        <v>0</v>
      </c>
      <c r="J38" s="229">
        <v>0</v>
      </c>
      <c r="K38" s="229">
        <v>0</v>
      </c>
      <c r="L38" s="229">
        <v>0</v>
      </c>
      <c r="M38" s="135">
        <f t="shared" si="0"/>
        <v>41</v>
      </c>
      <c r="N38" s="136">
        <f t="shared" si="1"/>
        <v>0</v>
      </c>
      <c r="O38" s="136">
        <f t="shared" si="2"/>
        <v>0</v>
      </c>
      <c r="P38" s="136">
        <f t="shared" si="3"/>
        <v>0</v>
      </c>
      <c r="Q38" s="136">
        <f t="shared" si="4"/>
        <v>0</v>
      </c>
    </row>
    <row r="39" spans="1:17">
      <c r="A39" s="363"/>
      <c r="B39" s="118" t="s">
        <v>301</v>
      </c>
      <c r="C39" s="231">
        <v>9</v>
      </c>
      <c r="D39" s="229">
        <v>2.7688888888888887</v>
      </c>
      <c r="E39" s="229">
        <v>0.67563755898492883</v>
      </c>
      <c r="F39" s="229">
        <v>3.4445264478738178</v>
      </c>
      <c r="G39" s="229">
        <v>2.0932513299039597</v>
      </c>
      <c r="H39" s="231">
        <v>19</v>
      </c>
      <c r="I39" s="229">
        <v>2.5373684210526313</v>
      </c>
      <c r="J39" s="229">
        <v>0.93013644223285485</v>
      </c>
      <c r="K39" s="229">
        <v>3.4675048632854861</v>
      </c>
      <c r="L39" s="229">
        <v>1.6072319788197764</v>
      </c>
      <c r="M39" s="135">
        <f t="shared" si="0"/>
        <v>28</v>
      </c>
      <c r="N39" s="136">
        <f t="shared" si="1"/>
        <v>2.6117857142857139</v>
      </c>
      <c r="O39" s="136">
        <f t="shared" si="2"/>
        <v>0.80288700060889184</v>
      </c>
      <c r="P39" s="136">
        <f t="shared" si="3"/>
        <v>3.4675048632854861</v>
      </c>
      <c r="Q39" s="136">
        <f t="shared" si="4"/>
        <v>1.6072319788197764</v>
      </c>
    </row>
    <row r="40" spans="1:17">
      <c r="A40" s="363"/>
      <c r="B40" s="118" t="s">
        <v>302</v>
      </c>
      <c r="C40" s="231">
        <v>12</v>
      </c>
      <c r="D40" s="230">
        <v>4.2525E-2</v>
      </c>
      <c r="E40" s="230">
        <v>4.807593425556549E-3</v>
      </c>
      <c r="F40" s="230">
        <v>4.7332593425556548E-2</v>
      </c>
      <c r="G40" s="230">
        <v>3.7717406574443453E-2</v>
      </c>
      <c r="H40" s="231">
        <v>15</v>
      </c>
      <c r="I40" s="230">
        <v>4.1259999999999991E-2</v>
      </c>
      <c r="J40" s="230">
        <v>6.7326284402368843E-3</v>
      </c>
      <c r="K40" s="230">
        <v>4.7992628440236877E-2</v>
      </c>
      <c r="L40" s="230">
        <v>3.4527371559763105E-2</v>
      </c>
      <c r="M40" s="135">
        <f t="shared" si="0"/>
        <v>27</v>
      </c>
      <c r="N40" s="230">
        <f t="shared" si="1"/>
        <v>4.1822222222222219E-2</v>
      </c>
      <c r="O40" s="230">
        <f t="shared" si="2"/>
        <v>5.7701109328967166E-3</v>
      </c>
      <c r="P40" s="230">
        <f t="shared" si="3"/>
        <v>4.7992628440236877E-2</v>
      </c>
      <c r="Q40" s="230">
        <f t="shared" si="4"/>
        <v>3.4527371559763105E-2</v>
      </c>
    </row>
    <row r="41" spans="1:17">
      <c r="A41" s="363"/>
      <c r="B41" s="120" t="s">
        <v>303</v>
      </c>
      <c r="C41" s="231">
        <v>15</v>
      </c>
      <c r="D41" s="229">
        <v>0</v>
      </c>
      <c r="E41" s="229">
        <v>0</v>
      </c>
      <c r="F41" s="229">
        <v>0</v>
      </c>
      <c r="G41" s="229">
        <v>0</v>
      </c>
      <c r="H41" s="231">
        <v>19</v>
      </c>
      <c r="I41" s="229">
        <v>0</v>
      </c>
      <c r="J41" s="229">
        <v>0</v>
      </c>
      <c r="K41" s="229">
        <v>0</v>
      </c>
      <c r="L41" s="229">
        <v>0</v>
      </c>
      <c r="M41" s="135">
        <f t="shared" si="0"/>
        <v>34</v>
      </c>
      <c r="N41" s="136">
        <f t="shared" si="1"/>
        <v>0</v>
      </c>
      <c r="O41" s="136">
        <f t="shared" si="2"/>
        <v>0</v>
      </c>
      <c r="P41" s="136">
        <f t="shared" si="3"/>
        <v>0</v>
      </c>
      <c r="Q41" s="136">
        <f t="shared" si="4"/>
        <v>0</v>
      </c>
    </row>
    <row r="42" spans="1:17">
      <c r="A42" s="363"/>
      <c r="B42" s="120" t="s">
        <v>304</v>
      </c>
      <c r="C42" s="231">
        <v>13</v>
      </c>
      <c r="D42" s="229">
        <v>0</v>
      </c>
      <c r="E42" s="229">
        <v>0</v>
      </c>
      <c r="F42" s="229">
        <v>0</v>
      </c>
      <c r="G42" s="229">
        <v>0</v>
      </c>
      <c r="H42" s="231">
        <v>21</v>
      </c>
      <c r="I42" s="229">
        <v>0</v>
      </c>
      <c r="J42" s="229">
        <v>0</v>
      </c>
      <c r="K42" s="229">
        <v>0</v>
      </c>
      <c r="L42" s="229">
        <v>0</v>
      </c>
      <c r="M42" s="135">
        <f t="shared" si="0"/>
        <v>34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3"/>
      <c r="B43" s="120" t="s">
        <v>379</v>
      </c>
      <c r="C43" s="231">
        <v>0</v>
      </c>
      <c r="D43" s="229" t="s">
        <v>87</v>
      </c>
      <c r="E43" s="229" t="s">
        <v>87</v>
      </c>
      <c r="F43" s="229" t="s">
        <v>87</v>
      </c>
      <c r="G43" s="229" t="s">
        <v>87</v>
      </c>
      <c r="H43" s="231">
        <v>5</v>
      </c>
      <c r="I43" s="229">
        <v>59.070000000000007</v>
      </c>
      <c r="J43" s="229">
        <v>9.6776107588598439</v>
      </c>
      <c r="K43" s="229">
        <v>68.74761075885985</v>
      </c>
      <c r="L43" s="229">
        <v>49.392389241140165</v>
      </c>
      <c r="M43" s="231">
        <v>5</v>
      </c>
      <c r="N43" s="229">
        <v>59.070000000000007</v>
      </c>
      <c r="O43" s="229">
        <v>9.6776107588598439</v>
      </c>
      <c r="P43" s="229">
        <v>68.74761075885985</v>
      </c>
      <c r="Q43" s="229">
        <v>49.392389241140165</v>
      </c>
    </row>
  </sheetData>
  <mergeCells count="12">
    <mergeCell ref="M1:Q1"/>
    <mergeCell ref="A27:A28"/>
    <mergeCell ref="A29:A30"/>
    <mergeCell ref="A38:A43"/>
    <mergeCell ref="H1:L1"/>
    <mergeCell ref="A1:B2"/>
    <mergeCell ref="C1:G1"/>
    <mergeCell ref="A3:A13"/>
    <mergeCell ref="A14:A16"/>
    <mergeCell ref="A17:A20"/>
    <mergeCell ref="A21:A25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workbookViewId="0">
      <selection activeCell="M5" sqref="M5:M6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 ht="16.5">
      <c r="A3" s="351" t="s">
        <v>258</v>
      </c>
      <c r="B3" s="117" t="s">
        <v>259</v>
      </c>
      <c r="C3" s="243">
        <v>74</v>
      </c>
      <c r="D3" s="244">
        <v>34.566486486486475</v>
      </c>
      <c r="E3" s="244">
        <v>6.1648343048832439</v>
      </c>
      <c r="F3" s="244">
        <v>40.731320791369718</v>
      </c>
      <c r="G3" s="244">
        <v>28.401652181603232</v>
      </c>
      <c r="H3" s="231"/>
      <c r="I3" s="229"/>
      <c r="J3" s="229"/>
      <c r="K3" s="229"/>
      <c r="L3" s="229"/>
      <c r="M3" s="236">
        <v>128</v>
      </c>
      <c r="N3" s="237">
        <v>36.345468749999981</v>
      </c>
      <c r="O3" s="237">
        <v>7.7363716962565467</v>
      </c>
      <c r="P3" s="237">
        <v>44.081840446256528</v>
      </c>
      <c r="Q3" s="237">
        <v>28.609097053743433</v>
      </c>
    </row>
    <row r="4" spans="1:17" ht="16.5">
      <c r="A4" s="351"/>
      <c r="B4" s="118" t="s">
        <v>333</v>
      </c>
      <c r="C4" s="243">
        <v>40</v>
      </c>
      <c r="D4" s="244">
        <v>44.479249999999993</v>
      </c>
      <c r="E4" s="244">
        <v>6.9618227746873274</v>
      </c>
      <c r="F4" s="244">
        <v>51.441072774687321</v>
      </c>
      <c r="G4" s="244">
        <v>37.517427225312666</v>
      </c>
      <c r="H4" s="231"/>
      <c r="I4" s="229"/>
      <c r="J4" s="229"/>
      <c r="K4" s="229"/>
      <c r="L4" s="229"/>
      <c r="M4" s="236">
        <v>59</v>
      </c>
      <c r="N4" s="237">
        <v>46.136949152542378</v>
      </c>
      <c r="O4" s="237">
        <v>9.0956981598232165</v>
      </c>
      <c r="P4" s="237">
        <v>55.232647312365593</v>
      </c>
      <c r="Q4" s="237">
        <v>37.041250992719164</v>
      </c>
    </row>
    <row r="5" spans="1:17" ht="16.5">
      <c r="A5" s="351"/>
      <c r="B5" s="118" t="s">
        <v>263</v>
      </c>
      <c r="C5" s="243">
        <v>0</v>
      </c>
      <c r="D5" s="244" t="s">
        <v>87</v>
      </c>
      <c r="E5" s="244" t="s">
        <v>87</v>
      </c>
      <c r="F5" s="244" t="s">
        <v>87</v>
      </c>
      <c r="G5" s="244" t="s">
        <v>87</v>
      </c>
      <c r="H5" s="231"/>
      <c r="I5" s="229"/>
      <c r="J5" s="229"/>
      <c r="K5" s="229"/>
      <c r="L5" s="229"/>
      <c r="M5" s="238">
        <v>0</v>
      </c>
      <c r="N5" s="239" t="s">
        <v>87</v>
      </c>
      <c r="O5" s="239" t="s">
        <v>87</v>
      </c>
      <c r="P5" s="239" t="s">
        <v>87</v>
      </c>
      <c r="Q5" s="239" t="s">
        <v>87</v>
      </c>
    </row>
    <row r="6" spans="1:17" ht="16.5">
      <c r="A6" s="351"/>
      <c r="B6" s="118" t="s">
        <v>257</v>
      </c>
      <c r="C6" s="243">
        <v>0</v>
      </c>
      <c r="D6" s="244" t="s">
        <v>87</v>
      </c>
      <c r="E6" s="244" t="s">
        <v>87</v>
      </c>
      <c r="F6" s="244" t="s">
        <v>87</v>
      </c>
      <c r="G6" s="244" t="s">
        <v>87</v>
      </c>
      <c r="H6" s="231"/>
      <c r="I6" s="229"/>
      <c r="J6" s="229"/>
      <c r="K6" s="229"/>
      <c r="L6" s="229"/>
      <c r="M6" s="238">
        <v>0</v>
      </c>
      <c r="N6" s="239" t="s">
        <v>87</v>
      </c>
      <c r="O6" s="239" t="s">
        <v>87</v>
      </c>
      <c r="P6" s="239" t="s">
        <v>87</v>
      </c>
      <c r="Q6" s="239" t="s">
        <v>87</v>
      </c>
    </row>
    <row r="7" spans="1:17" ht="16.5">
      <c r="A7" s="351"/>
      <c r="B7" s="118" t="s">
        <v>329</v>
      </c>
      <c r="C7" s="243">
        <v>38</v>
      </c>
      <c r="D7" s="244">
        <v>15.201578947368423</v>
      </c>
      <c r="E7" s="244">
        <v>2.0866558352253155</v>
      </c>
      <c r="F7" s="244">
        <v>17.28823478259374</v>
      </c>
      <c r="G7" s="244">
        <v>13.114923112143108</v>
      </c>
      <c r="H7" s="231"/>
      <c r="I7" s="229"/>
      <c r="J7" s="229"/>
      <c r="K7" s="229"/>
      <c r="L7" s="229"/>
      <c r="M7" s="238">
        <v>38</v>
      </c>
      <c r="N7" s="239">
        <v>15.201578947368423</v>
      </c>
      <c r="O7" s="239">
        <v>2.0866558352253155</v>
      </c>
      <c r="P7" s="239">
        <v>17.28823478259374</v>
      </c>
      <c r="Q7" s="239">
        <v>13.114923112143108</v>
      </c>
    </row>
    <row r="8" spans="1:17" ht="16.5">
      <c r="A8" s="351"/>
      <c r="B8" s="118" t="s">
        <v>264</v>
      </c>
      <c r="C8" s="243">
        <v>59</v>
      </c>
      <c r="D8" s="244">
        <v>19.842542372881361</v>
      </c>
      <c r="E8" s="244">
        <v>11.449333905217957</v>
      </c>
      <c r="F8" s="244">
        <v>31.291876278099316</v>
      </c>
      <c r="G8" s="244">
        <v>8.3932084676634044</v>
      </c>
      <c r="H8" s="231"/>
      <c r="I8" s="229"/>
      <c r="J8" s="229"/>
      <c r="K8" s="229"/>
      <c r="L8" s="229"/>
      <c r="M8" s="236">
        <v>65</v>
      </c>
      <c r="N8" s="237">
        <v>18.751230769230773</v>
      </c>
      <c r="O8" s="237">
        <v>11.435855278969667</v>
      </c>
      <c r="P8" s="237">
        <v>30.187086048200442</v>
      </c>
      <c r="Q8" s="237">
        <v>7.3153754902611059</v>
      </c>
    </row>
    <row r="9" spans="1:17" ht="16.5">
      <c r="A9" s="351"/>
      <c r="B9" s="118" t="s">
        <v>265</v>
      </c>
      <c r="C9" s="243">
        <v>0</v>
      </c>
      <c r="D9" s="244" t="s">
        <v>87</v>
      </c>
      <c r="E9" s="244" t="s">
        <v>87</v>
      </c>
      <c r="F9" s="244" t="s">
        <v>87</v>
      </c>
      <c r="G9" s="244" t="s">
        <v>87</v>
      </c>
      <c r="H9" s="231"/>
      <c r="I9" s="229"/>
      <c r="J9" s="229"/>
      <c r="K9" s="229"/>
      <c r="L9" s="229"/>
      <c r="M9" s="238">
        <v>0</v>
      </c>
      <c r="N9" s="239" t="s">
        <v>87</v>
      </c>
      <c r="O9" s="239" t="s">
        <v>87</v>
      </c>
      <c r="P9" s="239" t="s">
        <v>87</v>
      </c>
      <c r="Q9" s="239" t="s">
        <v>87</v>
      </c>
    </row>
    <row r="10" spans="1:17" ht="16.5">
      <c r="A10" s="351"/>
      <c r="B10" s="118" t="s">
        <v>266</v>
      </c>
      <c r="C10" s="243">
        <v>1</v>
      </c>
      <c r="D10" s="244">
        <v>3.7599344618101798</v>
      </c>
      <c r="E10" s="244" t="s">
        <v>87</v>
      </c>
      <c r="F10" s="244" t="s">
        <v>87</v>
      </c>
      <c r="G10" s="244" t="s">
        <v>87</v>
      </c>
      <c r="H10" s="231"/>
      <c r="I10" s="229"/>
      <c r="J10" s="229"/>
      <c r="K10" s="229"/>
      <c r="L10" s="229"/>
      <c r="M10" s="236">
        <v>2</v>
      </c>
      <c r="N10" s="237">
        <v>3.8249672309050897</v>
      </c>
      <c r="O10" s="237">
        <v>9.1970224052699834E-2</v>
      </c>
      <c r="P10" s="237">
        <v>4.1008779030631892</v>
      </c>
      <c r="Q10" s="237">
        <v>3.5490565587469902</v>
      </c>
    </row>
    <row r="11" spans="1:17" ht="16.5">
      <c r="A11" s="351"/>
      <c r="B11" s="118" t="s">
        <v>267</v>
      </c>
      <c r="C11" s="243">
        <v>0</v>
      </c>
      <c r="D11" s="245" t="s">
        <v>87</v>
      </c>
      <c r="E11" s="245" t="s">
        <v>87</v>
      </c>
      <c r="F11" s="245" t="s">
        <v>87</v>
      </c>
      <c r="G11" s="245" t="s">
        <v>87</v>
      </c>
      <c r="H11" s="231"/>
      <c r="I11" s="232"/>
      <c r="J11" s="230"/>
      <c r="K11" s="230"/>
      <c r="L11" s="230"/>
      <c r="M11" s="236">
        <v>0</v>
      </c>
      <c r="N11" s="240" t="s">
        <v>87</v>
      </c>
      <c r="O11" s="240" t="s">
        <v>87</v>
      </c>
      <c r="P11" s="240" t="s">
        <v>87</v>
      </c>
      <c r="Q11" s="240" t="s">
        <v>87</v>
      </c>
    </row>
    <row r="12" spans="1:17" ht="16.5">
      <c r="A12" s="351"/>
      <c r="B12" s="118" t="s">
        <v>355</v>
      </c>
      <c r="C12" s="243">
        <v>122</v>
      </c>
      <c r="D12" s="246">
        <v>2.4590163934426229E-4</v>
      </c>
      <c r="E12" s="246">
        <v>2.7160723812755558E-3</v>
      </c>
      <c r="F12" s="246">
        <v>2.9619740206198179E-3</v>
      </c>
      <c r="G12" s="246">
        <v>-2.4701707419312936E-3</v>
      </c>
      <c r="H12" s="231"/>
      <c r="I12" s="230"/>
      <c r="J12" s="230"/>
      <c r="K12" s="230"/>
      <c r="L12" s="230"/>
      <c r="M12" s="236">
        <v>208</v>
      </c>
      <c r="N12" s="241">
        <v>1.4423076923076922E-4</v>
      </c>
      <c r="O12" s="241">
        <v>2.0801257358446091E-3</v>
      </c>
      <c r="P12" s="241">
        <v>2.2243565050753785E-3</v>
      </c>
      <c r="Q12" s="241">
        <v>-1.9358949666138398E-3</v>
      </c>
    </row>
    <row r="13" spans="1:17" ht="16.5">
      <c r="A13" s="351"/>
      <c r="B13" s="118" t="s">
        <v>268</v>
      </c>
      <c r="C13" s="243">
        <v>79</v>
      </c>
      <c r="D13" s="246">
        <v>7.8670886075949374E-3</v>
      </c>
      <c r="E13" s="246">
        <v>1.5522049837528378E-2</v>
      </c>
      <c r="F13" s="246">
        <v>2.3389138445123317E-2</v>
      </c>
      <c r="G13" s="246">
        <v>-7.6549612299334404E-3</v>
      </c>
      <c r="H13" s="231"/>
      <c r="I13" s="230"/>
      <c r="J13" s="230"/>
      <c r="K13" s="230"/>
      <c r="L13" s="230"/>
      <c r="M13" s="236">
        <v>79</v>
      </c>
      <c r="N13" s="241">
        <v>7.8670886075949374E-3</v>
      </c>
      <c r="O13" s="241">
        <v>1.5522049837528378E-2</v>
      </c>
      <c r="P13" s="241">
        <v>2.3389138445123317E-2</v>
      </c>
      <c r="Q13" s="241">
        <v>-7.6549612299334404E-3</v>
      </c>
    </row>
    <row r="14" spans="1:17" ht="16.5">
      <c r="A14" s="382" t="s">
        <v>269</v>
      </c>
      <c r="B14" s="118" t="s">
        <v>270</v>
      </c>
      <c r="C14" s="243">
        <v>59</v>
      </c>
      <c r="D14" s="246">
        <v>0.96959322033898299</v>
      </c>
      <c r="E14" s="246">
        <v>3.3359648681307613E-2</v>
      </c>
      <c r="F14" s="246">
        <v>1</v>
      </c>
      <c r="G14" s="246">
        <v>0.86951427429506012</v>
      </c>
      <c r="H14" s="231"/>
      <c r="I14" s="230"/>
      <c r="J14" s="230"/>
      <c r="K14" s="230"/>
      <c r="L14" s="230"/>
      <c r="M14" s="236">
        <v>59</v>
      </c>
      <c r="N14" s="241">
        <v>0.96959322033898299</v>
      </c>
      <c r="O14" s="241">
        <v>3.3359648681307613E-2</v>
      </c>
      <c r="P14" s="241">
        <v>1</v>
      </c>
      <c r="Q14" s="241">
        <v>0.86951427429506012</v>
      </c>
    </row>
    <row r="15" spans="1:17" ht="16.5">
      <c r="A15" s="382"/>
      <c r="B15" s="118" t="s">
        <v>271</v>
      </c>
      <c r="C15" s="243">
        <v>34</v>
      </c>
      <c r="D15" s="244">
        <v>0.47464705882352937</v>
      </c>
      <c r="E15" s="244">
        <v>0.2382378341010262</v>
      </c>
      <c r="F15" s="244">
        <v>0.71288489292455559</v>
      </c>
      <c r="G15" s="244">
        <v>0.23640922472250317</v>
      </c>
      <c r="H15" s="231"/>
      <c r="I15" s="229"/>
      <c r="J15" s="229"/>
      <c r="K15" s="229"/>
      <c r="L15" s="229"/>
      <c r="M15" s="236">
        <v>36</v>
      </c>
      <c r="N15" s="237">
        <v>0.48633333333333328</v>
      </c>
      <c r="O15" s="237">
        <v>0.23646322577275572</v>
      </c>
      <c r="P15" s="237">
        <v>0.72279655910608898</v>
      </c>
      <c r="Q15" s="237">
        <v>0.24987010756057756</v>
      </c>
    </row>
    <row r="16" spans="1:17" ht="16.5">
      <c r="A16" s="382"/>
      <c r="B16" s="118" t="s">
        <v>272</v>
      </c>
      <c r="C16" s="243">
        <v>35</v>
      </c>
      <c r="D16" s="244">
        <v>0.50880000000000003</v>
      </c>
      <c r="E16" s="244">
        <v>0.2607699910559001</v>
      </c>
      <c r="F16" s="244">
        <v>0.76956999105590018</v>
      </c>
      <c r="G16" s="244">
        <v>0.24803000894409993</v>
      </c>
      <c r="H16" s="231"/>
      <c r="I16" s="229"/>
      <c r="J16" s="229"/>
      <c r="K16" s="229"/>
      <c r="L16" s="229"/>
      <c r="M16" s="238">
        <v>63</v>
      </c>
      <c r="N16" s="239">
        <v>0.55139682539682544</v>
      </c>
      <c r="O16" s="239">
        <v>0.25957226227892333</v>
      </c>
      <c r="P16" s="239">
        <v>0.81096908767574871</v>
      </c>
      <c r="Q16" s="239">
        <v>0.29182456311790211</v>
      </c>
    </row>
    <row r="17" spans="1:17" ht="16.5">
      <c r="A17" s="382" t="s">
        <v>273</v>
      </c>
      <c r="B17" s="118" t="s">
        <v>306</v>
      </c>
      <c r="C17" s="243">
        <v>71</v>
      </c>
      <c r="D17" s="244">
        <v>7.3764788732394369</v>
      </c>
      <c r="E17" s="244">
        <v>1.7914177135853304</v>
      </c>
      <c r="F17" s="244">
        <v>9.1678965868247673</v>
      </c>
      <c r="G17" s="244">
        <v>5.5850611596541064</v>
      </c>
      <c r="H17" s="231"/>
      <c r="I17" s="229"/>
      <c r="J17" s="229"/>
      <c r="K17" s="229"/>
      <c r="L17" s="229"/>
      <c r="M17" s="236">
        <v>130</v>
      </c>
      <c r="N17" s="237">
        <v>7.5165384615384649</v>
      </c>
      <c r="O17" s="237">
        <v>2.2554284941686058</v>
      </c>
      <c r="P17" s="237">
        <v>9.7719669557070716</v>
      </c>
      <c r="Q17" s="237">
        <v>5.2611099673698591</v>
      </c>
    </row>
    <row r="18" spans="1:17" ht="16.5">
      <c r="A18" s="382"/>
      <c r="B18" s="118" t="s">
        <v>274</v>
      </c>
      <c r="C18" s="243">
        <v>19</v>
      </c>
      <c r="D18" s="244">
        <v>3.3894736842105266</v>
      </c>
      <c r="E18" s="244">
        <v>2.246128703357575</v>
      </c>
      <c r="F18" s="244">
        <v>5.6356023875681016</v>
      </c>
      <c r="G18" s="244">
        <v>1.1433449808529517</v>
      </c>
      <c r="H18" s="231"/>
      <c r="I18" s="229"/>
      <c r="J18" s="229"/>
      <c r="K18" s="229"/>
      <c r="L18" s="229"/>
      <c r="M18" s="238">
        <v>49</v>
      </c>
      <c r="N18" s="239">
        <v>4.1618367346938792</v>
      </c>
      <c r="O18" s="239">
        <v>2.1173299552634131</v>
      </c>
      <c r="P18" s="239">
        <v>6.2791666899572922</v>
      </c>
      <c r="Q18" s="239">
        <v>2.0445067794304661</v>
      </c>
    </row>
    <row r="19" spans="1:17" ht="16.5">
      <c r="A19" s="382"/>
      <c r="B19" s="118" t="s">
        <v>275</v>
      </c>
      <c r="C19" s="243">
        <v>111</v>
      </c>
      <c r="D19" s="244">
        <v>0</v>
      </c>
      <c r="E19" s="244">
        <v>0</v>
      </c>
      <c r="F19" s="244">
        <v>0</v>
      </c>
      <c r="G19" s="244">
        <v>0</v>
      </c>
      <c r="H19" s="231"/>
      <c r="I19" s="233"/>
      <c r="J19" s="229"/>
      <c r="K19" s="229"/>
      <c r="L19" s="229"/>
      <c r="M19" s="236">
        <v>158</v>
      </c>
      <c r="N19" s="237">
        <v>0</v>
      </c>
      <c r="O19" s="237">
        <v>0</v>
      </c>
      <c r="P19" s="237">
        <v>0</v>
      </c>
      <c r="Q19" s="237">
        <v>0</v>
      </c>
    </row>
    <row r="20" spans="1:17" ht="16.5">
      <c r="A20" s="382"/>
      <c r="B20" s="118" t="s">
        <v>276</v>
      </c>
      <c r="C20" s="243">
        <v>109</v>
      </c>
      <c r="D20" s="244">
        <v>0</v>
      </c>
      <c r="E20" s="244">
        <v>0</v>
      </c>
      <c r="F20" s="244">
        <v>0</v>
      </c>
      <c r="G20" s="244">
        <v>0</v>
      </c>
      <c r="H20" s="231"/>
      <c r="I20" s="229"/>
      <c r="J20" s="229"/>
      <c r="K20" s="229"/>
      <c r="L20" s="229"/>
      <c r="M20" s="236">
        <v>156</v>
      </c>
      <c r="N20" s="237">
        <v>0</v>
      </c>
      <c r="O20" s="237">
        <v>0</v>
      </c>
      <c r="P20" s="237">
        <v>0</v>
      </c>
      <c r="Q20" s="237">
        <v>0</v>
      </c>
    </row>
    <row r="21" spans="1:17" ht="16.5">
      <c r="A21" s="382" t="s">
        <v>277</v>
      </c>
      <c r="B21" s="118" t="s">
        <v>278</v>
      </c>
      <c r="C21" s="243">
        <v>35</v>
      </c>
      <c r="D21" s="244">
        <v>0.54722857142857129</v>
      </c>
      <c r="E21" s="244">
        <v>0.30343911936278767</v>
      </c>
      <c r="F21" s="244">
        <v>0.85066769079135895</v>
      </c>
      <c r="G21" s="244">
        <v>0.24378945206578362</v>
      </c>
      <c r="H21" s="231"/>
      <c r="I21" s="229"/>
      <c r="J21" s="229"/>
      <c r="K21" s="229"/>
      <c r="L21" s="229"/>
      <c r="M21" s="236">
        <v>35</v>
      </c>
      <c r="N21" s="237">
        <v>0.54722857142857129</v>
      </c>
      <c r="O21" s="237">
        <v>0.30343911936278767</v>
      </c>
      <c r="P21" s="237">
        <v>0.85066769079135895</v>
      </c>
      <c r="Q21" s="237">
        <v>0.24378945206578362</v>
      </c>
    </row>
    <row r="22" spans="1:17" ht="16.5">
      <c r="A22" s="382"/>
      <c r="B22" s="118" t="s">
        <v>279</v>
      </c>
      <c r="C22" s="243">
        <v>34</v>
      </c>
      <c r="D22" s="244">
        <v>0.46929411764705886</v>
      </c>
      <c r="E22" s="244">
        <v>0.22037977268064685</v>
      </c>
      <c r="F22" s="244">
        <v>0.68967389032770576</v>
      </c>
      <c r="G22" s="244">
        <v>0.24891434496641202</v>
      </c>
      <c r="H22" s="231"/>
      <c r="I22" s="229"/>
      <c r="J22" s="229"/>
      <c r="K22" s="229"/>
      <c r="L22" s="229"/>
      <c r="M22" s="236">
        <v>49</v>
      </c>
      <c r="N22" s="237">
        <v>0.47112244897959193</v>
      </c>
      <c r="O22" s="237">
        <v>0.1892834770757276</v>
      </c>
      <c r="P22" s="237">
        <v>0.66040592605531956</v>
      </c>
      <c r="Q22" s="237">
        <v>0.28183897190386431</v>
      </c>
    </row>
    <row r="23" spans="1:17" ht="16.5">
      <c r="A23" s="382"/>
      <c r="B23" s="118" t="s">
        <v>280</v>
      </c>
      <c r="C23" s="243">
        <v>31</v>
      </c>
      <c r="D23" s="244">
        <v>30.07096774193549</v>
      </c>
      <c r="E23" s="244">
        <v>8.2767519212303959</v>
      </c>
      <c r="F23" s="244">
        <v>38.34771966316589</v>
      </c>
      <c r="G23" s="244">
        <v>21.794215820705094</v>
      </c>
      <c r="H23" s="231"/>
      <c r="I23" s="229"/>
      <c r="J23" s="229"/>
      <c r="K23" s="229"/>
      <c r="L23" s="229"/>
      <c r="M23" s="236">
        <v>62</v>
      </c>
      <c r="N23" s="237">
        <v>30.351935483870967</v>
      </c>
      <c r="O23" s="237">
        <v>11.986908410498151</v>
      </c>
      <c r="P23" s="237">
        <v>42.33884389436912</v>
      </c>
      <c r="Q23" s="237">
        <v>18.365027073372815</v>
      </c>
    </row>
    <row r="24" spans="1:17" ht="16.5">
      <c r="A24" s="382"/>
      <c r="B24" s="118" t="s">
        <v>281</v>
      </c>
      <c r="C24" s="243">
        <v>31</v>
      </c>
      <c r="D24" s="245">
        <v>0.77922580645161299</v>
      </c>
      <c r="E24" s="245">
        <v>0.13338454924950846</v>
      </c>
      <c r="F24" s="245">
        <v>0.91261035570112148</v>
      </c>
      <c r="G24" s="245">
        <v>0.6458412572021045</v>
      </c>
      <c r="H24" s="231"/>
      <c r="I24" s="230"/>
      <c r="J24" s="230"/>
      <c r="K24" s="230"/>
      <c r="L24" s="230"/>
      <c r="M24" s="236">
        <v>59</v>
      </c>
      <c r="N24" s="240">
        <v>0.81365084745762706</v>
      </c>
      <c r="O24" s="240">
        <v>0.11546844825480779</v>
      </c>
      <c r="P24" s="240">
        <v>0.92911929571243479</v>
      </c>
      <c r="Q24" s="240">
        <v>0.69818239920281933</v>
      </c>
    </row>
    <row r="25" spans="1:17" ht="16.5">
      <c r="A25" s="382"/>
      <c r="B25" s="118" t="s">
        <v>282</v>
      </c>
      <c r="C25" s="243">
        <v>58</v>
      </c>
      <c r="D25" s="244">
        <v>3.602586206896552</v>
      </c>
      <c r="E25" s="244">
        <v>2.3350416505882388</v>
      </c>
      <c r="F25" s="244">
        <v>5.9376278574847907</v>
      </c>
      <c r="G25" s="244">
        <v>1.2675445563083132</v>
      </c>
      <c r="H25" s="231"/>
      <c r="I25" s="229"/>
      <c r="J25" s="229"/>
      <c r="K25" s="229"/>
      <c r="L25" s="229"/>
      <c r="M25" s="236">
        <v>125</v>
      </c>
      <c r="N25" s="237">
        <v>3.5705600000000017</v>
      </c>
      <c r="O25" s="237">
        <v>2.2757683225813015</v>
      </c>
      <c r="P25" s="237">
        <v>5.8463283225813036</v>
      </c>
      <c r="Q25" s="237">
        <v>1.2947916774187003</v>
      </c>
    </row>
    <row r="26" spans="1:17" ht="16.5">
      <c r="A26" s="215" t="s">
        <v>283</v>
      </c>
      <c r="B26" s="118" t="s">
        <v>284</v>
      </c>
      <c r="C26" s="243">
        <v>4</v>
      </c>
      <c r="D26" s="244">
        <v>0.42</v>
      </c>
      <c r="E26" s="244">
        <v>1.8257418583505533E-2</v>
      </c>
      <c r="F26" s="244">
        <v>0.47477225575051657</v>
      </c>
      <c r="G26" s="244">
        <v>0.3652277442494834</v>
      </c>
      <c r="H26" s="231"/>
      <c r="I26" s="229"/>
      <c r="J26" s="229"/>
      <c r="K26" s="229"/>
      <c r="L26" s="229"/>
      <c r="M26" s="236">
        <v>5</v>
      </c>
      <c r="N26" s="237">
        <v>0.43</v>
      </c>
      <c r="O26" s="237">
        <v>2.7386127875258293E-2</v>
      </c>
      <c r="P26" s="237">
        <v>0.51215838362577482</v>
      </c>
      <c r="Q26" s="237">
        <v>0.34784161637422512</v>
      </c>
    </row>
    <row r="27" spans="1:17" ht="16.5">
      <c r="A27" s="382" t="s">
        <v>285</v>
      </c>
      <c r="B27" s="118" t="s">
        <v>286</v>
      </c>
      <c r="C27" s="243">
        <v>0</v>
      </c>
      <c r="D27" s="244" t="s">
        <v>87</v>
      </c>
      <c r="E27" s="244" t="s">
        <v>87</v>
      </c>
      <c r="F27" s="244" t="s">
        <v>87</v>
      </c>
      <c r="G27" s="244" t="s">
        <v>87</v>
      </c>
      <c r="H27" s="231"/>
      <c r="I27" s="229"/>
      <c r="J27" s="229"/>
      <c r="K27" s="229"/>
      <c r="L27" s="229"/>
      <c r="M27" s="238">
        <v>0</v>
      </c>
      <c r="N27" s="239" t="s">
        <v>87</v>
      </c>
      <c r="O27" s="239" t="s">
        <v>87</v>
      </c>
      <c r="P27" s="239" t="s">
        <v>87</v>
      </c>
      <c r="Q27" s="239" t="s">
        <v>87</v>
      </c>
    </row>
    <row r="28" spans="1:17" ht="16.5">
      <c r="A28" s="382"/>
      <c r="B28" s="118" t="s">
        <v>287</v>
      </c>
      <c r="C28" s="243">
        <v>1</v>
      </c>
      <c r="D28" s="244">
        <v>0</v>
      </c>
      <c r="E28" s="244" t="s">
        <v>87</v>
      </c>
      <c r="F28" s="244" t="s">
        <v>87</v>
      </c>
      <c r="G28" s="244" t="s">
        <v>87</v>
      </c>
      <c r="H28" s="231"/>
      <c r="I28" s="229"/>
      <c r="J28" s="229"/>
      <c r="K28" s="229"/>
      <c r="L28" s="229"/>
      <c r="M28" s="236">
        <v>1</v>
      </c>
      <c r="N28" s="237">
        <v>0</v>
      </c>
      <c r="O28" s="237" t="s">
        <v>87</v>
      </c>
      <c r="P28" s="237" t="s">
        <v>87</v>
      </c>
      <c r="Q28" s="237" t="s">
        <v>87</v>
      </c>
    </row>
    <row r="29" spans="1:17" ht="16.5">
      <c r="A29" s="382" t="s">
        <v>288</v>
      </c>
      <c r="B29" s="118" t="s">
        <v>289</v>
      </c>
      <c r="C29" s="243">
        <v>49</v>
      </c>
      <c r="D29" s="244">
        <v>0.13469387755102041</v>
      </c>
      <c r="E29" s="244">
        <v>0.94285714285714284</v>
      </c>
      <c r="F29" s="244">
        <v>1.0775510204081633</v>
      </c>
      <c r="G29" s="244">
        <v>0</v>
      </c>
      <c r="H29" s="231"/>
      <c r="I29" s="229"/>
      <c r="J29" s="229"/>
      <c r="K29" s="229"/>
      <c r="L29" s="229"/>
      <c r="M29" s="236">
        <v>72</v>
      </c>
      <c r="N29" s="237">
        <v>9.166666666666666E-2</v>
      </c>
      <c r="O29" s="237">
        <v>0.7778174593052023</v>
      </c>
      <c r="P29" s="237">
        <v>0.86948412597186897</v>
      </c>
      <c r="Q29" s="237">
        <v>0</v>
      </c>
    </row>
    <row r="30" spans="1:17" ht="16.5">
      <c r="A30" s="382"/>
      <c r="B30" s="118" t="s">
        <v>290</v>
      </c>
      <c r="C30" s="243">
        <v>15</v>
      </c>
      <c r="D30" s="244">
        <v>0</v>
      </c>
      <c r="E30" s="244">
        <v>0</v>
      </c>
      <c r="F30" s="244">
        <v>0</v>
      </c>
      <c r="G30" s="244">
        <v>0</v>
      </c>
      <c r="H30" s="231"/>
      <c r="I30" s="229"/>
      <c r="J30" s="229"/>
      <c r="K30" s="229"/>
      <c r="L30" s="229"/>
      <c r="M30" s="236">
        <v>15</v>
      </c>
      <c r="N30" s="237">
        <v>0</v>
      </c>
      <c r="O30" s="237">
        <v>0</v>
      </c>
      <c r="P30" s="237">
        <v>0</v>
      </c>
      <c r="Q30" s="237">
        <v>0</v>
      </c>
    </row>
    <row r="31" spans="1:17" ht="16.5">
      <c r="A31" s="384" t="s">
        <v>291</v>
      </c>
      <c r="B31" s="118" t="s">
        <v>292</v>
      </c>
      <c r="C31" s="243">
        <v>54</v>
      </c>
      <c r="D31" s="246">
        <v>0.97205740740740787</v>
      </c>
      <c r="E31" s="246">
        <v>2.9709858613127374E-2</v>
      </c>
      <c r="F31" s="246">
        <v>1</v>
      </c>
      <c r="G31" s="246">
        <v>0.88292783156802579</v>
      </c>
      <c r="H31" s="231"/>
      <c r="I31" s="230"/>
      <c r="J31" s="230"/>
      <c r="K31" s="230"/>
      <c r="L31" s="230"/>
      <c r="M31" s="236">
        <v>59</v>
      </c>
      <c r="N31" s="241">
        <v>0.97357796610169534</v>
      </c>
      <c r="O31" s="241">
        <v>2.9435810162621066E-2</v>
      </c>
      <c r="P31" s="241">
        <v>1</v>
      </c>
      <c r="Q31" s="241">
        <v>0.88527053561383218</v>
      </c>
    </row>
    <row r="32" spans="1:17" ht="16.5">
      <c r="A32" s="385"/>
      <c r="B32" s="118" t="s">
        <v>293</v>
      </c>
      <c r="C32" s="243">
        <v>59</v>
      </c>
      <c r="D32" s="244">
        <v>3.4157627118644061</v>
      </c>
      <c r="E32" s="244">
        <v>0.94002605134449191</v>
      </c>
      <c r="F32" s="244">
        <v>4.3557887632088983</v>
      </c>
      <c r="G32" s="244">
        <v>2.4757366605199143</v>
      </c>
      <c r="H32" s="231"/>
      <c r="I32" s="229"/>
      <c r="J32" s="229"/>
      <c r="K32" s="229"/>
      <c r="L32" s="229"/>
      <c r="M32" s="236">
        <v>63</v>
      </c>
      <c r="N32" s="237">
        <v>3.3734920634920629</v>
      </c>
      <c r="O32" s="237">
        <v>0.92406911962213356</v>
      </c>
      <c r="P32" s="237">
        <v>4.2975611831141967</v>
      </c>
      <c r="Q32" s="237">
        <v>2.4494229438699291</v>
      </c>
    </row>
    <row r="33" spans="1:17" ht="16.5">
      <c r="A33" s="385"/>
      <c r="B33" s="118" t="s">
        <v>294</v>
      </c>
      <c r="C33" s="243">
        <v>41</v>
      </c>
      <c r="D33" s="244">
        <v>13.165365853658539</v>
      </c>
      <c r="E33" s="244">
        <v>4.2728890095349836</v>
      </c>
      <c r="F33" s="244">
        <v>17.438254863193521</v>
      </c>
      <c r="G33" s="244">
        <v>8.8924768441235553</v>
      </c>
      <c r="H33" s="231"/>
      <c r="I33" s="233"/>
      <c r="J33" s="229"/>
      <c r="K33" s="229"/>
      <c r="L33" s="229"/>
      <c r="M33" s="236">
        <v>41</v>
      </c>
      <c r="N33" s="237">
        <v>13.165365853658539</v>
      </c>
      <c r="O33" s="237">
        <v>4.2728890095349836</v>
      </c>
      <c r="P33" s="237">
        <v>17.438254863193521</v>
      </c>
      <c r="Q33" s="237">
        <v>8.8924768441235553</v>
      </c>
    </row>
    <row r="34" spans="1:17" ht="16.5">
      <c r="A34" s="385"/>
      <c r="B34" s="118" t="s">
        <v>295</v>
      </c>
      <c r="C34" s="243">
        <v>51</v>
      </c>
      <c r="D34" s="244">
        <v>1.4307843137254908</v>
      </c>
      <c r="E34" s="244">
        <v>0.43297502531787907</v>
      </c>
      <c r="F34" s="244">
        <v>1.8637593390433698</v>
      </c>
      <c r="G34" s="244">
        <v>0.99780928840761174</v>
      </c>
      <c r="H34" s="231"/>
      <c r="I34" s="229"/>
      <c r="J34" s="229"/>
      <c r="K34" s="229"/>
      <c r="L34" s="229"/>
      <c r="M34" s="236">
        <v>55</v>
      </c>
      <c r="N34" s="237">
        <v>1.4358181818181823</v>
      </c>
      <c r="O34" s="237">
        <v>0.41702513872662994</v>
      </c>
      <c r="P34" s="237">
        <v>1.8528433205448123</v>
      </c>
      <c r="Q34" s="237">
        <v>1.0187930430915524</v>
      </c>
    </row>
    <row r="35" spans="1:17" ht="16.5">
      <c r="A35" s="386"/>
      <c r="B35" s="118" t="s">
        <v>296</v>
      </c>
      <c r="C35" s="243">
        <v>49</v>
      </c>
      <c r="D35" s="244">
        <v>1.6157142857142865</v>
      </c>
      <c r="E35" s="244">
        <v>0.72621736874482901</v>
      </c>
      <c r="F35" s="244">
        <v>2.3419316544591156</v>
      </c>
      <c r="G35" s="244">
        <v>0.88949691696945754</v>
      </c>
      <c r="H35" s="231"/>
      <c r="I35" s="229"/>
      <c r="J35" s="229"/>
      <c r="K35" s="229"/>
      <c r="L35" s="229"/>
      <c r="M35" s="236">
        <v>53</v>
      </c>
      <c r="N35" s="237">
        <v>1.6069811320754726</v>
      </c>
      <c r="O35" s="237">
        <v>0.70444081725987984</v>
      </c>
      <c r="P35" s="237">
        <v>2.3114219493353523</v>
      </c>
      <c r="Q35" s="237">
        <v>0.90254031481559271</v>
      </c>
    </row>
    <row r="36" spans="1:17" ht="16.5">
      <c r="A36" s="386"/>
      <c r="B36" s="118" t="s">
        <v>297</v>
      </c>
      <c r="C36" s="243">
        <v>35</v>
      </c>
      <c r="D36" s="244">
        <v>1</v>
      </c>
      <c r="E36" s="244">
        <v>0</v>
      </c>
      <c r="F36" s="244">
        <v>1</v>
      </c>
      <c r="G36" s="244">
        <v>1</v>
      </c>
      <c r="H36" s="231"/>
      <c r="I36" s="229"/>
      <c r="J36" s="229"/>
      <c r="K36" s="229"/>
      <c r="L36" s="229"/>
      <c r="M36" s="238">
        <v>35</v>
      </c>
      <c r="N36" s="239">
        <v>1</v>
      </c>
      <c r="O36" s="239">
        <v>0</v>
      </c>
      <c r="P36" s="239">
        <v>1</v>
      </c>
      <c r="Q36" s="239">
        <v>1</v>
      </c>
    </row>
    <row r="37" spans="1:17" ht="16.5">
      <c r="A37" s="387"/>
      <c r="B37" s="118" t="s">
        <v>298</v>
      </c>
      <c r="C37" s="243">
        <v>45</v>
      </c>
      <c r="D37" s="244">
        <v>1.2177777777777778</v>
      </c>
      <c r="E37" s="244">
        <v>0.58281795414757742</v>
      </c>
      <c r="F37" s="244">
        <v>1.8005957319253554</v>
      </c>
      <c r="G37" s="244">
        <v>0.63495982363020043</v>
      </c>
      <c r="H37" s="231"/>
      <c r="I37" s="229"/>
      <c r="J37" s="229"/>
      <c r="K37" s="229"/>
      <c r="L37" s="229"/>
      <c r="M37" s="238">
        <v>51</v>
      </c>
      <c r="N37" s="239">
        <v>1.3196078431372551</v>
      </c>
      <c r="O37" s="239">
        <v>0.69455586034332362</v>
      </c>
      <c r="P37" s="239">
        <v>2.0141637034805786</v>
      </c>
      <c r="Q37" s="239">
        <v>0.62505198279393148</v>
      </c>
    </row>
    <row r="38" spans="1:17" ht="16.5">
      <c r="A38" s="363" t="s">
        <v>299</v>
      </c>
      <c r="B38" s="118" t="s">
        <v>300</v>
      </c>
      <c r="C38" s="243">
        <v>15</v>
      </c>
      <c r="D38" s="244">
        <v>0</v>
      </c>
      <c r="E38" s="244">
        <v>0</v>
      </c>
      <c r="F38" s="244">
        <v>0</v>
      </c>
      <c r="G38" s="244">
        <v>0</v>
      </c>
      <c r="H38" s="231"/>
      <c r="I38" s="229"/>
      <c r="J38" s="229"/>
      <c r="K38" s="229"/>
      <c r="L38" s="229"/>
      <c r="M38" s="236">
        <v>71</v>
      </c>
      <c r="N38" s="237">
        <v>0</v>
      </c>
      <c r="O38" s="237">
        <v>0</v>
      </c>
      <c r="P38" s="237">
        <v>0</v>
      </c>
      <c r="Q38" s="237">
        <v>0</v>
      </c>
    </row>
    <row r="39" spans="1:17" ht="16.5">
      <c r="A39" s="363"/>
      <c r="B39" s="118" t="s">
        <v>301</v>
      </c>
      <c r="C39" s="243">
        <v>42</v>
      </c>
      <c r="D39" s="244">
        <v>5.3683333333333341</v>
      </c>
      <c r="E39" s="244">
        <v>2.7959011084317833</v>
      </c>
      <c r="F39" s="244">
        <v>8.1642344417651174</v>
      </c>
      <c r="G39" s="244">
        <v>2.5724322249015508</v>
      </c>
      <c r="H39" s="231"/>
      <c r="I39" s="229"/>
      <c r="J39" s="229"/>
      <c r="K39" s="229"/>
      <c r="L39" s="229"/>
      <c r="M39" s="236">
        <v>59</v>
      </c>
      <c r="N39" s="237">
        <v>5.035254237288135</v>
      </c>
      <c r="O39" s="237">
        <v>2.7988047670218363</v>
      </c>
      <c r="P39" s="237">
        <v>7.8340590043099709</v>
      </c>
      <c r="Q39" s="237">
        <v>2.2364494702662987</v>
      </c>
    </row>
    <row r="40" spans="1:17" ht="16.5">
      <c r="A40" s="363"/>
      <c r="B40" s="118" t="s">
        <v>302</v>
      </c>
      <c r="C40" s="243">
        <v>31</v>
      </c>
      <c r="D40" s="247">
        <v>5.8625806451612895E-2</v>
      </c>
      <c r="E40" s="247">
        <v>2.7134479513980472E-2</v>
      </c>
      <c r="F40" s="247">
        <v>8.5760285965593375E-2</v>
      </c>
      <c r="G40" s="247">
        <v>3.1491326937632423E-2</v>
      </c>
      <c r="H40" s="231"/>
      <c r="I40" s="230"/>
      <c r="J40" s="230"/>
      <c r="K40" s="230"/>
      <c r="L40" s="230"/>
      <c r="M40" s="236">
        <v>35</v>
      </c>
      <c r="N40" s="242">
        <v>5.6988571428571416E-2</v>
      </c>
      <c r="O40" s="242">
        <v>2.810348284286418E-2</v>
      </c>
      <c r="P40" s="242">
        <v>8.5092054271435597E-2</v>
      </c>
      <c r="Q40" s="242">
        <v>2.8885088585707236E-2</v>
      </c>
    </row>
    <row r="41" spans="1:17" ht="16.5">
      <c r="A41" s="363"/>
      <c r="B41" s="120" t="s">
        <v>303</v>
      </c>
      <c r="C41" s="243">
        <v>45</v>
      </c>
      <c r="D41" s="244">
        <v>0</v>
      </c>
      <c r="E41" s="244">
        <v>0</v>
      </c>
      <c r="F41" s="244">
        <v>0</v>
      </c>
      <c r="G41" s="244">
        <v>0</v>
      </c>
      <c r="H41" s="231"/>
      <c r="I41" s="229"/>
      <c r="J41" s="229"/>
      <c r="K41" s="229"/>
      <c r="L41" s="229"/>
      <c r="M41" s="236">
        <v>56</v>
      </c>
      <c r="N41" s="237">
        <v>0</v>
      </c>
      <c r="O41" s="237">
        <v>0</v>
      </c>
      <c r="P41" s="237">
        <v>0</v>
      </c>
      <c r="Q41" s="237">
        <v>0</v>
      </c>
    </row>
    <row r="42" spans="1:17" ht="16.5">
      <c r="A42" s="363"/>
      <c r="B42" s="120" t="s">
        <v>304</v>
      </c>
      <c r="C42" s="243">
        <v>46</v>
      </c>
      <c r="D42" s="244">
        <v>0</v>
      </c>
      <c r="E42" s="244">
        <v>0</v>
      </c>
      <c r="F42" s="244">
        <v>0</v>
      </c>
      <c r="G42" s="244">
        <v>0</v>
      </c>
      <c r="H42" s="231"/>
      <c r="I42" s="229"/>
      <c r="J42" s="229"/>
      <c r="K42" s="229"/>
      <c r="L42" s="229"/>
      <c r="M42" s="236">
        <v>58</v>
      </c>
      <c r="N42" s="237">
        <v>0</v>
      </c>
      <c r="O42" s="237">
        <v>0</v>
      </c>
      <c r="P42" s="237">
        <v>0</v>
      </c>
      <c r="Q42" s="237">
        <v>0</v>
      </c>
    </row>
    <row r="43" spans="1:17" ht="16.5">
      <c r="A43" s="363"/>
      <c r="B43" s="120" t="s">
        <v>305</v>
      </c>
      <c r="C43" s="243">
        <v>0</v>
      </c>
      <c r="D43" s="244" t="s">
        <v>87</v>
      </c>
      <c r="E43" s="244" t="s">
        <v>87</v>
      </c>
      <c r="F43" s="244" t="s">
        <v>87</v>
      </c>
      <c r="G43" s="244" t="s">
        <v>87</v>
      </c>
      <c r="H43" s="231"/>
      <c r="I43" s="229"/>
      <c r="J43" s="229"/>
      <c r="K43" s="229"/>
      <c r="L43" s="229"/>
      <c r="M43" s="236">
        <v>0</v>
      </c>
      <c r="N43" s="237" t="s">
        <v>87</v>
      </c>
      <c r="O43" s="237" t="s">
        <v>87</v>
      </c>
      <c r="P43" s="237" t="s">
        <v>87</v>
      </c>
      <c r="Q43" s="237" t="s">
        <v>87</v>
      </c>
    </row>
  </sheetData>
  <mergeCells count="12">
    <mergeCell ref="A14:A16"/>
    <mergeCell ref="A1:B2"/>
    <mergeCell ref="C1:G1"/>
    <mergeCell ref="H1:L1"/>
    <mergeCell ref="M1:Q1"/>
    <mergeCell ref="A3:A13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1"/>
  <sheetViews>
    <sheetView topLeftCell="A40" workbookViewId="0">
      <selection activeCell="E55" sqref="E55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 ht="16.5">
      <c r="A3" s="351" t="s">
        <v>258</v>
      </c>
      <c r="B3" s="117" t="s">
        <v>259</v>
      </c>
      <c r="C3" s="231"/>
      <c r="D3" s="229"/>
      <c r="E3" s="229"/>
      <c r="F3" s="229"/>
      <c r="G3" s="229"/>
      <c r="H3" s="231"/>
      <c r="I3" s="229"/>
      <c r="J3" s="229"/>
      <c r="K3" s="229"/>
      <c r="L3" s="229"/>
      <c r="M3" s="250">
        <v>53</v>
      </c>
      <c r="N3" s="249">
        <v>30.132203448912318</v>
      </c>
      <c r="O3" s="249">
        <v>10.201237029325352</v>
      </c>
      <c r="P3" s="249">
        <v>40.333440478237669</v>
      </c>
      <c r="Q3" s="249">
        <v>19.930966419586966</v>
      </c>
    </row>
    <row r="4" spans="1:17" ht="16.5">
      <c r="A4" s="351"/>
      <c r="B4" s="118" t="s">
        <v>333</v>
      </c>
      <c r="C4" s="231"/>
      <c r="D4" s="229"/>
      <c r="E4" s="229"/>
      <c r="F4" s="229"/>
      <c r="G4" s="229"/>
      <c r="H4" s="231"/>
      <c r="I4" s="229"/>
      <c r="J4" s="229"/>
      <c r="K4" s="229"/>
      <c r="L4" s="229"/>
      <c r="M4" s="250">
        <v>40</v>
      </c>
      <c r="N4" s="249">
        <v>44.740975474434165</v>
      </c>
      <c r="O4" s="249">
        <v>7.309129859180433</v>
      </c>
      <c r="P4" s="249">
        <v>52.050105333614596</v>
      </c>
      <c r="Q4" s="249">
        <v>37.431845615253735</v>
      </c>
    </row>
    <row r="5" spans="1:17" ht="16.5">
      <c r="A5" s="351"/>
      <c r="B5" s="118" t="s">
        <v>263</v>
      </c>
      <c r="C5" s="231"/>
      <c r="D5" s="229"/>
      <c r="E5" s="229"/>
      <c r="F5" s="229"/>
      <c r="G5" s="229"/>
      <c r="H5" s="231"/>
      <c r="I5" s="229"/>
      <c r="J5" s="229"/>
      <c r="K5" s="229"/>
      <c r="L5" s="229"/>
      <c r="M5" s="250">
        <v>57</v>
      </c>
      <c r="N5" s="249">
        <v>3.0264189182085839</v>
      </c>
      <c r="O5" s="249">
        <v>6.9731831618308036</v>
      </c>
      <c r="P5" s="249">
        <v>9.9996020800393879</v>
      </c>
      <c r="Q5" s="249">
        <v>0</v>
      </c>
    </row>
    <row r="6" spans="1:17" ht="16.5">
      <c r="A6" s="351"/>
      <c r="B6" s="118" t="s">
        <v>257</v>
      </c>
      <c r="C6" s="231"/>
      <c r="D6" s="229"/>
      <c r="E6" s="229"/>
      <c r="F6" s="229"/>
      <c r="G6" s="229"/>
      <c r="H6" s="231"/>
      <c r="I6" s="229"/>
      <c r="J6" s="229"/>
      <c r="K6" s="229"/>
      <c r="L6" s="229"/>
      <c r="M6" s="250">
        <v>49</v>
      </c>
      <c r="N6" s="249">
        <v>1.8789247106677274</v>
      </c>
      <c r="O6" s="249">
        <v>1.7526836748728472</v>
      </c>
      <c r="P6" s="249">
        <v>3.6316083855405745</v>
      </c>
      <c r="Q6" s="249">
        <v>0.12624103579488022</v>
      </c>
    </row>
    <row r="7" spans="1:17" ht="16.5">
      <c r="A7" s="351"/>
      <c r="B7" s="118" t="s">
        <v>329</v>
      </c>
      <c r="C7" s="231"/>
      <c r="D7" s="229"/>
      <c r="E7" s="229"/>
      <c r="F7" s="229"/>
      <c r="G7" s="229"/>
      <c r="H7" s="231"/>
      <c r="I7" s="229"/>
      <c r="J7" s="229"/>
      <c r="K7" s="229"/>
      <c r="L7" s="229"/>
      <c r="M7" s="250">
        <v>22</v>
      </c>
      <c r="N7" s="249">
        <v>6.5201927639139168</v>
      </c>
      <c r="O7" s="249">
        <v>2.772904461972026</v>
      </c>
      <c r="P7" s="249">
        <v>9.2930972258859423</v>
      </c>
      <c r="Q7" s="249">
        <v>3.7472883019418908</v>
      </c>
    </row>
    <row r="8" spans="1:17" ht="16.5">
      <c r="A8" s="351"/>
      <c r="B8" s="118" t="s">
        <v>264</v>
      </c>
      <c r="C8" s="231"/>
      <c r="D8" s="229"/>
      <c r="E8" s="229"/>
      <c r="F8" s="229"/>
      <c r="G8" s="229"/>
      <c r="H8" s="231"/>
      <c r="I8" s="229"/>
      <c r="J8" s="229"/>
      <c r="K8" s="229"/>
      <c r="L8" s="229"/>
      <c r="M8" s="250">
        <v>23</v>
      </c>
      <c r="N8" s="249">
        <v>12.650181011050575</v>
      </c>
      <c r="O8" s="249">
        <v>6.066562612632465</v>
      </c>
      <c r="P8" s="249">
        <v>18.71674362368304</v>
      </c>
      <c r="Q8" s="249">
        <v>6.5836183984181105</v>
      </c>
    </row>
    <row r="9" spans="1:17" ht="16.5">
      <c r="A9" s="351"/>
      <c r="B9" s="118" t="s">
        <v>265</v>
      </c>
      <c r="C9" s="231"/>
      <c r="D9" s="229"/>
      <c r="E9" s="229"/>
      <c r="F9" s="229"/>
      <c r="G9" s="229"/>
      <c r="H9" s="231"/>
      <c r="I9" s="229"/>
      <c r="J9" s="229"/>
      <c r="K9" s="229"/>
      <c r="L9" s="229"/>
      <c r="M9" s="250">
        <v>0</v>
      </c>
      <c r="N9" s="249" t="s">
        <v>87</v>
      </c>
      <c r="O9" s="249" t="s">
        <v>87</v>
      </c>
      <c r="P9" s="249" t="s">
        <v>87</v>
      </c>
      <c r="Q9" s="249" t="s">
        <v>87</v>
      </c>
    </row>
    <row r="10" spans="1:17" ht="16.5">
      <c r="A10" s="351"/>
      <c r="B10" s="118" t="s">
        <v>266</v>
      </c>
      <c r="C10" s="231"/>
      <c r="D10" s="229"/>
      <c r="E10" s="229"/>
      <c r="F10" s="229"/>
      <c r="G10" s="229"/>
      <c r="H10" s="231"/>
      <c r="I10" s="229"/>
      <c r="J10" s="229"/>
      <c r="K10" s="229"/>
      <c r="L10" s="229"/>
      <c r="M10" s="250">
        <v>5</v>
      </c>
      <c r="N10" s="249">
        <v>2.4048371917937135</v>
      </c>
      <c r="O10" s="249">
        <v>0.94477246519878078</v>
      </c>
      <c r="P10" s="249">
        <v>3.3496096569924942</v>
      </c>
      <c r="Q10" s="249">
        <v>1.4600647265949327</v>
      </c>
    </row>
    <row r="11" spans="1:17" ht="16.5">
      <c r="A11" s="351"/>
      <c r="B11" s="118" t="s">
        <v>267</v>
      </c>
      <c r="C11" s="231"/>
      <c r="D11" s="230"/>
      <c r="E11" s="230"/>
      <c r="F11" s="230"/>
      <c r="G11" s="230"/>
      <c r="H11" s="231"/>
      <c r="I11" s="232"/>
      <c r="J11" s="230"/>
      <c r="K11" s="230"/>
      <c r="L11" s="230"/>
      <c r="M11" s="250">
        <v>57</v>
      </c>
      <c r="N11" s="248">
        <v>0</v>
      </c>
      <c r="O11" s="248">
        <v>0</v>
      </c>
      <c r="P11" s="248">
        <v>0</v>
      </c>
      <c r="Q11" s="248">
        <v>0</v>
      </c>
    </row>
    <row r="12" spans="1:17" ht="16.5">
      <c r="A12" s="351"/>
      <c r="B12" s="118" t="s">
        <v>355</v>
      </c>
      <c r="C12" s="231"/>
      <c r="D12" s="230"/>
      <c r="E12" s="230"/>
      <c r="F12" s="230"/>
      <c r="G12" s="230"/>
      <c r="H12" s="231"/>
      <c r="I12" s="230"/>
      <c r="J12" s="230"/>
      <c r="K12" s="230"/>
      <c r="L12" s="230"/>
      <c r="M12" s="250">
        <v>56</v>
      </c>
      <c r="N12" s="248">
        <v>0</v>
      </c>
      <c r="O12" s="248">
        <v>0</v>
      </c>
      <c r="P12" s="248">
        <v>0</v>
      </c>
      <c r="Q12" s="248">
        <v>0</v>
      </c>
    </row>
    <row r="13" spans="1:17" ht="16.5">
      <c r="A13" s="351"/>
      <c r="B13" s="118" t="s">
        <v>268</v>
      </c>
      <c r="C13" s="231"/>
      <c r="D13" s="230"/>
      <c r="E13" s="230"/>
      <c r="F13" s="230"/>
      <c r="G13" s="230"/>
      <c r="H13" s="231"/>
      <c r="I13" s="230"/>
      <c r="J13" s="230"/>
      <c r="K13" s="230"/>
      <c r="L13" s="230"/>
      <c r="M13" s="250">
        <v>54</v>
      </c>
      <c r="N13" s="248">
        <v>9.2291309142119391E-3</v>
      </c>
      <c r="O13" s="248">
        <v>3.1401115077669906E-2</v>
      </c>
      <c r="P13" s="248">
        <v>4.0630245991881843E-2</v>
      </c>
      <c r="Q13" s="248">
        <v>-2.2171984163457968E-2</v>
      </c>
    </row>
    <row r="14" spans="1:17" ht="16.5">
      <c r="A14" s="382" t="s">
        <v>269</v>
      </c>
      <c r="B14" s="118" t="s">
        <v>270</v>
      </c>
      <c r="C14" s="231"/>
      <c r="D14" s="230"/>
      <c r="E14" s="230"/>
      <c r="F14" s="230"/>
      <c r="G14" s="230"/>
      <c r="H14" s="231"/>
      <c r="I14" s="230"/>
      <c r="J14" s="230"/>
      <c r="K14" s="230"/>
      <c r="L14" s="230"/>
      <c r="M14" s="250">
        <v>54</v>
      </c>
      <c r="N14" s="248">
        <v>0.98980056980056985</v>
      </c>
      <c r="O14" s="248">
        <v>5.2543051389373582E-2</v>
      </c>
      <c r="P14" s="248">
        <v>1</v>
      </c>
      <c r="Q14" s="248">
        <v>0.83217141563244912</v>
      </c>
    </row>
    <row r="15" spans="1:17" ht="16.5">
      <c r="A15" s="382"/>
      <c r="B15" s="118" t="s">
        <v>271</v>
      </c>
      <c r="C15" s="231"/>
      <c r="D15" s="229"/>
      <c r="E15" s="229"/>
      <c r="F15" s="229"/>
      <c r="G15" s="229"/>
      <c r="H15" s="231"/>
      <c r="I15" s="229"/>
      <c r="J15" s="229"/>
      <c r="K15" s="229"/>
      <c r="L15" s="229"/>
      <c r="M15" s="250">
        <v>6</v>
      </c>
      <c r="N15" s="249">
        <v>0.30598290598290595</v>
      </c>
      <c r="O15" s="249">
        <v>0.25076171488221333</v>
      </c>
      <c r="P15" s="249">
        <v>0.55674462086511922</v>
      </c>
      <c r="Q15" s="249">
        <v>5.5221191100692624E-2</v>
      </c>
    </row>
    <row r="16" spans="1:17" ht="16.5">
      <c r="A16" s="382"/>
      <c r="B16" s="118" t="s">
        <v>272</v>
      </c>
      <c r="C16" s="231"/>
      <c r="D16" s="229"/>
      <c r="E16" s="229"/>
      <c r="F16" s="229"/>
      <c r="G16" s="229"/>
      <c r="H16" s="231"/>
      <c r="I16" s="229"/>
      <c r="J16" s="229"/>
      <c r="K16" s="229"/>
      <c r="L16" s="229"/>
      <c r="M16" s="250">
        <v>10</v>
      </c>
      <c r="N16" s="249">
        <v>0.53417788502243657</v>
      </c>
      <c r="O16" s="249">
        <v>0.33452577701670017</v>
      </c>
      <c r="P16" s="249">
        <v>0.86870366203913674</v>
      </c>
      <c r="Q16" s="249">
        <v>0.19965210800573641</v>
      </c>
    </row>
    <row r="17" spans="1:17" ht="16.5">
      <c r="A17" s="382" t="s">
        <v>273</v>
      </c>
      <c r="B17" s="118" t="s">
        <v>306</v>
      </c>
      <c r="C17" s="231"/>
      <c r="D17" s="229"/>
      <c r="E17" s="229"/>
      <c r="F17" s="229"/>
      <c r="G17" s="229"/>
      <c r="H17" s="231"/>
      <c r="I17" s="229"/>
      <c r="J17" s="229"/>
      <c r="K17" s="229"/>
      <c r="L17" s="229"/>
      <c r="M17" s="250">
        <v>55</v>
      </c>
      <c r="N17" s="249">
        <v>8.2951871805416868</v>
      </c>
      <c r="O17" s="249">
        <v>3.6929454376663338</v>
      </c>
      <c r="P17" s="249">
        <v>11.98813261820802</v>
      </c>
      <c r="Q17" s="249">
        <v>4.6022417428753535</v>
      </c>
    </row>
    <row r="18" spans="1:17" ht="16.5">
      <c r="A18" s="382"/>
      <c r="B18" s="118" t="s">
        <v>274</v>
      </c>
      <c r="C18" s="231"/>
      <c r="D18" s="229"/>
      <c r="E18" s="229"/>
      <c r="F18" s="229"/>
      <c r="G18" s="229"/>
      <c r="H18" s="231"/>
      <c r="I18" s="229"/>
      <c r="J18" s="229"/>
      <c r="K18" s="229"/>
      <c r="L18" s="229"/>
      <c r="M18" s="250">
        <v>55</v>
      </c>
      <c r="N18" s="249">
        <v>1.5824757100094999</v>
      </c>
      <c r="O18" s="249">
        <v>2.4597605808006415</v>
      </c>
      <c r="P18" s="249">
        <v>4.0422362908101412</v>
      </c>
      <c r="Q18" s="249">
        <v>0</v>
      </c>
    </row>
    <row r="19" spans="1:17" ht="16.5">
      <c r="A19" s="382"/>
      <c r="B19" s="118" t="s">
        <v>275</v>
      </c>
      <c r="C19" s="231"/>
      <c r="D19" s="229"/>
      <c r="E19" s="229"/>
      <c r="F19" s="229"/>
      <c r="G19" s="229"/>
      <c r="H19" s="231"/>
      <c r="I19" s="233"/>
      <c r="J19" s="229"/>
      <c r="K19" s="229"/>
      <c r="L19" s="229"/>
      <c r="M19" s="250">
        <v>56</v>
      </c>
      <c r="N19" s="249">
        <v>0.17857142857142858</v>
      </c>
      <c r="O19" s="249">
        <v>0.43094580368566732</v>
      </c>
      <c r="P19" s="249">
        <v>0.60951723225709586</v>
      </c>
      <c r="Q19" s="249">
        <v>0</v>
      </c>
    </row>
    <row r="20" spans="1:17" ht="16.5">
      <c r="A20" s="382"/>
      <c r="B20" s="118" t="s">
        <v>276</v>
      </c>
      <c r="C20" s="231"/>
      <c r="D20" s="229"/>
      <c r="E20" s="229"/>
      <c r="F20" s="229"/>
      <c r="G20" s="229"/>
      <c r="H20" s="231"/>
      <c r="I20" s="229"/>
      <c r="J20" s="229"/>
      <c r="K20" s="229"/>
      <c r="L20" s="229"/>
      <c r="M20" s="250">
        <v>56</v>
      </c>
      <c r="N20" s="249">
        <v>3.5714285714285712E-2</v>
      </c>
      <c r="O20" s="249">
        <v>0.18725633517970777</v>
      </c>
      <c r="P20" s="249">
        <v>0.2229706208939935</v>
      </c>
      <c r="Q20" s="249">
        <v>0</v>
      </c>
    </row>
    <row r="21" spans="1:17" ht="16.5">
      <c r="A21" s="382" t="s">
        <v>277</v>
      </c>
      <c r="B21" s="118" t="s">
        <v>278</v>
      </c>
      <c r="C21" s="231"/>
      <c r="D21" s="229"/>
      <c r="E21" s="229"/>
      <c r="F21" s="229"/>
      <c r="G21" s="229"/>
      <c r="H21" s="231"/>
      <c r="I21" s="229"/>
      <c r="J21" s="229"/>
      <c r="K21" s="229"/>
      <c r="L21" s="229"/>
      <c r="M21" s="250">
        <v>6</v>
      </c>
      <c r="N21" s="249">
        <v>0.45833333333333331</v>
      </c>
      <c r="O21" s="249">
        <v>0.52241426728858265</v>
      </c>
      <c r="P21" s="249">
        <v>0.98074760062191602</v>
      </c>
      <c r="Q21" s="249">
        <v>0</v>
      </c>
    </row>
    <row r="22" spans="1:17" ht="16.5">
      <c r="A22" s="382"/>
      <c r="B22" s="118" t="s">
        <v>279</v>
      </c>
      <c r="C22" s="231"/>
      <c r="D22" s="229"/>
      <c r="E22" s="229"/>
      <c r="F22" s="229"/>
      <c r="G22" s="229"/>
      <c r="H22" s="231"/>
      <c r="I22" s="229"/>
      <c r="J22" s="229"/>
      <c r="K22" s="229"/>
      <c r="L22" s="229"/>
      <c r="M22" s="250">
        <v>21</v>
      </c>
      <c r="N22" s="249">
        <v>8.504651033807116E-2</v>
      </c>
      <c r="O22" s="249">
        <v>5.0942826810912285E-2</v>
      </c>
      <c r="P22" s="249">
        <v>0.13598933714898345</v>
      </c>
      <c r="Q22" s="249">
        <v>3.4103683527158875E-2</v>
      </c>
    </row>
    <row r="23" spans="1:17" ht="16.5">
      <c r="A23" s="382"/>
      <c r="B23" s="118" t="s">
        <v>280</v>
      </c>
      <c r="C23" s="231"/>
      <c r="D23" s="229"/>
      <c r="E23" s="229"/>
      <c r="F23" s="229"/>
      <c r="G23" s="229"/>
      <c r="H23" s="231"/>
      <c r="I23" s="229"/>
      <c r="J23" s="229"/>
      <c r="K23" s="229"/>
      <c r="L23" s="229"/>
      <c r="M23" s="250">
        <v>31</v>
      </c>
      <c r="N23" s="249">
        <v>16.586966427338311</v>
      </c>
      <c r="O23" s="249">
        <v>3.7373920637427132</v>
      </c>
      <c r="P23" s="249">
        <v>20.324358491081025</v>
      </c>
      <c r="Q23" s="249">
        <v>12.849574363595597</v>
      </c>
    </row>
    <row r="24" spans="1:17" ht="16.5">
      <c r="A24" s="382"/>
      <c r="B24" s="118" t="s">
        <v>281</v>
      </c>
      <c r="C24" s="231"/>
      <c r="D24" s="230"/>
      <c r="E24" s="230"/>
      <c r="F24" s="230"/>
      <c r="G24" s="230"/>
      <c r="H24" s="231"/>
      <c r="I24" s="230"/>
      <c r="J24" s="230"/>
      <c r="K24" s="230"/>
      <c r="L24" s="230"/>
      <c r="M24" s="250">
        <v>0</v>
      </c>
      <c r="N24" s="248" t="s">
        <v>87</v>
      </c>
      <c r="O24" s="248" t="s">
        <v>87</v>
      </c>
      <c r="P24" s="248" t="s">
        <v>87</v>
      </c>
      <c r="Q24" s="248" t="s">
        <v>87</v>
      </c>
    </row>
    <row r="25" spans="1:17" ht="16.5">
      <c r="A25" s="382"/>
      <c r="B25" s="118" t="s">
        <v>282</v>
      </c>
      <c r="C25" s="231"/>
      <c r="D25" s="229"/>
      <c r="E25" s="229"/>
      <c r="F25" s="229"/>
      <c r="G25" s="229"/>
      <c r="H25" s="231"/>
      <c r="I25" s="229"/>
      <c r="J25" s="229"/>
      <c r="K25" s="229"/>
      <c r="L25" s="229"/>
      <c r="M25" s="250">
        <v>53</v>
      </c>
      <c r="N25" s="249">
        <v>2.9140698698973133</v>
      </c>
      <c r="O25" s="249">
        <v>2.9839145080051881</v>
      </c>
      <c r="P25" s="249">
        <v>5.8979843779025014</v>
      </c>
      <c r="Q25" s="249">
        <v>0</v>
      </c>
    </row>
    <row r="26" spans="1:17" ht="16.5">
      <c r="A26" s="215" t="s">
        <v>283</v>
      </c>
      <c r="B26" s="118" t="s">
        <v>284</v>
      </c>
      <c r="C26" s="231"/>
      <c r="D26" s="229"/>
      <c r="E26" s="229"/>
      <c r="F26" s="229"/>
      <c r="G26" s="229"/>
      <c r="H26" s="231"/>
      <c r="I26" s="229"/>
      <c r="J26" s="229"/>
      <c r="K26" s="229"/>
      <c r="L26" s="229"/>
      <c r="M26" s="250">
        <v>6</v>
      </c>
      <c r="N26" s="249">
        <v>0</v>
      </c>
      <c r="O26" s="249">
        <v>0</v>
      </c>
      <c r="P26" s="249">
        <v>0</v>
      </c>
      <c r="Q26" s="249">
        <v>0</v>
      </c>
    </row>
    <row r="27" spans="1:17" ht="16.5">
      <c r="A27" s="382" t="s">
        <v>285</v>
      </c>
      <c r="B27" s="118" t="s">
        <v>286</v>
      </c>
      <c r="C27" s="231"/>
      <c r="D27" s="229"/>
      <c r="E27" s="229"/>
      <c r="F27" s="229"/>
      <c r="G27" s="229"/>
      <c r="H27" s="231"/>
      <c r="I27" s="229"/>
      <c r="J27" s="229"/>
      <c r="K27" s="229"/>
      <c r="L27" s="229"/>
      <c r="M27" s="250">
        <v>0</v>
      </c>
      <c r="N27" s="249" t="s">
        <v>87</v>
      </c>
      <c r="O27" s="249" t="s">
        <v>87</v>
      </c>
      <c r="P27" s="249" t="s">
        <v>87</v>
      </c>
      <c r="Q27" s="249" t="s">
        <v>87</v>
      </c>
    </row>
    <row r="28" spans="1:17" ht="16.5">
      <c r="A28" s="382"/>
      <c r="B28" s="118" t="s">
        <v>287</v>
      </c>
      <c r="C28" s="231"/>
      <c r="D28" s="229"/>
      <c r="E28" s="229"/>
      <c r="F28" s="229"/>
      <c r="G28" s="229"/>
      <c r="H28" s="231"/>
      <c r="I28" s="229"/>
      <c r="J28" s="229"/>
      <c r="K28" s="229"/>
      <c r="L28" s="229"/>
      <c r="M28" s="250">
        <v>55</v>
      </c>
      <c r="N28" s="249">
        <v>0</v>
      </c>
      <c r="O28" s="249">
        <v>0</v>
      </c>
      <c r="P28" s="249">
        <v>0</v>
      </c>
      <c r="Q28" s="249">
        <v>0</v>
      </c>
    </row>
    <row r="29" spans="1:17" ht="16.5">
      <c r="A29" s="382" t="s">
        <v>288</v>
      </c>
      <c r="B29" s="118" t="s">
        <v>289</v>
      </c>
      <c r="C29" s="231"/>
      <c r="D29" s="229"/>
      <c r="E29" s="229"/>
      <c r="F29" s="229"/>
      <c r="G29" s="229"/>
      <c r="H29" s="231"/>
      <c r="I29" s="229"/>
      <c r="J29" s="229"/>
      <c r="K29" s="229"/>
      <c r="L29" s="229"/>
      <c r="M29" s="250">
        <v>37</v>
      </c>
      <c r="N29" s="249">
        <v>0.2810810810810811</v>
      </c>
      <c r="O29" s="249">
        <v>0.82186706070110005</v>
      </c>
      <c r="P29" s="249">
        <v>1.1029481417821811</v>
      </c>
      <c r="Q29" s="249">
        <v>0</v>
      </c>
    </row>
    <row r="30" spans="1:17" ht="16.5">
      <c r="A30" s="382"/>
      <c r="B30" s="118" t="s">
        <v>290</v>
      </c>
      <c r="C30" s="231"/>
      <c r="D30" s="229"/>
      <c r="E30" s="229"/>
      <c r="F30" s="229"/>
      <c r="G30" s="229"/>
      <c r="H30" s="231"/>
      <c r="I30" s="229"/>
      <c r="J30" s="229"/>
      <c r="K30" s="229"/>
      <c r="L30" s="229"/>
      <c r="M30" s="250">
        <v>35</v>
      </c>
      <c r="N30" s="249">
        <v>2.8571428571428571E-2</v>
      </c>
      <c r="O30" s="249">
        <v>0.1690308509457033</v>
      </c>
      <c r="P30" s="249">
        <v>0.19760227951713188</v>
      </c>
      <c r="Q30" s="249">
        <v>0</v>
      </c>
    </row>
    <row r="31" spans="1:17" ht="16.5">
      <c r="A31" s="384" t="s">
        <v>291</v>
      </c>
      <c r="B31" s="118" t="s">
        <v>292</v>
      </c>
      <c r="C31" s="231"/>
      <c r="D31" s="230"/>
      <c r="E31" s="230"/>
      <c r="F31" s="230"/>
      <c r="G31" s="230"/>
      <c r="H31" s="231"/>
      <c r="I31" s="230"/>
      <c r="J31" s="230"/>
      <c r="K31" s="230"/>
      <c r="L31" s="230"/>
      <c r="M31" s="250">
        <v>38</v>
      </c>
      <c r="N31" s="248">
        <v>0.99648648648648663</v>
      </c>
      <c r="O31" s="248">
        <v>1.1835965955091721E-2</v>
      </c>
      <c r="P31" s="248">
        <v>1</v>
      </c>
      <c r="Q31" s="248">
        <v>0.96097858862121144</v>
      </c>
    </row>
    <row r="32" spans="1:17" ht="16.5">
      <c r="A32" s="385"/>
      <c r="B32" s="118" t="s">
        <v>293</v>
      </c>
      <c r="C32" s="231"/>
      <c r="D32" s="229"/>
      <c r="E32" s="229"/>
      <c r="F32" s="229"/>
      <c r="G32" s="229"/>
      <c r="H32" s="231"/>
      <c r="I32" s="229"/>
      <c r="J32" s="229"/>
      <c r="K32" s="229"/>
      <c r="L32" s="229"/>
      <c r="M32" s="250">
        <v>52</v>
      </c>
      <c r="N32" s="251">
        <v>2.0229032258064512</v>
      </c>
      <c r="O32" s="251">
        <v>1.8133581987542482</v>
      </c>
      <c r="P32" s="251">
        <v>3.8362614245606994</v>
      </c>
      <c r="Q32" s="251">
        <v>0.20954502705220301</v>
      </c>
    </row>
    <row r="33" spans="1:17" ht="16.5">
      <c r="A33" s="385"/>
      <c r="B33" s="118" t="s">
        <v>294</v>
      </c>
      <c r="C33" s="231"/>
      <c r="D33" s="229"/>
      <c r="E33" s="229"/>
      <c r="F33" s="229"/>
      <c r="G33" s="229"/>
      <c r="H33" s="231"/>
      <c r="I33" s="233"/>
      <c r="J33" s="229"/>
      <c r="K33" s="229"/>
      <c r="L33" s="229"/>
      <c r="M33" s="250">
        <v>54</v>
      </c>
      <c r="N33" s="251">
        <v>11.693846153846152</v>
      </c>
      <c r="O33" s="251">
        <v>5.2459348657207538</v>
      </c>
      <c r="P33" s="251">
        <v>16.939781019566908</v>
      </c>
      <c r="Q33" s="251">
        <v>6.4479112881253986</v>
      </c>
    </row>
    <row r="34" spans="1:17" ht="16.5">
      <c r="A34" s="385"/>
      <c r="B34" s="118" t="s">
        <v>295</v>
      </c>
      <c r="C34" s="231"/>
      <c r="D34" s="229"/>
      <c r="E34" s="229"/>
      <c r="F34" s="229"/>
      <c r="G34" s="229"/>
      <c r="H34" s="231"/>
      <c r="I34" s="229"/>
      <c r="J34" s="229"/>
      <c r="K34" s="229"/>
      <c r="L34" s="229"/>
      <c r="M34" s="250">
        <v>51</v>
      </c>
      <c r="N34" s="251">
        <v>1.7374999999999998</v>
      </c>
      <c r="O34" s="251">
        <v>0.96600552103322224</v>
      </c>
      <c r="P34" s="251">
        <v>2.7035055210332222</v>
      </c>
      <c r="Q34" s="251">
        <v>0.77149447896677759</v>
      </c>
    </row>
    <row r="35" spans="1:17" ht="16.5">
      <c r="A35" s="386"/>
      <c r="B35" s="118" t="s">
        <v>296</v>
      </c>
      <c r="C35" s="231"/>
      <c r="D35" s="229"/>
      <c r="E35" s="229"/>
      <c r="F35" s="229"/>
      <c r="G35" s="229"/>
      <c r="H35" s="231"/>
      <c r="I35" s="229"/>
      <c r="J35" s="229"/>
      <c r="K35" s="229"/>
      <c r="L35" s="229"/>
      <c r="M35" s="250">
        <v>53</v>
      </c>
      <c r="N35" s="251">
        <v>1.2145444444444446</v>
      </c>
      <c r="O35" s="251">
        <v>0.55978347728198286</v>
      </c>
      <c r="P35" s="251">
        <v>1.7743279217264276</v>
      </c>
      <c r="Q35" s="251">
        <v>0.65476096716246179</v>
      </c>
    </row>
    <row r="36" spans="1:17" ht="16.5">
      <c r="A36" s="386"/>
      <c r="B36" s="118" t="s">
        <v>297</v>
      </c>
      <c r="C36" s="231"/>
      <c r="D36" s="229"/>
      <c r="E36" s="229"/>
      <c r="F36" s="229"/>
      <c r="G36" s="229"/>
      <c r="H36" s="231"/>
      <c r="I36" s="229"/>
      <c r="J36" s="229"/>
      <c r="K36" s="229"/>
      <c r="L36" s="229"/>
      <c r="M36" s="250">
        <v>51</v>
      </c>
      <c r="N36" s="251">
        <v>1.3066666666666664</v>
      </c>
      <c r="O36" s="251">
        <v>0.38953574320990841</v>
      </c>
      <c r="P36" s="251">
        <v>1.6962024098765749</v>
      </c>
      <c r="Q36" s="251">
        <v>0.91713092345675795</v>
      </c>
    </row>
    <row r="37" spans="1:17" ht="16.5">
      <c r="A37" s="387"/>
      <c r="B37" s="118" t="s">
        <v>298</v>
      </c>
      <c r="C37" s="231"/>
      <c r="D37" s="229"/>
      <c r="E37" s="229"/>
      <c r="F37" s="229"/>
      <c r="G37" s="229"/>
      <c r="H37" s="231"/>
      <c r="I37" s="229"/>
      <c r="J37" s="229"/>
      <c r="K37" s="229"/>
      <c r="L37" s="229"/>
      <c r="M37" s="250">
        <v>53</v>
      </c>
      <c r="N37" s="251">
        <v>1.4405263157894739</v>
      </c>
      <c r="O37" s="251">
        <v>0.38010924868473311</v>
      </c>
      <c r="P37" s="251">
        <v>1.8206355644742069</v>
      </c>
      <c r="Q37" s="251">
        <v>1.0604170671047408</v>
      </c>
    </row>
    <row r="38" spans="1:17" ht="16.5">
      <c r="A38" s="363" t="s">
        <v>299</v>
      </c>
      <c r="B38" s="118" t="s">
        <v>300</v>
      </c>
      <c r="C38" s="231"/>
      <c r="D38" s="229"/>
      <c r="E38" s="229"/>
      <c r="F38" s="229"/>
      <c r="G38" s="229"/>
      <c r="H38" s="231"/>
      <c r="I38" s="229"/>
      <c r="J38" s="229"/>
      <c r="K38" s="229"/>
      <c r="L38" s="229"/>
      <c r="M38" s="250">
        <v>49</v>
      </c>
      <c r="N38" s="249">
        <v>4.2553191489361701E-2</v>
      </c>
      <c r="O38" s="249">
        <v>0.29172998299578912</v>
      </c>
      <c r="P38" s="249">
        <v>0.33428317448515082</v>
      </c>
      <c r="Q38" s="249">
        <v>0</v>
      </c>
    </row>
    <row r="39" spans="1:17" ht="16.5">
      <c r="A39" s="363"/>
      <c r="B39" s="118" t="s">
        <v>301</v>
      </c>
      <c r="C39" s="231"/>
      <c r="D39" s="229"/>
      <c r="E39" s="229"/>
      <c r="F39" s="229"/>
      <c r="G39" s="229"/>
      <c r="H39" s="231"/>
      <c r="I39" s="229"/>
      <c r="J39" s="229"/>
      <c r="K39" s="229"/>
      <c r="L39" s="229"/>
      <c r="M39" s="250">
        <v>49</v>
      </c>
      <c r="N39" s="249">
        <v>5.3511363636363631</v>
      </c>
      <c r="O39" s="249">
        <v>3.6626380224229256</v>
      </c>
      <c r="P39" s="249">
        <v>9.0137743860592892</v>
      </c>
      <c r="Q39" s="249">
        <v>1.6884983412134376</v>
      </c>
    </row>
    <row r="40" spans="1:17" ht="16.5">
      <c r="A40" s="363"/>
      <c r="B40" s="118" t="s">
        <v>302</v>
      </c>
      <c r="C40" s="231"/>
      <c r="D40" s="230"/>
      <c r="E40" s="230"/>
      <c r="F40" s="230"/>
      <c r="G40" s="230"/>
      <c r="H40" s="231"/>
      <c r="I40" s="230"/>
      <c r="J40" s="230"/>
      <c r="K40" s="230"/>
      <c r="L40" s="230"/>
      <c r="M40" s="250">
        <v>55</v>
      </c>
      <c r="N40" s="248">
        <v>5.4991836734693884E-2</v>
      </c>
      <c r="O40" s="248">
        <v>4.7827388582688236E-2</v>
      </c>
      <c r="P40" s="248">
        <v>0.10281922531738212</v>
      </c>
      <c r="Q40" s="248">
        <v>7.164448152005648E-3</v>
      </c>
    </row>
    <row r="41" spans="1:17" ht="16.5">
      <c r="A41" s="363"/>
      <c r="B41" s="120" t="s">
        <v>303</v>
      </c>
      <c r="C41" s="231"/>
      <c r="D41" s="229"/>
      <c r="E41" s="229"/>
      <c r="F41" s="229"/>
      <c r="G41" s="229"/>
      <c r="H41" s="231"/>
      <c r="I41" s="229"/>
      <c r="J41" s="229"/>
      <c r="K41" s="229"/>
      <c r="L41" s="229"/>
      <c r="M41" s="250">
        <v>53</v>
      </c>
      <c r="N41" s="249">
        <v>8.1632653061224483E-2</v>
      </c>
      <c r="O41" s="249">
        <v>0.39982989580349199</v>
      </c>
      <c r="P41" s="249">
        <v>0.48146254886471646</v>
      </c>
      <c r="Q41" s="249">
        <v>0</v>
      </c>
    </row>
    <row r="42" spans="1:17" ht="16.5">
      <c r="A42" s="363"/>
      <c r="B42" s="120" t="s">
        <v>304</v>
      </c>
      <c r="C42" s="231"/>
      <c r="D42" s="229"/>
      <c r="E42" s="229"/>
      <c r="F42" s="229"/>
      <c r="G42" s="229"/>
      <c r="H42" s="231"/>
      <c r="I42" s="229"/>
      <c r="J42" s="229"/>
      <c r="K42" s="229"/>
      <c r="L42" s="229"/>
      <c r="M42" s="250">
        <v>53</v>
      </c>
      <c r="N42" s="249">
        <v>6.1224489795918366E-2</v>
      </c>
      <c r="O42" s="249">
        <v>0.42857142857142855</v>
      </c>
      <c r="P42" s="249">
        <v>0.48979591836734693</v>
      </c>
      <c r="Q42" s="249">
        <v>0</v>
      </c>
    </row>
    <row r="43" spans="1:17" ht="16.5">
      <c r="A43" s="363"/>
      <c r="B43" s="120" t="s">
        <v>305</v>
      </c>
      <c r="C43" s="231"/>
      <c r="D43" s="229"/>
      <c r="E43" s="229"/>
      <c r="F43" s="229"/>
      <c r="G43" s="229"/>
      <c r="H43" s="231"/>
      <c r="I43" s="229"/>
      <c r="J43" s="229"/>
      <c r="K43" s="229"/>
      <c r="L43" s="229"/>
      <c r="M43" s="250">
        <v>40</v>
      </c>
      <c r="N43" s="249">
        <v>85.929333333333332</v>
      </c>
      <c r="O43" s="249">
        <v>26.51340940156954</v>
      </c>
      <c r="P43" s="249">
        <v>112.44274273490288</v>
      </c>
      <c r="Q43" s="249">
        <v>59.415923931763793</v>
      </c>
    </row>
    <row r="44" spans="1:17" ht="16.5">
      <c r="A44" s="390" t="s">
        <v>337</v>
      </c>
      <c r="B44" s="118" t="s">
        <v>338</v>
      </c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250">
        <v>54</v>
      </c>
      <c r="N44" s="249">
        <v>0</v>
      </c>
      <c r="O44" s="249">
        <v>0</v>
      </c>
      <c r="P44" s="249">
        <v>0</v>
      </c>
      <c r="Q44" s="249">
        <v>0</v>
      </c>
    </row>
    <row r="45" spans="1:17" ht="16.5">
      <c r="A45" s="391"/>
      <c r="B45" s="129" t="s">
        <v>339</v>
      </c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252">
        <v>48</v>
      </c>
      <c r="N45" s="253">
        <v>0.70900684634509803</v>
      </c>
      <c r="O45" s="253">
        <v>1.5177167026238636</v>
      </c>
      <c r="P45" s="253">
        <v>2.2267235489689616</v>
      </c>
      <c r="Q45" s="253">
        <v>0</v>
      </c>
    </row>
    <row r="46" spans="1:17" ht="16.5">
      <c r="A46" s="392"/>
      <c r="B46" s="131" t="s">
        <v>459</v>
      </c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254">
        <v>0</v>
      </c>
      <c r="N46" s="255" t="s">
        <v>87</v>
      </c>
      <c r="O46" s="255" t="s">
        <v>87</v>
      </c>
      <c r="P46" s="255" t="s">
        <v>87</v>
      </c>
      <c r="Q46" s="255" t="s">
        <v>87</v>
      </c>
    </row>
    <row r="47" spans="1:17" ht="16.5">
      <c r="A47" s="388" t="s">
        <v>489</v>
      </c>
      <c r="B47" s="127" t="s">
        <v>152</v>
      </c>
      <c r="C47" s="310" t="s">
        <v>309</v>
      </c>
      <c r="D47" s="136"/>
      <c r="E47" s="136"/>
      <c r="F47" s="136"/>
      <c r="G47" s="136"/>
      <c r="H47" s="136"/>
      <c r="I47" s="136"/>
      <c r="J47" s="136"/>
      <c r="K47" s="136"/>
      <c r="L47" s="136"/>
      <c r="M47" s="250">
        <v>8</v>
      </c>
      <c r="N47" s="249">
        <v>4.7056461679777666</v>
      </c>
      <c r="O47" s="249">
        <v>1.3428861548347437</v>
      </c>
      <c r="P47" s="249">
        <v>6.0485323228125107</v>
      </c>
      <c r="Q47" s="249">
        <v>3.3627600131430229</v>
      </c>
    </row>
    <row r="48" spans="1:17" ht="16.5">
      <c r="A48" s="389"/>
      <c r="B48" s="127" t="s">
        <v>460</v>
      </c>
      <c r="C48" s="310" t="s">
        <v>310</v>
      </c>
      <c r="D48" s="136"/>
      <c r="E48" s="136"/>
      <c r="F48" s="136"/>
      <c r="G48" s="136"/>
      <c r="H48" s="136"/>
      <c r="I48" s="136"/>
      <c r="J48" s="136"/>
      <c r="K48" s="136"/>
      <c r="L48" s="136"/>
      <c r="M48" s="250">
        <v>10</v>
      </c>
      <c r="N48" s="249">
        <v>5.8201926921079963</v>
      </c>
      <c r="O48" s="249">
        <v>1.7457634779590183</v>
      </c>
      <c r="P48" s="249">
        <v>7.5659561700670146</v>
      </c>
      <c r="Q48" s="249">
        <v>4.074429214148978</v>
      </c>
    </row>
    <row r="49" spans="1:17" ht="16.5">
      <c r="A49" s="389"/>
      <c r="B49" s="127" t="s">
        <v>154</v>
      </c>
      <c r="C49" s="310" t="s">
        <v>311</v>
      </c>
      <c r="D49" s="136"/>
      <c r="E49" s="136"/>
      <c r="F49" s="136"/>
      <c r="G49" s="136"/>
      <c r="H49" s="136"/>
      <c r="I49" s="136"/>
      <c r="J49" s="136"/>
      <c r="K49" s="136"/>
      <c r="L49" s="136"/>
      <c r="M49" s="250">
        <v>13</v>
      </c>
      <c r="N49" s="249">
        <v>13.708813102606207</v>
      </c>
      <c r="O49" s="249">
        <v>2.9092280317194681</v>
      </c>
      <c r="P49" s="249">
        <v>16.618041134325676</v>
      </c>
      <c r="Q49" s="249">
        <v>10.799585070886739</v>
      </c>
    </row>
    <row r="50" spans="1:17" ht="16.5">
      <c r="A50" s="389"/>
      <c r="B50" s="127" t="s">
        <v>155</v>
      </c>
      <c r="C50" s="310" t="s">
        <v>312</v>
      </c>
      <c r="D50" s="136"/>
      <c r="E50" s="136"/>
      <c r="F50" s="136"/>
      <c r="G50" s="136"/>
      <c r="H50" s="136"/>
      <c r="I50" s="136"/>
      <c r="J50" s="136"/>
      <c r="K50" s="136"/>
      <c r="L50" s="136"/>
      <c r="M50" s="250">
        <v>17</v>
      </c>
      <c r="N50" s="249">
        <v>18.058755068155673</v>
      </c>
      <c r="O50" s="249">
        <v>3.9936237527952527</v>
      </c>
      <c r="P50" s="249">
        <v>22.052378820950924</v>
      </c>
      <c r="Q50" s="249">
        <v>14.06513131536042</v>
      </c>
    </row>
    <row r="51" spans="1:17" ht="16.5">
      <c r="A51" s="389"/>
      <c r="B51" s="126" t="s">
        <v>65</v>
      </c>
      <c r="C51" s="310" t="s">
        <v>267</v>
      </c>
      <c r="D51" s="136"/>
      <c r="E51" s="136"/>
      <c r="F51" s="136"/>
      <c r="G51" s="136"/>
      <c r="H51" s="136"/>
      <c r="I51" s="136"/>
      <c r="J51" s="136"/>
      <c r="K51" s="136"/>
      <c r="L51" s="136"/>
      <c r="M51" s="250">
        <v>0</v>
      </c>
      <c r="N51" s="256" t="s">
        <v>87</v>
      </c>
      <c r="O51" s="256" t="s">
        <v>87</v>
      </c>
      <c r="P51" s="256" t="s">
        <v>87</v>
      </c>
      <c r="Q51" s="256" t="s">
        <v>87</v>
      </c>
    </row>
    <row r="52" spans="1:17" ht="16.5">
      <c r="A52" s="389"/>
      <c r="B52" s="127" t="s">
        <v>156</v>
      </c>
      <c r="C52" s="310"/>
      <c r="D52" s="136"/>
      <c r="E52" s="136"/>
      <c r="F52" s="136"/>
      <c r="G52" s="136"/>
      <c r="H52" s="136"/>
      <c r="I52" s="136"/>
      <c r="J52" s="136"/>
      <c r="K52" s="136"/>
      <c r="L52" s="136"/>
      <c r="M52" s="250">
        <v>14</v>
      </c>
      <c r="N52" s="251">
        <v>0.16970573208612161</v>
      </c>
      <c r="O52" s="251">
        <v>0.27453264754792883</v>
      </c>
      <c r="P52" s="251">
        <v>0.44423837963405044</v>
      </c>
      <c r="Q52" s="251">
        <v>0</v>
      </c>
    </row>
    <row r="53" spans="1:17" ht="16.5">
      <c r="A53" s="389"/>
      <c r="B53" s="126" t="s">
        <v>461</v>
      </c>
      <c r="C53" s="310" t="s">
        <v>314</v>
      </c>
      <c r="D53" s="136"/>
      <c r="E53" s="136"/>
      <c r="F53" s="136"/>
      <c r="G53" s="136"/>
      <c r="H53" s="136"/>
      <c r="I53" s="136"/>
      <c r="J53" s="136"/>
      <c r="K53" s="136"/>
      <c r="L53" s="136"/>
      <c r="M53" s="250">
        <v>14</v>
      </c>
      <c r="N53" s="249">
        <v>18.041677467977255</v>
      </c>
      <c r="O53" s="249">
        <v>6.245865115819095</v>
      </c>
      <c r="P53" s="249">
        <v>24.287542583796352</v>
      </c>
      <c r="Q53" s="249">
        <v>11.79581235215816</v>
      </c>
    </row>
    <row r="54" spans="1:17" ht="16.5">
      <c r="A54" s="389"/>
      <c r="B54" s="126" t="s">
        <v>157</v>
      </c>
      <c r="C54" s="310" t="s">
        <v>322</v>
      </c>
      <c r="D54" s="136"/>
      <c r="E54" s="136"/>
      <c r="F54" s="136"/>
      <c r="G54" s="136"/>
      <c r="H54" s="136"/>
      <c r="I54" s="136"/>
      <c r="J54" s="136"/>
      <c r="K54" s="136"/>
      <c r="L54" s="136"/>
      <c r="M54" s="250">
        <v>12</v>
      </c>
      <c r="N54" s="256">
        <v>0.33896005319472639</v>
      </c>
      <c r="O54" s="256">
        <v>0.36986719860521144</v>
      </c>
      <c r="P54" s="256">
        <v>0.70882725179993789</v>
      </c>
      <c r="Q54" s="256">
        <v>0</v>
      </c>
    </row>
    <row r="55" spans="1:17" ht="16.5">
      <c r="A55" s="389"/>
      <c r="B55" s="126" t="s">
        <v>462</v>
      </c>
      <c r="C55" s="310" t="s">
        <v>315</v>
      </c>
      <c r="D55" s="136"/>
      <c r="E55" s="136"/>
      <c r="F55" s="136"/>
      <c r="G55" s="136"/>
      <c r="H55" s="136"/>
      <c r="I55" s="136"/>
      <c r="J55" s="136"/>
      <c r="K55" s="136"/>
      <c r="L55" s="136"/>
      <c r="M55" s="250">
        <v>12</v>
      </c>
      <c r="N55" s="256">
        <v>0.4078556283917803</v>
      </c>
      <c r="O55" s="256">
        <v>0.30730865722110823</v>
      </c>
      <c r="P55" s="256">
        <v>0.71516428561288858</v>
      </c>
      <c r="Q55" s="256">
        <v>0.10054697117067207</v>
      </c>
    </row>
    <row r="56" spans="1:17" ht="16.5">
      <c r="A56" s="389"/>
      <c r="B56" s="127" t="s">
        <v>335</v>
      </c>
      <c r="C56" s="310" t="s">
        <v>316</v>
      </c>
      <c r="D56" s="136"/>
      <c r="E56" s="136"/>
      <c r="F56" s="136"/>
      <c r="G56" s="136"/>
      <c r="H56" s="136"/>
      <c r="I56" s="136"/>
      <c r="J56" s="136"/>
      <c r="K56" s="136"/>
      <c r="L56" s="136"/>
      <c r="M56" s="250">
        <v>12</v>
      </c>
      <c r="N56" s="256">
        <v>1.1022189893564049E-2</v>
      </c>
      <c r="O56" s="256">
        <v>1.5804177174489842E-2</v>
      </c>
      <c r="P56" s="256">
        <v>2.6826367068053893E-2</v>
      </c>
      <c r="Q56" s="256">
        <v>0</v>
      </c>
    </row>
    <row r="57" spans="1:17" ht="16.5">
      <c r="A57" s="389"/>
      <c r="B57" s="126" t="s">
        <v>334</v>
      </c>
      <c r="C57" s="311" t="s">
        <v>317</v>
      </c>
      <c r="D57" s="136"/>
      <c r="E57" s="136"/>
      <c r="F57" s="136"/>
      <c r="G57" s="136"/>
      <c r="H57" s="136"/>
      <c r="I57" s="136"/>
      <c r="J57" s="136"/>
      <c r="K57" s="136"/>
      <c r="L57" s="136"/>
      <c r="M57" s="250">
        <v>15</v>
      </c>
      <c r="N57" s="256">
        <v>0.95878917408824449</v>
      </c>
      <c r="O57" s="256">
        <v>6.8571348307243637E-2</v>
      </c>
      <c r="P57" s="256">
        <v>1.1645032190099753</v>
      </c>
      <c r="Q57" s="256">
        <v>0.75307512916651365</v>
      </c>
    </row>
    <row r="58" spans="1:17" ht="16.5">
      <c r="A58" s="389"/>
      <c r="B58" s="126" t="s">
        <v>158</v>
      </c>
      <c r="C58" s="312" t="s">
        <v>318</v>
      </c>
      <c r="D58" s="136"/>
      <c r="E58" s="136"/>
      <c r="F58" s="136"/>
      <c r="G58" s="136"/>
      <c r="H58" s="136"/>
      <c r="I58" s="136"/>
      <c r="J58" s="136"/>
      <c r="K58" s="136"/>
      <c r="L58" s="136"/>
      <c r="M58" s="250">
        <v>4</v>
      </c>
      <c r="N58" s="256">
        <v>0.95750000000000002</v>
      </c>
      <c r="O58" s="256">
        <v>1.5000000000000015E-2</v>
      </c>
      <c r="P58" s="256">
        <v>1.0025000000000002</v>
      </c>
      <c r="Q58" s="256">
        <v>0.91249999999999998</v>
      </c>
    </row>
    <row r="59" spans="1:17" ht="16.5">
      <c r="A59" s="389"/>
      <c r="B59" s="126" t="s">
        <v>463</v>
      </c>
      <c r="C59" s="310" t="s">
        <v>319</v>
      </c>
      <c r="D59" s="136"/>
      <c r="E59" s="136"/>
      <c r="F59" s="136"/>
      <c r="G59" s="136"/>
      <c r="H59" s="136"/>
      <c r="I59" s="136"/>
      <c r="J59" s="136"/>
      <c r="K59" s="136"/>
      <c r="L59" s="136"/>
      <c r="M59" s="250">
        <v>13</v>
      </c>
      <c r="N59" s="249">
        <v>3.9230769230769229</v>
      </c>
      <c r="O59" s="249">
        <v>1.3204505835470499</v>
      </c>
      <c r="P59" s="249">
        <v>5.2435275066239733</v>
      </c>
      <c r="Q59" s="249">
        <v>2.602626339529873</v>
      </c>
    </row>
    <row r="60" spans="1:17" ht="16.5">
      <c r="A60" s="389"/>
      <c r="B60" s="126" t="s">
        <v>82</v>
      </c>
      <c r="C60" s="310" t="s">
        <v>307</v>
      </c>
      <c r="D60" s="136"/>
      <c r="E60" s="136"/>
      <c r="F60" s="136"/>
      <c r="G60" s="136"/>
      <c r="H60" s="136"/>
      <c r="I60" s="136"/>
      <c r="J60" s="136"/>
      <c r="K60" s="136"/>
      <c r="L60" s="136"/>
      <c r="M60" s="250">
        <v>0</v>
      </c>
      <c r="N60" s="249" t="s">
        <v>87</v>
      </c>
      <c r="O60" s="249" t="s">
        <v>87</v>
      </c>
      <c r="P60" s="249" t="s">
        <v>87</v>
      </c>
      <c r="Q60" s="249" t="s">
        <v>87</v>
      </c>
    </row>
    <row r="61" spans="1:17">
      <c r="C61" s="136"/>
    </row>
  </sheetData>
  <mergeCells count="14">
    <mergeCell ref="A14:A16"/>
    <mergeCell ref="A1:B2"/>
    <mergeCell ref="C1:G1"/>
    <mergeCell ref="H1:L1"/>
    <mergeCell ref="M1:Q1"/>
    <mergeCell ref="A3:A13"/>
    <mergeCell ref="A47:A60"/>
    <mergeCell ref="A44:A46"/>
    <mergeCell ref="A31:A37"/>
    <mergeCell ref="A17:A20"/>
    <mergeCell ref="A21:A25"/>
    <mergeCell ref="A27:A28"/>
    <mergeCell ref="A29:A30"/>
    <mergeCell ref="A38:A43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workbookViewId="0">
      <selection activeCell="A31" sqref="A31:A37"/>
    </sheetView>
  </sheetViews>
  <sheetFormatPr defaultRowHeight="14.25"/>
  <cols>
    <col min="1" max="1" width="9" style="116"/>
    <col min="2" max="2" width="35.5" style="116" bestFit="1" customWidth="1"/>
    <col min="3" max="3" width="7.25" style="116" customWidth="1"/>
    <col min="4" max="4" width="10.7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 ht="16.5">
      <c r="A3" s="351" t="s">
        <v>258</v>
      </c>
      <c r="B3" s="117" t="s">
        <v>259</v>
      </c>
      <c r="C3" s="250">
        <v>21</v>
      </c>
      <c r="D3" s="257">
        <v>32.723686149505689</v>
      </c>
      <c r="E3" s="258">
        <v>4.7763719909363269</v>
      </c>
      <c r="F3" s="258">
        <v>37.500058140442015</v>
      </c>
      <c r="G3" s="258">
        <v>27.947314158569363</v>
      </c>
      <c r="H3" s="231">
        <v>31</v>
      </c>
      <c r="I3" s="229">
        <v>33.4258064516129</v>
      </c>
      <c r="J3" s="229">
        <v>1.957668297054004</v>
      </c>
      <c r="K3" s="229">
        <v>39.298811342774911</v>
      </c>
      <c r="L3" s="229">
        <v>27.552801560450888</v>
      </c>
      <c r="M3" s="135">
        <f>IFERROR(C3+H3,"")</f>
        <v>52</v>
      </c>
      <c r="N3" s="136">
        <f>IFERROR((C3*D3+H3*I3)/M3,"")</f>
        <v>33.142257868069606</v>
      </c>
      <c r="O3" s="136">
        <f>IFERROR((E3+J3)/2,"")</f>
        <v>3.3670201439951652</v>
      </c>
      <c r="P3" s="136">
        <f>IFERROR(MAXA(F3,K3),"")</f>
        <v>39.298811342774911</v>
      </c>
      <c r="Q3" s="136">
        <f>IFERROR(MINA(G3,L3),"")</f>
        <v>27.552801560450888</v>
      </c>
    </row>
    <row r="4" spans="1:17" ht="16.5">
      <c r="A4" s="351"/>
      <c r="B4" s="118" t="s">
        <v>333</v>
      </c>
      <c r="C4" s="250">
        <v>11</v>
      </c>
      <c r="D4" s="257">
        <v>55.625383425631391</v>
      </c>
      <c r="E4" s="258">
        <v>9.3042068284433821</v>
      </c>
      <c r="F4" s="258">
        <v>64.929590254074768</v>
      </c>
      <c r="G4" s="258">
        <v>46.321176597188007</v>
      </c>
      <c r="H4" s="231">
        <v>16</v>
      </c>
      <c r="I4" s="229">
        <v>57.268125000000012</v>
      </c>
      <c r="J4" s="229">
        <v>1.4221308835687381</v>
      </c>
      <c r="K4" s="229">
        <v>61.534517650706228</v>
      </c>
      <c r="L4" s="229">
        <v>53.001732349293796</v>
      </c>
      <c r="M4" s="135">
        <f t="shared" ref="M4:M5" si="0">IFERROR(C4+H4,"")</f>
        <v>27</v>
      </c>
      <c r="N4" s="136">
        <f t="shared" ref="N4:N5" si="1">IFERROR((C4*D4+H4*I4)/M4,"")</f>
        <v>56.598859914146132</v>
      </c>
      <c r="O4" s="136">
        <f t="shared" ref="O4:O5" si="2">IFERROR((E4+J4)/2,"")</f>
        <v>5.3631688560060597</v>
      </c>
      <c r="P4" s="136">
        <f t="shared" ref="P4:P5" si="3">IFERROR(MAXA(F4,K4),"")</f>
        <v>64.929590254074768</v>
      </c>
      <c r="Q4" s="136">
        <f t="shared" ref="Q4:Q5" si="4">IFERROR(MINA(G4,L4),"")</f>
        <v>46.321176597188007</v>
      </c>
    </row>
    <row r="5" spans="1:17" ht="16.5">
      <c r="A5" s="351"/>
      <c r="B5" s="118" t="s">
        <v>263</v>
      </c>
      <c r="C5" s="250">
        <v>21</v>
      </c>
      <c r="D5" s="257">
        <v>0.70658833467730109</v>
      </c>
      <c r="E5" s="258">
        <v>0.31848367640398967</v>
      </c>
      <c r="F5" s="258">
        <v>1.0250720110812908</v>
      </c>
      <c r="G5" s="258">
        <v>0.38810465827331142</v>
      </c>
      <c r="H5" s="231">
        <v>29</v>
      </c>
      <c r="I5" s="229">
        <v>0.77517241379310353</v>
      </c>
      <c r="J5" s="229">
        <v>5.1451828348408453E-2</v>
      </c>
      <c r="K5" s="229">
        <v>0.92952789883832887</v>
      </c>
      <c r="L5" s="229">
        <v>0.62081692874787819</v>
      </c>
      <c r="M5" s="135">
        <f t="shared" si="0"/>
        <v>50</v>
      </c>
      <c r="N5" s="136">
        <f t="shared" si="1"/>
        <v>0.74636710056446642</v>
      </c>
      <c r="O5" s="136">
        <f t="shared" si="2"/>
        <v>0.18496775237619906</v>
      </c>
      <c r="P5" s="136">
        <f t="shared" si="3"/>
        <v>1.0250720110812908</v>
      </c>
      <c r="Q5" s="136">
        <f t="shared" si="4"/>
        <v>0.38810465827331142</v>
      </c>
    </row>
    <row r="6" spans="1:17" ht="16.5">
      <c r="A6" s="351"/>
      <c r="B6" s="118" t="s">
        <v>257</v>
      </c>
      <c r="C6" s="250">
        <v>19</v>
      </c>
      <c r="D6" s="257">
        <v>1.3786080172557447</v>
      </c>
      <c r="E6" s="258">
        <v>0.43328543259926744</v>
      </c>
      <c r="F6" s="258">
        <v>1.8118934498550121</v>
      </c>
      <c r="G6" s="258">
        <v>0.94532258465647723</v>
      </c>
      <c r="H6" s="231">
        <v>14</v>
      </c>
      <c r="I6" s="229">
        <v>1.5035714285714283</v>
      </c>
      <c r="J6" s="229">
        <v>0.20619658815565647</v>
      </c>
      <c r="K6" s="229">
        <v>1.7097680167270848</v>
      </c>
      <c r="L6" s="229">
        <v>1.2973748404157719</v>
      </c>
      <c r="M6" s="135">
        <f t="shared" ref="M6:M43" si="5">IFERROR(C6+H6,"")</f>
        <v>33</v>
      </c>
      <c r="N6" s="136">
        <f t="shared" ref="N6:N43" si="6">IFERROR((C6*D6+H6*I6)/M6,"")</f>
        <v>1.4316227978139136</v>
      </c>
      <c r="O6" s="136">
        <f t="shared" ref="O6:O43" si="7">IFERROR((E6+J6)/2,"")</f>
        <v>0.31974101037746194</v>
      </c>
      <c r="P6" s="136">
        <f t="shared" ref="P6:P43" si="8">IFERROR(MAXA(F6,K6),"")</f>
        <v>1.8118934498550121</v>
      </c>
      <c r="Q6" s="136">
        <f t="shared" ref="Q6:Q43" si="9">IFERROR(MINA(G6,L6),"")</f>
        <v>0.94532258465647723</v>
      </c>
    </row>
    <row r="7" spans="1:17" ht="16.5">
      <c r="A7" s="351"/>
      <c r="B7" s="118" t="s">
        <v>329</v>
      </c>
      <c r="C7" s="250">
        <v>20</v>
      </c>
      <c r="D7" s="257">
        <v>9.2771827271758305</v>
      </c>
      <c r="E7" s="258">
        <v>6.0869232002119835</v>
      </c>
      <c r="F7" s="258">
        <v>15.364105927387815</v>
      </c>
      <c r="G7" s="258">
        <v>3.190259526963847</v>
      </c>
      <c r="H7" s="231">
        <v>31</v>
      </c>
      <c r="I7" s="229">
        <v>9.8751612903225805</v>
      </c>
      <c r="J7" s="229">
        <v>2.8206132559755366</v>
      </c>
      <c r="K7" s="229">
        <v>12.695774546298118</v>
      </c>
      <c r="L7" s="229">
        <v>7.0545480343470439</v>
      </c>
      <c r="M7" s="135">
        <f t="shared" si="5"/>
        <v>51</v>
      </c>
      <c r="N7" s="136">
        <f t="shared" si="6"/>
        <v>9.6406598930101293</v>
      </c>
      <c r="O7" s="136">
        <f t="shared" si="7"/>
        <v>4.4537682280937601</v>
      </c>
      <c r="P7" s="136">
        <f t="shared" si="8"/>
        <v>15.364105927387815</v>
      </c>
      <c r="Q7" s="136">
        <f t="shared" si="9"/>
        <v>3.190259526963847</v>
      </c>
    </row>
    <row r="8" spans="1:17" ht="16.5">
      <c r="A8" s="351"/>
      <c r="B8" s="118" t="s">
        <v>264</v>
      </c>
      <c r="C8" s="250">
        <v>23</v>
      </c>
      <c r="D8" s="257">
        <v>12.598822743430654</v>
      </c>
      <c r="E8" s="258">
        <v>6.3647242274727081</v>
      </c>
      <c r="F8" s="258">
        <v>18.963546970903362</v>
      </c>
      <c r="G8" s="258">
        <v>6.2340985159579461</v>
      </c>
      <c r="H8" s="231">
        <v>32</v>
      </c>
      <c r="I8" s="261">
        <v>18.145</v>
      </c>
      <c r="J8" s="233">
        <v>6.4933832326801433</v>
      </c>
      <c r="K8" s="233">
        <v>24.638383232680141</v>
      </c>
      <c r="L8" s="233">
        <v>11.651616767319856</v>
      </c>
      <c r="M8" s="135">
        <f t="shared" si="5"/>
        <v>55</v>
      </c>
      <c r="N8" s="136">
        <f t="shared" si="6"/>
        <v>15.825689510889182</v>
      </c>
      <c r="O8" s="136">
        <f t="shared" si="7"/>
        <v>6.4290537300764257</v>
      </c>
      <c r="P8" s="136">
        <f t="shared" si="8"/>
        <v>24.638383232680141</v>
      </c>
      <c r="Q8" s="136">
        <f t="shared" si="9"/>
        <v>6.2340985159579461</v>
      </c>
    </row>
    <row r="9" spans="1:17" ht="16.5">
      <c r="A9" s="351"/>
      <c r="B9" s="118" t="s">
        <v>265</v>
      </c>
      <c r="C9" s="250">
        <v>20</v>
      </c>
      <c r="D9" s="257">
        <v>105.95086806827979</v>
      </c>
      <c r="E9" s="258">
        <v>26.706668174686456</v>
      </c>
      <c r="F9" s="258">
        <v>132.65753624296624</v>
      </c>
      <c r="G9" s="258">
        <v>79.244199893593333</v>
      </c>
      <c r="H9" s="231">
        <v>23</v>
      </c>
      <c r="I9" s="229">
        <v>104.74130434782607</v>
      </c>
      <c r="J9" s="229">
        <v>13.965521929623675</v>
      </c>
      <c r="K9" s="229">
        <v>118.70682627744975</v>
      </c>
      <c r="L9" s="229">
        <v>90.775782418202397</v>
      </c>
      <c r="M9" s="135">
        <f t="shared" si="5"/>
        <v>43</v>
      </c>
      <c r="N9" s="136">
        <f t="shared" si="6"/>
        <v>105.30389212478129</v>
      </c>
      <c r="O9" s="136">
        <f t="shared" si="7"/>
        <v>20.336095052155066</v>
      </c>
      <c r="P9" s="136">
        <f t="shared" si="8"/>
        <v>132.65753624296624</v>
      </c>
      <c r="Q9" s="136">
        <f t="shared" si="9"/>
        <v>79.244199893593333</v>
      </c>
    </row>
    <row r="10" spans="1:17" ht="16.5">
      <c r="A10" s="351"/>
      <c r="B10" s="118" t="s">
        <v>266</v>
      </c>
      <c r="C10" s="250">
        <v>13</v>
      </c>
      <c r="D10" s="257">
        <v>8.4607692307692322</v>
      </c>
      <c r="E10" s="258">
        <v>4.4152471836022604</v>
      </c>
      <c r="F10" s="258">
        <v>12.876016414371492</v>
      </c>
      <c r="G10" s="258">
        <v>4.0455220471669717</v>
      </c>
      <c r="H10" s="231">
        <v>21</v>
      </c>
      <c r="I10" s="262">
        <v>7.57095238095238</v>
      </c>
      <c r="J10" s="262">
        <v>1.8470622749704635</v>
      </c>
      <c r="K10" s="262">
        <v>9.4180146559228426</v>
      </c>
      <c r="L10" s="262">
        <v>5.7238901059819165</v>
      </c>
      <c r="M10" s="135">
        <f t="shared" si="5"/>
        <v>34</v>
      </c>
      <c r="N10" s="136">
        <f t="shared" si="6"/>
        <v>7.9111764705882361</v>
      </c>
      <c r="O10" s="136">
        <f t="shared" si="7"/>
        <v>3.131154729286362</v>
      </c>
      <c r="P10" s="136">
        <f t="shared" si="8"/>
        <v>12.876016414371492</v>
      </c>
      <c r="Q10" s="136">
        <f t="shared" si="9"/>
        <v>4.0455220471669717</v>
      </c>
    </row>
    <row r="11" spans="1:17" ht="16.5">
      <c r="A11" s="351"/>
      <c r="B11" s="118" t="s">
        <v>267</v>
      </c>
      <c r="C11" s="250">
        <v>21</v>
      </c>
      <c r="D11" s="259">
        <v>2.6078849172944413E-2</v>
      </c>
      <c r="E11" s="260">
        <v>2.8898380775128501E-2</v>
      </c>
      <c r="F11" s="260">
        <v>5.4977229948072914E-2</v>
      </c>
      <c r="G11" s="260">
        <v>0</v>
      </c>
      <c r="H11" s="231">
        <v>31</v>
      </c>
      <c r="I11" s="230">
        <v>2.0634352967980038E-2</v>
      </c>
      <c r="J11" s="230">
        <v>1.7950000615302462E-2</v>
      </c>
      <c r="K11" s="230">
        <v>3.85843535832825E-2</v>
      </c>
      <c r="L11" s="230">
        <v>2.6843523526775756E-3</v>
      </c>
      <c r="M11" s="135">
        <f t="shared" si="5"/>
        <v>52</v>
      </c>
      <c r="N11" s="230">
        <f t="shared" si="6"/>
        <v>2.2833091819984882E-2</v>
      </c>
      <c r="O11" s="230">
        <f t="shared" si="7"/>
        <v>2.342419069521548E-2</v>
      </c>
      <c r="P11" s="230">
        <f t="shared" si="8"/>
        <v>5.4977229948072914E-2</v>
      </c>
      <c r="Q11" s="230">
        <f t="shared" si="9"/>
        <v>0</v>
      </c>
    </row>
    <row r="12" spans="1:17" ht="16.5">
      <c r="A12" s="351"/>
      <c r="B12" s="118" t="s">
        <v>355</v>
      </c>
      <c r="C12" s="250">
        <v>28</v>
      </c>
      <c r="D12" s="259">
        <v>1.7857142857142859E-3</v>
      </c>
      <c r="E12" s="260">
        <v>9.449111825230682E-3</v>
      </c>
      <c r="F12" s="260">
        <v>1.1234826110944968E-2</v>
      </c>
      <c r="G12" s="260">
        <v>-7.6633975395163957E-3</v>
      </c>
      <c r="H12" s="231">
        <v>44</v>
      </c>
      <c r="I12" s="230">
        <v>0</v>
      </c>
      <c r="J12" s="230">
        <v>0</v>
      </c>
      <c r="K12" s="230">
        <v>0</v>
      </c>
      <c r="L12" s="230">
        <v>0</v>
      </c>
      <c r="M12" s="135">
        <f t="shared" si="5"/>
        <v>72</v>
      </c>
      <c r="N12" s="230">
        <f t="shared" si="6"/>
        <v>6.9444444444444447E-4</v>
      </c>
      <c r="O12" s="230">
        <f t="shared" si="7"/>
        <v>4.724555912615341E-3</v>
      </c>
      <c r="P12" s="230">
        <f t="shared" si="8"/>
        <v>1.1234826110944968E-2</v>
      </c>
      <c r="Q12" s="230">
        <f t="shared" si="9"/>
        <v>-7.6633975395163957E-3</v>
      </c>
    </row>
    <row r="13" spans="1:17" ht="16.5">
      <c r="A13" s="351"/>
      <c r="B13" s="118" t="s">
        <v>268</v>
      </c>
      <c r="C13" s="250">
        <v>20</v>
      </c>
      <c r="D13" s="259">
        <v>2.2711405540501387E-2</v>
      </c>
      <c r="E13" s="260">
        <v>2.8088247214631691E-2</v>
      </c>
      <c r="F13" s="260">
        <v>5.0799652755133082E-2</v>
      </c>
      <c r="G13" s="260">
        <v>-5.3768416741303039E-3</v>
      </c>
      <c r="H13" s="231">
        <v>43</v>
      </c>
      <c r="I13" s="230">
        <v>1.4215877728297324E-2</v>
      </c>
      <c r="J13" s="230">
        <v>1.4692540214480769E-2</v>
      </c>
      <c r="K13" s="230">
        <v>2.890841794277809E-2</v>
      </c>
      <c r="L13" s="230">
        <v>-4.7666248618344516E-4</v>
      </c>
      <c r="M13" s="135">
        <f t="shared" si="5"/>
        <v>63</v>
      </c>
      <c r="N13" s="230">
        <f t="shared" si="6"/>
        <v>1.6912870684552581E-2</v>
      </c>
      <c r="O13" s="230">
        <f t="shared" si="7"/>
        <v>2.1390393714556231E-2</v>
      </c>
      <c r="P13" s="230">
        <f t="shared" si="8"/>
        <v>5.0799652755133082E-2</v>
      </c>
      <c r="Q13" s="230">
        <f t="shared" si="9"/>
        <v>-5.3768416741303039E-3</v>
      </c>
    </row>
    <row r="14" spans="1:17" ht="16.5">
      <c r="A14" s="382" t="s">
        <v>269</v>
      </c>
      <c r="B14" s="118" t="s">
        <v>270</v>
      </c>
      <c r="C14" s="250">
        <v>21</v>
      </c>
      <c r="D14" s="259">
        <v>0.95553107899846135</v>
      </c>
      <c r="E14" s="260">
        <v>6.0854235526472934E-2</v>
      </c>
      <c r="F14" s="260">
        <v>1</v>
      </c>
      <c r="G14" s="260">
        <v>0.77296837241904259</v>
      </c>
      <c r="H14" s="231">
        <v>47</v>
      </c>
      <c r="I14" s="230">
        <v>0.97038297872340418</v>
      </c>
      <c r="J14" s="230">
        <v>4.9196391344986913E-2</v>
      </c>
      <c r="K14" s="230">
        <v>1</v>
      </c>
      <c r="L14" s="230">
        <v>0.82279380468844343</v>
      </c>
      <c r="M14" s="135">
        <f t="shared" si="5"/>
        <v>68</v>
      </c>
      <c r="N14" s="230">
        <f t="shared" si="6"/>
        <v>0.96579636263187774</v>
      </c>
      <c r="O14" s="230">
        <f t="shared" si="7"/>
        <v>5.5025313435729924E-2</v>
      </c>
      <c r="P14" s="230">
        <f t="shared" si="8"/>
        <v>1</v>
      </c>
      <c r="Q14" s="230">
        <f t="shared" si="9"/>
        <v>0.77296837241904259</v>
      </c>
    </row>
    <row r="15" spans="1:17" ht="16.5">
      <c r="A15" s="382"/>
      <c r="B15" s="118" t="s">
        <v>271</v>
      </c>
      <c r="C15" s="250">
        <v>9</v>
      </c>
      <c r="D15" s="257">
        <v>0.79130434782608705</v>
      </c>
      <c r="E15" s="258">
        <v>9.9050310868646449E-2</v>
      </c>
      <c r="F15" s="258">
        <v>0.89035465869473351</v>
      </c>
      <c r="G15" s="258">
        <v>0.69225403695744059</v>
      </c>
      <c r="H15" s="231">
        <v>23</v>
      </c>
      <c r="I15" s="229">
        <v>0.76086956521739135</v>
      </c>
      <c r="J15" s="229">
        <v>0.19078576856297769</v>
      </c>
      <c r="K15" s="229">
        <v>0.95165533378036904</v>
      </c>
      <c r="L15" s="229">
        <v>0.57008379665441367</v>
      </c>
      <c r="M15" s="135">
        <f t="shared" si="5"/>
        <v>32</v>
      </c>
      <c r="N15" s="136">
        <f t="shared" si="6"/>
        <v>0.76942934782608696</v>
      </c>
      <c r="O15" s="136">
        <f t="shared" si="7"/>
        <v>0.14491803971581207</v>
      </c>
      <c r="P15" s="136">
        <f t="shared" si="8"/>
        <v>0.95165533378036904</v>
      </c>
      <c r="Q15" s="136">
        <f t="shared" si="9"/>
        <v>0.57008379665441367</v>
      </c>
    </row>
    <row r="16" spans="1:17" ht="16.5">
      <c r="A16" s="382"/>
      <c r="B16" s="118" t="s">
        <v>272</v>
      </c>
      <c r="C16" s="250">
        <v>17</v>
      </c>
      <c r="D16" s="257">
        <v>0.53529549671531029</v>
      </c>
      <c r="E16" s="258">
        <v>0.24217951272020116</v>
      </c>
      <c r="F16" s="258">
        <v>0.7774750094355114</v>
      </c>
      <c r="G16" s="258">
        <v>0.29311598399510913</v>
      </c>
      <c r="H16" s="231">
        <v>29</v>
      </c>
      <c r="I16" s="229">
        <v>0.51310344827586218</v>
      </c>
      <c r="J16" s="229">
        <v>0.27483895866847263</v>
      </c>
      <c r="K16" s="229">
        <v>0.78794240694433482</v>
      </c>
      <c r="L16" s="229">
        <v>0.23826448960738955</v>
      </c>
      <c r="M16" s="135">
        <f t="shared" si="5"/>
        <v>46</v>
      </c>
      <c r="N16" s="136">
        <f t="shared" si="6"/>
        <v>0.52130485748174515</v>
      </c>
      <c r="O16" s="136">
        <f t="shared" si="7"/>
        <v>0.25850923569433693</v>
      </c>
      <c r="P16" s="136">
        <f t="shared" si="8"/>
        <v>0.78794240694433482</v>
      </c>
      <c r="Q16" s="136">
        <f t="shared" si="9"/>
        <v>0.23826448960738955</v>
      </c>
    </row>
    <row r="17" spans="1:17" ht="16.5">
      <c r="A17" s="382" t="s">
        <v>273</v>
      </c>
      <c r="B17" s="118" t="s">
        <v>306</v>
      </c>
      <c r="C17" s="250">
        <v>25</v>
      </c>
      <c r="D17" s="257">
        <v>7.62386283963815</v>
      </c>
      <c r="E17" s="258">
        <v>2.5965700233248827</v>
      </c>
      <c r="F17" s="258">
        <v>10.220432862963033</v>
      </c>
      <c r="G17" s="258">
        <v>5.0272928163132669</v>
      </c>
      <c r="H17" s="231">
        <v>37</v>
      </c>
      <c r="I17" s="229">
        <v>6.9473243243243221</v>
      </c>
      <c r="J17" s="229">
        <v>2.190481657510948</v>
      </c>
      <c r="K17" s="229">
        <v>9.137805981835271</v>
      </c>
      <c r="L17" s="229">
        <v>4.7568426668133741</v>
      </c>
      <c r="M17" s="135">
        <f t="shared" si="5"/>
        <v>62</v>
      </c>
      <c r="N17" s="136">
        <f t="shared" si="6"/>
        <v>7.2201221127573172</v>
      </c>
      <c r="O17" s="136">
        <f t="shared" si="7"/>
        <v>2.3935258404179152</v>
      </c>
      <c r="P17" s="136">
        <f t="shared" si="8"/>
        <v>10.220432862963033</v>
      </c>
      <c r="Q17" s="136">
        <f t="shared" si="9"/>
        <v>4.7568426668133741</v>
      </c>
    </row>
    <row r="18" spans="1:17" ht="16.5">
      <c r="A18" s="382"/>
      <c r="B18" s="118" t="s">
        <v>274</v>
      </c>
      <c r="C18" s="250">
        <v>10</v>
      </c>
      <c r="D18" s="257">
        <v>1.4</v>
      </c>
      <c r="E18" s="258">
        <v>0.60369234254249482</v>
      </c>
      <c r="F18" s="258">
        <v>2.0036923425424948</v>
      </c>
      <c r="G18" s="258">
        <v>0.79630765745750509</v>
      </c>
      <c r="H18" s="263">
        <v>9</v>
      </c>
      <c r="I18" s="229">
        <v>1.5111111111111111</v>
      </c>
      <c r="J18" s="229">
        <v>0.82225975890293423</v>
      </c>
      <c r="K18" s="229">
        <v>2.3333708700140452</v>
      </c>
      <c r="L18" s="229">
        <v>0.68885135220817684</v>
      </c>
      <c r="M18" s="135">
        <f t="shared" si="5"/>
        <v>19</v>
      </c>
      <c r="N18" s="136">
        <f t="shared" si="6"/>
        <v>1.4526315789473685</v>
      </c>
      <c r="O18" s="136">
        <f t="shared" si="7"/>
        <v>0.71297605072271453</v>
      </c>
      <c r="P18" s="136">
        <f t="shared" si="8"/>
        <v>2.3333708700140452</v>
      </c>
      <c r="Q18" s="136">
        <f t="shared" si="9"/>
        <v>0.68885135220817684</v>
      </c>
    </row>
    <row r="19" spans="1:17" ht="16.5">
      <c r="A19" s="382"/>
      <c r="B19" s="118" t="s">
        <v>275</v>
      </c>
      <c r="C19" s="250">
        <v>25</v>
      </c>
      <c r="D19" s="257">
        <v>0</v>
      </c>
      <c r="E19" s="258">
        <v>0</v>
      </c>
      <c r="F19" s="258">
        <v>0</v>
      </c>
      <c r="G19" s="258">
        <v>0</v>
      </c>
      <c r="H19" s="231">
        <v>47</v>
      </c>
      <c r="I19" s="229">
        <v>0.51063829787234039</v>
      </c>
      <c r="J19" s="229">
        <v>1.8281891780325417</v>
      </c>
      <c r="K19" s="229">
        <v>2.3388274759048819</v>
      </c>
      <c r="L19" s="229">
        <v>0</v>
      </c>
      <c r="M19" s="135">
        <f t="shared" si="5"/>
        <v>72</v>
      </c>
      <c r="N19" s="136">
        <f t="shared" si="6"/>
        <v>0.33333333333333326</v>
      </c>
      <c r="O19" s="136">
        <f t="shared" si="7"/>
        <v>0.91409458901627083</v>
      </c>
      <c r="P19" s="136">
        <f t="shared" si="8"/>
        <v>2.3388274759048819</v>
      </c>
      <c r="Q19" s="136">
        <f t="shared" si="9"/>
        <v>0</v>
      </c>
    </row>
    <row r="20" spans="1:17" ht="16.5">
      <c r="A20" s="382"/>
      <c r="B20" s="118" t="s">
        <v>276</v>
      </c>
      <c r="C20" s="250">
        <v>28</v>
      </c>
      <c r="D20" s="257">
        <v>0</v>
      </c>
      <c r="E20" s="258">
        <v>0</v>
      </c>
      <c r="F20" s="258">
        <v>0</v>
      </c>
      <c r="G20" s="258">
        <v>0</v>
      </c>
      <c r="H20" s="231">
        <v>47</v>
      </c>
      <c r="I20" s="229">
        <v>0</v>
      </c>
      <c r="J20" s="229">
        <v>0</v>
      </c>
      <c r="K20" s="229">
        <v>0</v>
      </c>
      <c r="L20" s="229">
        <v>0</v>
      </c>
      <c r="M20" s="135">
        <f t="shared" si="5"/>
        <v>75</v>
      </c>
      <c r="N20" s="136">
        <f t="shared" si="6"/>
        <v>0</v>
      </c>
      <c r="O20" s="136">
        <f t="shared" si="7"/>
        <v>0</v>
      </c>
      <c r="P20" s="136">
        <f t="shared" si="8"/>
        <v>0</v>
      </c>
      <c r="Q20" s="136">
        <f t="shared" si="9"/>
        <v>0</v>
      </c>
    </row>
    <row r="21" spans="1:17" ht="16.5">
      <c r="A21" s="382" t="s">
        <v>277</v>
      </c>
      <c r="B21" s="118" t="s">
        <v>278</v>
      </c>
      <c r="C21" s="250">
        <v>21</v>
      </c>
      <c r="D21" s="257">
        <v>0.3577429072981701</v>
      </c>
      <c r="E21" s="258">
        <v>0.38085023482838792</v>
      </c>
      <c r="F21" s="258">
        <v>0.73859314212655802</v>
      </c>
      <c r="G21" s="258">
        <v>0</v>
      </c>
      <c r="H21" s="231">
        <v>32</v>
      </c>
      <c r="I21" s="229">
        <v>0.43843749999999992</v>
      </c>
      <c r="J21" s="229">
        <v>0.41223317372104967</v>
      </c>
      <c r="K21" s="229">
        <v>0.85067067372104965</v>
      </c>
      <c r="L21" s="229">
        <v>2.6204326278950252E-2</v>
      </c>
      <c r="M21" s="135">
        <f t="shared" si="5"/>
        <v>53</v>
      </c>
      <c r="N21" s="136">
        <f t="shared" si="6"/>
        <v>0.40646417081625608</v>
      </c>
      <c r="O21" s="136">
        <f t="shared" si="7"/>
        <v>0.3965417042747188</v>
      </c>
      <c r="P21" s="136">
        <f t="shared" si="8"/>
        <v>0.85067067372104965</v>
      </c>
      <c r="Q21" s="136">
        <f t="shared" si="9"/>
        <v>0</v>
      </c>
    </row>
    <row r="22" spans="1:17" ht="16.5">
      <c r="A22" s="382"/>
      <c r="B22" s="118" t="s">
        <v>279</v>
      </c>
      <c r="C22" s="250">
        <v>23</v>
      </c>
      <c r="D22" s="257">
        <v>6.2943022216876449E-2</v>
      </c>
      <c r="E22" s="258">
        <v>0.10786538456212279</v>
      </c>
      <c r="F22" s="258">
        <v>0.17080840677899922</v>
      </c>
      <c r="G22" s="258">
        <v>0</v>
      </c>
      <c r="H22" s="231">
        <v>31</v>
      </c>
      <c r="I22" s="229">
        <v>7.9793548387096791E-2</v>
      </c>
      <c r="J22" s="229">
        <v>5.2773616738441484E-2</v>
      </c>
      <c r="K22" s="229">
        <v>0.13256716512553829</v>
      </c>
      <c r="L22" s="229">
        <v>2.7019931648655307E-2</v>
      </c>
      <c r="M22" s="135">
        <f t="shared" si="5"/>
        <v>54</v>
      </c>
      <c r="N22" s="136">
        <f t="shared" si="6"/>
        <v>7.2616472425706652E-2</v>
      </c>
      <c r="O22" s="136">
        <f t="shared" si="7"/>
        <v>8.0319500650282136E-2</v>
      </c>
      <c r="P22" s="136">
        <f t="shared" si="8"/>
        <v>0.17080840677899922</v>
      </c>
      <c r="Q22" s="136">
        <f t="shared" si="9"/>
        <v>0</v>
      </c>
    </row>
    <row r="23" spans="1:17" ht="16.5">
      <c r="A23" s="382"/>
      <c r="B23" s="118" t="s">
        <v>280</v>
      </c>
      <c r="C23" s="250">
        <v>26</v>
      </c>
      <c r="D23" s="257">
        <v>36.752099065366842</v>
      </c>
      <c r="E23" s="258">
        <v>34.629393049001372</v>
      </c>
      <c r="F23" s="258">
        <v>71.381492114368214</v>
      </c>
      <c r="G23" s="258">
        <v>2.1227060163654698</v>
      </c>
      <c r="H23" s="231">
        <v>39</v>
      </c>
      <c r="I23" s="229">
        <v>19.64096332212403</v>
      </c>
      <c r="J23" s="229">
        <v>8.8202930076552253</v>
      </c>
      <c r="K23" s="229">
        <v>28.461256329779253</v>
      </c>
      <c r="L23" s="229">
        <v>10.820670314468805</v>
      </c>
      <c r="M23" s="135">
        <f t="shared" si="5"/>
        <v>65</v>
      </c>
      <c r="N23" s="136">
        <f t="shared" si="6"/>
        <v>26.485417619421153</v>
      </c>
      <c r="O23" s="136">
        <f t="shared" si="7"/>
        <v>21.724843028328298</v>
      </c>
      <c r="P23" s="136">
        <f t="shared" si="8"/>
        <v>71.381492114368214</v>
      </c>
      <c r="Q23" s="136">
        <f t="shared" si="9"/>
        <v>2.1227060163654698</v>
      </c>
    </row>
    <row r="24" spans="1:17" ht="16.5">
      <c r="A24" s="382"/>
      <c r="B24" s="118" t="s">
        <v>281</v>
      </c>
      <c r="C24" s="250">
        <v>18</v>
      </c>
      <c r="D24" s="259">
        <v>0.48805306623890654</v>
      </c>
      <c r="E24" s="260">
        <v>0.24633640581355351</v>
      </c>
      <c r="F24" s="260">
        <v>0.73438947205246008</v>
      </c>
      <c r="G24" s="260">
        <v>0.24171666042535303</v>
      </c>
      <c r="H24" s="231">
        <v>29</v>
      </c>
      <c r="I24" s="230">
        <v>0.50374137931034479</v>
      </c>
      <c r="J24" s="230">
        <v>0.25835081840291929</v>
      </c>
      <c r="K24" s="230">
        <v>0.76209219771326409</v>
      </c>
      <c r="L24" s="230">
        <v>0.2453905609074255</v>
      </c>
      <c r="M24" s="135">
        <f t="shared" si="5"/>
        <v>47</v>
      </c>
      <c r="N24" s="230">
        <f t="shared" si="6"/>
        <v>0.49773308919787906</v>
      </c>
      <c r="O24" s="230">
        <f t="shared" si="7"/>
        <v>0.25234361210823641</v>
      </c>
      <c r="P24" s="230">
        <f t="shared" si="8"/>
        <v>0.76209219771326409</v>
      </c>
      <c r="Q24" s="230">
        <f t="shared" si="9"/>
        <v>0.24171666042535303</v>
      </c>
    </row>
    <row r="25" spans="1:17" ht="16.5">
      <c r="A25" s="382"/>
      <c r="B25" s="118" t="s">
        <v>282</v>
      </c>
      <c r="C25" s="250">
        <v>27</v>
      </c>
      <c r="D25" s="257">
        <v>4.8517070017741162</v>
      </c>
      <c r="E25" s="258">
        <v>2.862225771031222</v>
      </c>
      <c r="F25" s="258">
        <v>7.7139327728053377</v>
      </c>
      <c r="G25" s="258">
        <v>1.9894812307428942</v>
      </c>
      <c r="H25" s="231">
        <v>43</v>
      </c>
      <c r="I25" s="229">
        <v>6.7330232558139542</v>
      </c>
      <c r="J25" s="229">
        <v>6.107181383570266</v>
      </c>
      <c r="K25" s="229">
        <v>12.84020463938422</v>
      </c>
      <c r="L25" s="229">
        <v>0.62584187224368826</v>
      </c>
      <c r="M25" s="135">
        <f t="shared" si="5"/>
        <v>70</v>
      </c>
      <c r="N25" s="136">
        <f t="shared" si="6"/>
        <v>6.0073727006843027</v>
      </c>
      <c r="O25" s="136">
        <f t="shared" si="7"/>
        <v>4.4847035773007438</v>
      </c>
      <c r="P25" s="136">
        <f t="shared" si="8"/>
        <v>12.84020463938422</v>
      </c>
      <c r="Q25" s="136">
        <f t="shared" si="9"/>
        <v>0.62584187224368826</v>
      </c>
    </row>
    <row r="26" spans="1:17" ht="16.5">
      <c r="A26" s="215" t="s">
        <v>283</v>
      </c>
      <c r="B26" s="118" t="s">
        <v>284</v>
      </c>
      <c r="C26" s="250">
        <v>12</v>
      </c>
      <c r="D26" s="257">
        <v>0.42113489200078819</v>
      </c>
      <c r="E26" s="258">
        <v>0.3796514085756203</v>
      </c>
      <c r="F26" s="258">
        <v>0.80078630057640843</v>
      </c>
      <c r="G26" s="258">
        <v>4.1483483425167889E-2</v>
      </c>
      <c r="H26" s="231">
        <v>21</v>
      </c>
      <c r="I26" s="229">
        <v>0.42476190476190484</v>
      </c>
      <c r="J26" s="229">
        <v>0.13840589032331838</v>
      </c>
      <c r="K26" s="229">
        <v>0.56316779508522319</v>
      </c>
      <c r="L26" s="229">
        <v>0.28635601443858649</v>
      </c>
      <c r="M26" s="135">
        <f t="shared" si="5"/>
        <v>33</v>
      </c>
      <c r="N26" s="136">
        <f t="shared" si="6"/>
        <v>0.42344299103058969</v>
      </c>
      <c r="O26" s="136">
        <f t="shared" si="7"/>
        <v>0.25902864944946935</v>
      </c>
      <c r="P26" s="136">
        <f t="shared" si="8"/>
        <v>0.80078630057640843</v>
      </c>
      <c r="Q26" s="136">
        <f t="shared" si="9"/>
        <v>4.1483483425167889E-2</v>
      </c>
    </row>
    <row r="27" spans="1:17" ht="16.5">
      <c r="A27" s="382" t="s">
        <v>285</v>
      </c>
      <c r="B27" s="118" t="s">
        <v>286</v>
      </c>
      <c r="C27" s="250">
        <v>3</v>
      </c>
      <c r="D27" s="257">
        <v>3.3333333333333333E-2</v>
      </c>
      <c r="E27" s="258">
        <v>5.7735026918962581E-2</v>
      </c>
      <c r="F27" s="258">
        <v>9.1068360252295921E-2</v>
      </c>
      <c r="G27" s="258">
        <v>0</v>
      </c>
      <c r="H27" s="231">
        <v>23</v>
      </c>
      <c r="I27" s="229">
        <v>8.6956521739130436E-3</v>
      </c>
      <c r="J27" s="229">
        <v>2.8810406552003041E-2</v>
      </c>
      <c r="K27" s="229">
        <v>3.7506058725916086E-2</v>
      </c>
      <c r="L27" s="229">
        <v>0</v>
      </c>
      <c r="M27" s="135">
        <f t="shared" si="5"/>
        <v>26</v>
      </c>
      <c r="N27" s="136">
        <f t="shared" si="6"/>
        <v>1.1538461538461541E-2</v>
      </c>
      <c r="O27" s="136">
        <f t="shared" si="7"/>
        <v>4.3272716735482809E-2</v>
      </c>
      <c r="P27" s="136">
        <f t="shared" si="8"/>
        <v>9.1068360252295921E-2</v>
      </c>
      <c r="Q27" s="136">
        <f t="shared" si="9"/>
        <v>0</v>
      </c>
    </row>
    <row r="28" spans="1:17" ht="16.5">
      <c r="A28" s="382"/>
      <c r="B28" s="118" t="s">
        <v>287</v>
      </c>
      <c r="C28" s="250">
        <v>3</v>
      </c>
      <c r="D28" s="257">
        <v>6.6666666666666671E-3</v>
      </c>
      <c r="E28" s="258">
        <v>1.1547005383792516E-2</v>
      </c>
      <c r="F28" s="258">
        <v>1.8213672050459182E-2</v>
      </c>
      <c r="G28" s="258">
        <v>0</v>
      </c>
      <c r="H28" s="231">
        <v>31</v>
      </c>
      <c r="I28" s="229">
        <v>2.5483870967741937E-2</v>
      </c>
      <c r="J28" s="229">
        <v>8.2090954015547876E-2</v>
      </c>
      <c r="K28" s="229">
        <v>0.10757482498328981</v>
      </c>
      <c r="L28" s="229">
        <v>0</v>
      </c>
      <c r="M28" s="135">
        <f t="shared" si="5"/>
        <v>34</v>
      </c>
      <c r="N28" s="136">
        <f t="shared" si="6"/>
        <v>2.3823529411764709E-2</v>
      </c>
      <c r="O28" s="136">
        <f t="shared" si="7"/>
        <v>4.6818979699670193E-2</v>
      </c>
      <c r="P28" s="136">
        <f t="shared" si="8"/>
        <v>0.10757482498328981</v>
      </c>
      <c r="Q28" s="136">
        <f t="shared" si="9"/>
        <v>0</v>
      </c>
    </row>
    <row r="29" spans="1:17" ht="16.5">
      <c r="A29" s="382" t="s">
        <v>288</v>
      </c>
      <c r="B29" s="118" t="s">
        <v>289</v>
      </c>
      <c r="C29" s="250">
        <v>28</v>
      </c>
      <c r="D29" s="257">
        <v>0.85035714285714281</v>
      </c>
      <c r="E29" s="258">
        <v>1.2568198614046342</v>
      </c>
      <c r="F29" s="258">
        <v>2.1071770042617768</v>
      </c>
      <c r="G29" s="258">
        <v>0</v>
      </c>
      <c r="H29" s="231">
        <v>47</v>
      </c>
      <c r="I29" s="229">
        <v>0.87765957446808507</v>
      </c>
      <c r="J29" s="229">
        <v>1.1579502369084504</v>
      </c>
      <c r="K29" s="229">
        <v>2.0356098113765357</v>
      </c>
      <c r="L29" s="229">
        <v>0</v>
      </c>
      <c r="M29" s="135">
        <f t="shared" si="5"/>
        <v>75</v>
      </c>
      <c r="N29" s="136">
        <f t="shared" si="6"/>
        <v>0.86746666666666672</v>
      </c>
      <c r="O29" s="136">
        <f t="shared" si="7"/>
        <v>1.2073850491565423</v>
      </c>
      <c r="P29" s="136">
        <f t="shared" si="8"/>
        <v>2.1071770042617768</v>
      </c>
      <c r="Q29" s="136">
        <f t="shared" si="9"/>
        <v>0</v>
      </c>
    </row>
    <row r="30" spans="1:17" ht="16.5">
      <c r="A30" s="382"/>
      <c r="B30" s="118" t="s">
        <v>290</v>
      </c>
      <c r="C30" s="250">
        <v>23</v>
      </c>
      <c r="D30" s="257">
        <v>0</v>
      </c>
      <c r="E30" s="258">
        <v>0</v>
      </c>
      <c r="F30" s="258">
        <v>0</v>
      </c>
      <c r="G30" s="258">
        <v>0</v>
      </c>
      <c r="H30" s="231">
        <v>45</v>
      </c>
      <c r="I30" s="229">
        <v>0</v>
      </c>
      <c r="J30" s="229">
        <v>0</v>
      </c>
      <c r="K30" s="229">
        <v>0</v>
      </c>
      <c r="L30" s="229">
        <v>0</v>
      </c>
      <c r="M30" s="135">
        <f t="shared" si="5"/>
        <v>68</v>
      </c>
      <c r="N30" s="136">
        <f t="shared" si="6"/>
        <v>0</v>
      </c>
      <c r="O30" s="136">
        <f t="shared" si="7"/>
        <v>0</v>
      </c>
      <c r="P30" s="136">
        <f t="shared" si="8"/>
        <v>0</v>
      </c>
      <c r="Q30" s="136">
        <f t="shared" si="9"/>
        <v>0</v>
      </c>
    </row>
    <row r="31" spans="1:17" ht="16.5">
      <c r="A31" s="384" t="s">
        <v>291</v>
      </c>
      <c r="B31" s="118" t="s">
        <v>292</v>
      </c>
      <c r="C31" s="250">
        <v>27</v>
      </c>
      <c r="D31" s="259">
        <v>0.94007407407407395</v>
      </c>
      <c r="E31" s="260">
        <v>0.12153028300226146</v>
      </c>
      <c r="F31" s="260">
        <v>1</v>
      </c>
      <c r="G31" s="260">
        <v>0.81854379107181252</v>
      </c>
      <c r="H31" s="231">
        <v>40</v>
      </c>
      <c r="I31" s="230">
        <v>0.94924999999999993</v>
      </c>
      <c r="J31" s="230">
        <v>9.4614941629148519E-2</v>
      </c>
      <c r="K31" s="230">
        <v>1</v>
      </c>
      <c r="L31" s="230">
        <v>0.66540517511255437</v>
      </c>
      <c r="M31" s="135">
        <f t="shared" si="5"/>
        <v>67</v>
      </c>
      <c r="N31" s="230">
        <f t="shared" si="6"/>
        <v>0.94555223880597006</v>
      </c>
      <c r="O31" s="230">
        <f t="shared" si="7"/>
        <v>0.10807261231570499</v>
      </c>
      <c r="P31" s="230">
        <f t="shared" si="8"/>
        <v>1</v>
      </c>
      <c r="Q31" s="230">
        <f t="shared" si="9"/>
        <v>0.66540517511255437</v>
      </c>
    </row>
    <row r="32" spans="1:17" ht="16.5">
      <c r="A32" s="385"/>
      <c r="B32" s="118" t="s">
        <v>293</v>
      </c>
      <c r="C32" s="250">
        <v>10</v>
      </c>
      <c r="D32" s="257">
        <v>2.9129999999999998</v>
      </c>
      <c r="E32" s="258">
        <v>0.93452364573853597</v>
      </c>
      <c r="F32" s="258">
        <v>3.8475236457385358</v>
      </c>
      <c r="G32" s="258">
        <v>1.9784763542614638</v>
      </c>
      <c r="H32" s="263">
        <v>10</v>
      </c>
      <c r="I32" s="229">
        <v>2.2310000000000003</v>
      </c>
      <c r="J32" s="229">
        <v>0.41666533333119959</v>
      </c>
      <c r="K32" s="229">
        <v>2.6476653333311999</v>
      </c>
      <c r="L32" s="229">
        <v>1.8143346666688007</v>
      </c>
      <c r="M32" s="135">
        <f t="shared" si="5"/>
        <v>20</v>
      </c>
      <c r="N32" s="136">
        <f t="shared" si="6"/>
        <v>2.5720000000000001</v>
      </c>
      <c r="O32" s="136">
        <f t="shared" si="7"/>
        <v>0.67559448953486778</v>
      </c>
      <c r="P32" s="136">
        <f t="shared" si="8"/>
        <v>3.8475236457385358</v>
      </c>
      <c r="Q32" s="136">
        <f t="shared" si="9"/>
        <v>1.8143346666688007</v>
      </c>
    </row>
    <row r="33" spans="1:17" ht="16.5">
      <c r="A33" s="385"/>
      <c r="B33" s="118" t="s">
        <v>294</v>
      </c>
      <c r="C33" s="250">
        <v>16</v>
      </c>
      <c r="D33" s="257">
        <v>15.534999999999998</v>
      </c>
      <c r="E33" s="258">
        <v>3.5377865019434633</v>
      </c>
      <c r="F33" s="258">
        <v>19.072786501943462</v>
      </c>
      <c r="G33" s="258">
        <v>11.997213498056535</v>
      </c>
      <c r="H33" s="231">
        <v>22</v>
      </c>
      <c r="I33" s="229">
        <v>11.880454545454546</v>
      </c>
      <c r="J33" s="229">
        <v>2.684412638198761</v>
      </c>
      <c r="K33" s="229">
        <v>14.564867183653307</v>
      </c>
      <c r="L33" s="229">
        <v>9.1960419072557844</v>
      </c>
      <c r="M33" s="135">
        <f t="shared" si="5"/>
        <v>38</v>
      </c>
      <c r="N33" s="136">
        <f t="shared" si="6"/>
        <v>13.419210526315789</v>
      </c>
      <c r="O33" s="136">
        <f t="shared" si="7"/>
        <v>3.1110995700711124</v>
      </c>
      <c r="P33" s="136">
        <f t="shared" si="8"/>
        <v>19.072786501943462</v>
      </c>
      <c r="Q33" s="136">
        <f t="shared" si="9"/>
        <v>9.1960419072557844</v>
      </c>
    </row>
    <row r="34" spans="1:17" ht="16.5">
      <c r="A34" s="385"/>
      <c r="B34" s="118" t="s">
        <v>295</v>
      </c>
      <c r="C34" s="250">
        <v>9</v>
      </c>
      <c r="D34" s="257">
        <v>1.6555555555555557</v>
      </c>
      <c r="E34" s="258">
        <v>0.33208098075285447</v>
      </c>
      <c r="F34" s="258">
        <v>1.9876365363084101</v>
      </c>
      <c r="G34" s="258">
        <v>1.3234745748027013</v>
      </c>
      <c r="H34" s="231">
        <v>16</v>
      </c>
      <c r="I34" s="229">
        <v>1.775625</v>
      </c>
      <c r="J34" s="229">
        <v>0.23773847676245718</v>
      </c>
      <c r="K34" s="229">
        <v>2.0133634767624571</v>
      </c>
      <c r="L34" s="229">
        <v>1.5378865232375429</v>
      </c>
      <c r="M34" s="135">
        <f t="shared" si="5"/>
        <v>25</v>
      </c>
      <c r="N34" s="136">
        <f t="shared" si="6"/>
        <v>1.7324000000000002</v>
      </c>
      <c r="O34" s="136">
        <f t="shared" si="7"/>
        <v>0.28490972875765586</v>
      </c>
      <c r="P34" s="136">
        <f t="shared" si="8"/>
        <v>2.0133634767624571</v>
      </c>
      <c r="Q34" s="136">
        <f t="shared" si="9"/>
        <v>1.3234745748027013</v>
      </c>
    </row>
    <row r="35" spans="1:17" ht="16.5">
      <c r="A35" s="386"/>
      <c r="B35" s="118" t="s">
        <v>296</v>
      </c>
      <c r="C35" s="250">
        <v>6</v>
      </c>
      <c r="D35" s="257">
        <v>2.52</v>
      </c>
      <c r="E35" s="258">
        <v>1.2737346662472522</v>
      </c>
      <c r="F35" s="258">
        <v>3.7937346662472522</v>
      </c>
      <c r="G35" s="258">
        <v>1.2462653337527478</v>
      </c>
      <c r="H35" s="231">
        <v>18</v>
      </c>
      <c r="I35" s="234">
        <v>2.0555555555555554</v>
      </c>
      <c r="J35" s="229">
        <v>0.23570226039551564</v>
      </c>
      <c r="K35" s="234">
        <v>2.291257815951071</v>
      </c>
      <c r="L35" s="229">
        <v>1.8198532951600397</v>
      </c>
      <c r="M35" s="135">
        <f t="shared" si="5"/>
        <v>24</v>
      </c>
      <c r="N35" s="136">
        <f t="shared" si="6"/>
        <v>2.1716666666666669</v>
      </c>
      <c r="O35" s="136">
        <f t="shared" si="7"/>
        <v>0.75471846332138393</v>
      </c>
      <c r="P35" s="136">
        <f t="shared" si="8"/>
        <v>3.7937346662472522</v>
      </c>
      <c r="Q35" s="136">
        <f t="shared" si="9"/>
        <v>1.2462653337527478</v>
      </c>
    </row>
    <row r="36" spans="1:17" ht="16.5">
      <c r="A36" s="386"/>
      <c r="B36" s="118" t="s">
        <v>297</v>
      </c>
      <c r="C36" s="258"/>
      <c r="D36" s="258" t="s">
        <v>87</v>
      </c>
      <c r="E36" s="258" t="s">
        <v>87</v>
      </c>
      <c r="F36" s="258" t="s">
        <v>87</v>
      </c>
      <c r="G36" s="258" t="s">
        <v>87</v>
      </c>
      <c r="H36" s="231">
        <v>15</v>
      </c>
      <c r="I36" s="229">
        <v>0.5</v>
      </c>
      <c r="J36" s="229">
        <v>0</v>
      </c>
      <c r="K36" s="229">
        <v>0.5</v>
      </c>
      <c r="L36" s="229">
        <v>0.5</v>
      </c>
      <c r="M36" s="231">
        <v>15</v>
      </c>
      <c r="N36" s="229">
        <v>0.5</v>
      </c>
      <c r="O36" s="229">
        <v>0</v>
      </c>
      <c r="P36" s="229">
        <v>0.5</v>
      </c>
      <c r="Q36" s="229">
        <v>0.5</v>
      </c>
    </row>
    <row r="37" spans="1:17" ht="16.5">
      <c r="A37" s="387"/>
      <c r="B37" s="118" t="s">
        <v>298</v>
      </c>
      <c r="C37" s="250">
        <v>8</v>
      </c>
      <c r="D37" s="257">
        <v>1.25</v>
      </c>
      <c r="E37" s="258">
        <v>0.46291004988627571</v>
      </c>
      <c r="F37" s="258">
        <v>1.7129100498862757</v>
      </c>
      <c r="G37" s="258">
        <v>0.78708995011372429</v>
      </c>
      <c r="H37" s="231">
        <v>20</v>
      </c>
      <c r="I37" s="229">
        <v>1.216</v>
      </c>
      <c r="J37" s="229">
        <v>0.3425661672543982</v>
      </c>
      <c r="K37" s="229">
        <v>1.5585661672543982</v>
      </c>
      <c r="L37" s="229">
        <v>0.87343383274560171</v>
      </c>
      <c r="M37" s="135">
        <f t="shared" si="5"/>
        <v>28</v>
      </c>
      <c r="N37" s="136">
        <f t="shared" si="6"/>
        <v>1.2257142857142858</v>
      </c>
      <c r="O37" s="136">
        <f t="shared" si="7"/>
        <v>0.40273810857033698</v>
      </c>
      <c r="P37" s="136">
        <f t="shared" si="8"/>
        <v>1.7129100498862757</v>
      </c>
      <c r="Q37" s="136">
        <f t="shared" si="9"/>
        <v>0.78708995011372429</v>
      </c>
    </row>
    <row r="38" spans="1:17" ht="16.5">
      <c r="A38" s="363" t="s">
        <v>299</v>
      </c>
      <c r="B38" s="118" t="s">
        <v>300</v>
      </c>
      <c r="C38" s="250">
        <v>23</v>
      </c>
      <c r="D38" s="257">
        <v>0</v>
      </c>
      <c r="E38" s="258">
        <v>0</v>
      </c>
      <c r="F38" s="258">
        <v>0</v>
      </c>
      <c r="G38" s="258">
        <v>0</v>
      </c>
      <c r="H38" s="231">
        <v>47</v>
      </c>
      <c r="I38" s="229">
        <v>0</v>
      </c>
      <c r="J38" s="229">
        <v>0</v>
      </c>
      <c r="K38" s="229">
        <v>0</v>
      </c>
      <c r="L38" s="229">
        <v>0</v>
      </c>
      <c r="M38" s="135">
        <f t="shared" si="5"/>
        <v>70</v>
      </c>
      <c r="N38" s="136">
        <f t="shared" si="6"/>
        <v>0</v>
      </c>
      <c r="O38" s="136">
        <f t="shared" si="7"/>
        <v>0</v>
      </c>
      <c r="P38" s="136">
        <f t="shared" si="8"/>
        <v>0</v>
      </c>
      <c r="Q38" s="136">
        <f t="shared" si="9"/>
        <v>0</v>
      </c>
    </row>
    <row r="39" spans="1:17" ht="16.5">
      <c r="A39" s="363"/>
      <c r="B39" s="118" t="s">
        <v>301</v>
      </c>
      <c r="C39" s="250">
        <v>29</v>
      </c>
      <c r="D39" s="257">
        <v>2.2480689655172421</v>
      </c>
      <c r="E39" s="258">
        <v>0.9790911941706254</v>
      </c>
      <c r="F39" s="258">
        <v>3.2271601596878674</v>
      </c>
      <c r="G39" s="258">
        <v>1.2689777713466168</v>
      </c>
      <c r="H39" s="231">
        <v>45</v>
      </c>
      <c r="I39" s="229">
        <v>2.6206666666666667</v>
      </c>
      <c r="J39" s="229">
        <v>0.7448166339320168</v>
      </c>
      <c r="K39" s="229">
        <v>3.3654833005986835</v>
      </c>
      <c r="L39" s="229">
        <v>1.8758500327346499</v>
      </c>
      <c r="M39" s="135">
        <f t="shared" si="5"/>
        <v>74</v>
      </c>
      <c r="N39" s="136">
        <f t="shared" si="6"/>
        <v>2.4746486486486488</v>
      </c>
      <c r="O39" s="136">
        <f t="shared" si="7"/>
        <v>0.86195391405132105</v>
      </c>
      <c r="P39" s="136">
        <f t="shared" si="8"/>
        <v>3.3654833005986835</v>
      </c>
      <c r="Q39" s="136">
        <f t="shared" si="9"/>
        <v>1.2689777713466168</v>
      </c>
    </row>
    <row r="40" spans="1:17" ht="16.5">
      <c r="A40" s="363"/>
      <c r="B40" s="118" t="s">
        <v>302</v>
      </c>
      <c r="C40" s="250">
        <v>26</v>
      </c>
      <c r="D40" s="259">
        <v>4.2573076923076915E-2</v>
      </c>
      <c r="E40" s="260">
        <v>1.5210984391348464E-2</v>
      </c>
      <c r="F40" s="260">
        <v>5.7784061314425379E-2</v>
      </c>
      <c r="G40" s="260">
        <v>2.7362092531728451E-2</v>
      </c>
      <c r="H40" s="231">
        <v>43</v>
      </c>
      <c r="I40" s="230">
        <v>4.1495348837209289E-2</v>
      </c>
      <c r="J40" s="230">
        <v>1.6474395046171531E-2</v>
      </c>
      <c r="K40" s="230">
        <v>5.7969743883380817E-2</v>
      </c>
      <c r="L40" s="230">
        <v>2.5020953791037758E-2</v>
      </c>
      <c r="M40" s="135">
        <f t="shared" si="5"/>
        <v>69</v>
      </c>
      <c r="N40" s="230">
        <f t="shared" si="6"/>
        <v>4.190144927536231E-2</v>
      </c>
      <c r="O40" s="230">
        <f t="shared" si="7"/>
        <v>1.5842689718759996E-2</v>
      </c>
      <c r="P40" s="230">
        <f t="shared" si="8"/>
        <v>5.7969743883380817E-2</v>
      </c>
      <c r="Q40" s="230">
        <f t="shared" si="9"/>
        <v>2.5020953791037758E-2</v>
      </c>
    </row>
    <row r="41" spans="1:17" ht="16.5">
      <c r="A41" s="363"/>
      <c r="B41" s="120" t="s">
        <v>303</v>
      </c>
      <c r="C41" s="250">
        <v>26</v>
      </c>
      <c r="D41" s="257">
        <v>0</v>
      </c>
      <c r="E41" s="258">
        <v>0</v>
      </c>
      <c r="F41" s="258">
        <v>0</v>
      </c>
      <c r="G41" s="258">
        <v>0</v>
      </c>
      <c r="H41" s="231">
        <v>43</v>
      </c>
      <c r="I41" s="229">
        <v>0</v>
      </c>
      <c r="J41" s="229">
        <v>0</v>
      </c>
      <c r="K41" s="229">
        <v>0</v>
      </c>
      <c r="L41" s="229">
        <v>0</v>
      </c>
      <c r="M41" s="135">
        <f t="shared" si="5"/>
        <v>69</v>
      </c>
      <c r="N41" s="136">
        <f t="shared" si="6"/>
        <v>0</v>
      </c>
      <c r="O41" s="136">
        <f t="shared" si="7"/>
        <v>0</v>
      </c>
      <c r="P41" s="136">
        <f t="shared" si="8"/>
        <v>0</v>
      </c>
      <c r="Q41" s="136">
        <f t="shared" si="9"/>
        <v>0</v>
      </c>
    </row>
    <row r="42" spans="1:17" ht="16.5">
      <c r="A42" s="363"/>
      <c r="B42" s="120" t="s">
        <v>304</v>
      </c>
      <c r="C42" s="250">
        <v>24</v>
      </c>
      <c r="D42" s="257">
        <v>0</v>
      </c>
      <c r="E42" s="258">
        <v>0</v>
      </c>
      <c r="F42" s="258">
        <v>0</v>
      </c>
      <c r="G42" s="258">
        <v>0</v>
      </c>
      <c r="H42" s="231">
        <v>43</v>
      </c>
      <c r="I42" s="229">
        <v>0</v>
      </c>
      <c r="J42" s="229">
        <v>0</v>
      </c>
      <c r="K42" s="229">
        <v>0</v>
      </c>
      <c r="L42" s="229">
        <v>0</v>
      </c>
      <c r="M42" s="135">
        <f t="shared" si="5"/>
        <v>67</v>
      </c>
      <c r="N42" s="136">
        <f t="shared" si="6"/>
        <v>0</v>
      </c>
      <c r="O42" s="136">
        <f t="shared" si="7"/>
        <v>0</v>
      </c>
      <c r="P42" s="136">
        <f t="shared" si="8"/>
        <v>0</v>
      </c>
      <c r="Q42" s="136">
        <f t="shared" si="9"/>
        <v>0</v>
      </c>
    </row>
    <row r="43" spans="1:17" ht="16.5">
      <c r="A43" s="363"/>
      <c r="B43" s="120" t="s">
        <v>305</v>
      </c>
      <c r="C43" s="250">
        <v>19</v>
      </c>
      <c r="D43" s="257">
        <v>89.612631578947358</v>
      </c>
      <c r="E43" s="258">
        <v>36.107079460051942</v>
      </c>
      <c r="F43" s="258">
        <v>125.71971103899929</v>
      </c>
      <c r="G43" s="258">
        <v>53.505552118895416</v>
      </c>
      <c r="H43" s="231">
        <v>29</v>
      </c>
      <c r="I43" s="229">
        <v>83.88000000000001</v>
      </c>
      <c r="J43" s="229">
        <v>44.853728703101439</v>
      </c>
      <c r="K43" s="229">
        <v>128.73372870310146</v>
      </c>
      <c r="L43" s="229">
        <v>39.026271296898571</v>
      </c>
      <c r="M43" s="135">
        <f t="shared" si="5"/>
        <v>48</v>
      </c>
      <c r="N43" s="136">
        <f t="shared" si="6"/>
        <v>86.149166666666659</v>
      </c>
      <c r="O43" s="136">
        <f t="shared" si="7"/>
        <v>40.480404081576694</v>
      </c>
      <c r="P43" s="136">
        <f t="shared" si="8"/>
        <v>128.73372870310146</v>
      </c>
      <c r="Q43" s="136">
        <f t="shared" si="9"/>
        <v>39.026271296898571</v>
      </c>
    </row>
  </sheetData>
  <mergeCells count="12">
    <mergeCell ref="A14:A16"/>
    <mergeCell ref="A1:B2"/>
    <mergeCell ref="C1:G1"/>
    <mergeCell ref="H1:L1"/>
    <mergeCell ref="M1:Q1"/>
    <mergeCell ref="A3:A13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topLeftCell="A28" workbookViewId="0">
      <selection activeCell="A31" sqref="A31:A37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51" t="s">
        <v>258</v>
      </c>
      <c r="B3" s="117" t="s">
        <v>259</v>
      </c>
      <c r="C3" s="231"/>
      <c r="D3" s="229"/>
      <c r="E3" s="229"/>
      <c r="F3" s="229"/>
      <c r="G3" s="229"/>
      <c r="H3" s="231"/>
      <c r="I3" s="229"/>
      <c r="J3" s="229"/>
      <c r="K3" s="229"/>
      <c r="L3" s="229"/>
      <c r="M3" s="264">
        <v>194</v>
      </c>
      <c r="N3" s="265">
        <v>35.726151732597366</v>
      </c>
      <c r="O3" s="266">
        <v>14.015663025085477</v>
      </c>
      <c r="P3" s="266">
        <v>49.741814757682846</v>
      </c>
      <c r="Q3" s="266">
        <v>21.710488707511889</v>
      </c>
    </row>
    <row r="4" spans="1:17">
      <c r="A4" s="351"/>
      <c r="B4" s="118" t="s">
        <v>333</v>
      </c>
      <c r="C4" s="231"/>
      <c r="D4" s="229"/>
      <c r="E4" s="229"/>
      <c r="F4" s="229"/>
      <c r="G4" s="229"/>
      <c r="H4" s="231"/>
      <c r="I4" s="229"/>
      <c r="J4" s="229"/>
      <c r="K4" s="229"/>
      <c r="L4" s="229"/>
      <c r="M4" s="264">
        <v>146</v>
      </c>
      <c r="N4" s="265">
        <v>66.03342737229238</v>
      </c>
      <c r="O4" s="266">
        <v>24.919253992430864</v>
      </c>
      <c r="P4" s="266">
        <v>90.952681364723247</v>
      </c>
      <c r="Q4" s="266">
        <v>41.114173379861512</v>
      </c>
    </row>
    <row r="5" spans="1:17">
      <c r="A5" s="351"/>
      <c r="B5" s="118" t="s">
        <v>263</v>
      </c>
      <c r="C5" s="231"/>
      <c r="D5" s="229"/>
      <c r="E5" s="229"/>
      <c r="F5" s="229"/>
      <c r="G5" s="229"/>
      <c r="H5" s="231"/>
      <c r="I5" s="229"/>
      <c r="J5" s="229"/>
      <c r="K5" s="229"/>
      <c r="L5" s="229"/>
      <c r="M5" s="264">
        <v>159</v>
      </c>
      <c r="N5" s="265">
        <v>1.5159041999032354</v>
      </c>
      <c r="O5" s="266">
        <v>1.0725872948810093</v>
      </c>
      <c r="P5" s="266">
        <v>2.588491494784245</v>
      </c>
      <c r="Q5" s="266">
        <v>0.44331690502222609</v>
      </c>
    </row>
    <row r="6" spans="1:17">
      <c r="A6" s="351"/>
      <c r="B6" s="118" t="s">
        <v>257</v>
      </c>
      <c r="C6" s="231"/>
      <c r="D6" s="229"/>
      <c r="E6" s="229"/>
      <c r="F6" s="229"/>
      <c r="G6" s="229"/>
      <c r="H6" s="231"/>
      <c r="I6" s="229"/>
      <c r="J6" s="229"/>
      <c r="K6" s="229"/>
      <c r="L6" s="229"/>
      <c r="M6" s="264">
        <v>43</v>
      </c>
      <c r="N6" s="265">
        <v>2.1735112706730964</v>
      </c>
      <c r="O6" s="266">
        <v>1.1943912776238064</v>
      </c>
      <c r="P6" s="266">
        <v>3.3679025482969029</v>
      </c>
      <c r="Q6" s="266">
        <v>0.97911999304928998</v>
      </c>
    </row>
    <row r="7" spans="1:17">
      <c r="A7" s="351"/>
      <c r="B7" s="118" t="s">
        <v>329</v>
      </c>
      <c r="C7" s="231"/>
      <c r="D7" s="229"/>
      <c r="E7" s="229"/>
      <c r="F7" s="229"/>
      <c r="G7" s="229"/>
      <c r="H7" s="231"/>
      <c r="I7" s="229"/>
      <c r="J7" s="229"/>
      <c r="K7" s="229"/>
      <c r="L7" s="229"/>
      <c r="M7" s="264">
        <v>172</v>
      </c>
      <c r="N7" s="265">
        <v>14.175144962453595</v>
      </c>
      <c r="O7" s="266">
        <v>9.4765783362249802</v>
      </c>
      <c r="P7" s="266">
        <v>23.651723298678576</v>
      </c>
      <c r="Q7" s="266">
        <v>4.6985666262286152</v>
      </c>
    </row>
    <row r="8" spans="1:17">
      <c r="A8" s="351"/>
      <c r="B8" s="118" t="s">
        <v>264</v>
      </c>
      <c r="C8" s="231"/>
      <c r="D8" s="229"/>
      <c r="E8" s="229"/>
      <c r="F8" s="229"/>
      <c r="G8" s="229"/>
      <c r="H8" s="231"/>
      <c r="I8" s="229"/>
      <c r="J8" s="229"/>
      <c r="K8" s="229"/>
      <c r="L8" s="229"/>
      <c r="M8" s="264">
        <v>178</v>
      </c>
      <c r="N8" s="265">
        <v>15.034242077929752</v>
      </c>
      <c r="O8" s="266">
        <v>19.094902639910323</v>
      </c>
      <c r="P8" s="266">
        <v>34.129144717840077</v>
      </c>
      <c r="Q8" s="266">
        <v>0</v>
      </c>
    </row>
    <row r="9" spans="1:17">
      <c r="A9" s="351"/>
      <c r="B9" s="118" t="s">
        <v>265</v>
      </c>
      <c r="C9" s="231"/>
      <c r="D9" s="229"/>
      <c r="E9" s="229"/>
      <c r="F9" s="229"/>
      <c r="G9" s="229"/>
      <c r="H9" s="231"/>
      <c r="I9" s="229"/>
      <c r="J9" s="229"/>
      <c r="K9" s="229"/>
      <c r="L9" s="229"/>
      <c r="M9" s="264">
        <v>17</v>
      </c>
      <c r="N9" s="265">
        <v>105.54046408804557</v>
      </c>
      <c r="O9" s="266">
        <v>55.162203572902783</v>
      </c>
      <c r="P9" s="266">
        <v>160.70266766094835</v>
      </c>
      <c r="Q9" s="266">
        <v>50.378260515142784</v>
      </c>
    </row>
    <row r="10" spans="1:17">
      <c r="A10" s="351"/>
      <c r="B10" s="118" t="s">
        <v>266</v>
      </c>
      <c r="C10" s="231"/>
      <c r="D10" s="229"/>
      <c r="E10" s="229"/>
      <c r="F10" s="229"/>
      <c r="G10" s="229"/>
      <c r="H10" s="231"/>
      <c r="I10" s="229"/>
      <c r="J10" s="229"/>
      <c r="K10" s="229"/>
      <c r="L10" s="229"/>
      <c r="M10" s="264">
        <v>29</v>
      </c>
      <c r="N10" s="265">
        <v>9.2069088201574587</v>
      </c>
      <c r="O10" s="266">
        <v>4.0261921510704815</v>
      </c>
      <c r="P10" s="266">
        <v>13.233100971227941</v>
      </c>
      <c r="Q10" s="266">
        <v>5.1807166690869773</v>
      </c>
    </row>
    <row r="11" spans="1:17">
      <c r="A11" s="351"/>
      <c r="B11" s="118" t="s">
        <v>267</v>
      </c>
      <c r="C11" s="231"/>
      <c r="D11" s="230"/>
      <c r="E11" s="230"/>
      <c r="F11" s="230"/>
      <c r="G11" s="230"/>
      <c r="H11" s="231"/>
      <c r="I11" s="232"/>
      <c r="J11" s="230"/>
      <c r="K11" s="230"/>
      <c r="L11" s="230"/>
      <c r="M11" s="264">
        <v>10</v>
      </c>
      <c r="N11" s="267">
        <v>5.7387552692870623E-2</v>
      </c>
      <c r="O11" s="268">
        <v>3.762291585761348E-2</v>
      </c>
      <c r="P11" s="268">
        <v>9.5010468550484103E-2</v>
      </c>
      <c r="Q11" s="268">
        <v>1.9764636835257143E-2</v>
      </c>
    </row>
    <row r="12" spans="1:17">
      <c r="A12" s="351"/>
      <c r="B12" s="118" t="s">
        <v>355</v>
      </c>
      <c r="C12" s="231"/>
      <c r="D12" s="230"/>
      <c r="E12" s="230"/>
      <c r="F12" s="230"/>
      <c r="G12" s="230"/>
      <c r="H12" s="231"/>
      <c r="I12" s="230"/>
      <c r="J12" s="230"/>
      <c r="K12" s="230"/>
      <c r="L12" s="230"/>
      <c r="M12" s="264">
        <v>211</v>
      </c>
      <c r="N12" s="267">
        <v>2.8279962050756112E-3</v>
      </c>
      <c r="O12" s="268">
        <v>1.6839861766936831E-2</v>
      </c>
      <c r="P12" s="268">
        <v>1.9667857972012443E-2</v>
      </c>
      <c r="Q12" s="268">
        <v>-1.4011865561861219E-2</v>
      </c>
    </row>
    <row r="13" spans="1:17">
      <c r="A13" s="351"/>
      <c r="B13" s="118" t="s">
        <v>268</v>
      </c>
      <c r="C13" s="231"/>
      <c r="D13" s="230"/>
      <c r="E13" s="230"/>
      <c r="F13" s="230"/>
      <c r="G13" s="230"/>
      <c r="H13" s="231"/>
      <c r="I13" s="230"/>
      <c r="J13" s="230"/>
      <c r="K13" s="230"/>
      <c r="L13" s="230"/>
      <c r="M13" s="264">
        <v>105</v>
      </c>
      <c r="N13" s="267">
        <v>3.6164918347177902E-2</v>
      </c>
      <c r="O13" s="268">
        <v>0.11895829902565906</v>
      </c>
      <c r="P13" s="268">
        <v>0.15512321737283696</v>
      </c>
      <c r="Q13" s="268">
        <v>-8.279338067848116E-2</v>
      </c>
    </row>
    <row r="14" spans="1:17">
      <c r="A14" s="382" t="s">
        <v>269</v>
      </c>
      <c r="B14" s="118" t="s">
        <v>270</v>
      </c>
      <c r="C14" s="231"/>
      <c r="D14" s="230"/>
      <c r="E14" s="230"/>
      <c r="F14" s="230"/>
      <c r="G14" s="230"/>
      <c r="H14" s="231"/>
      <c r="I14" s="230"/>
      <c r="J14" s="230"/>
      <c r="K14" s="230"/>
      <c r="L14" s="230"/>
      <c r="M14" s="264">
        <v>213</v>
      </c>
      <c r="N14" s="267">
        <v>0.92973300997059027</v>
      </c>
      <c r="O14" s="268">
        <v>0.18860355698226941</v>
      </c>
      <c r="P14" s="268">
        <v>1</v>
      </c>
      <c r="Q14" s="268">
        <v>0.74112945298832089</v>
      </c>
    </row>
    <row r="15" spans="1:17">
      <c r="A15" s="382"/>
      <c r="B15" s="118" t="s">
        <v>271</v>
      </c>
      <c r="C15" s="231"/>
      <c r="D15" s="229"/>
      <c r="E15" s="229"/>
      <c r="F15" s="229"/>
      <c r="G15" s="229"/>
      <c r="H15" s="231"/>
      <c r="I15" s="229"/>
      <c r="J15" s="229"/>
      <c r="K15" s="229"/>
      <c r="L15" s="229"/>
      <c r="M15" s="264">
        <v>172</v>
      </c>
      <c r="N15" s="265">
        <v>0.5432766529202786</v>
      </c>
      <c r="O15" s="266">
        <v>0.32951398665267501</v>
      </c>
      <c r="P15" s="266">
        <v>0.87279063957295366</v>
      </c>
      <c r="Q15" s="266">
        <v>0.2137626662676036</v>
      </c>
    </row>
    <row r="16" spans="1:17">
      <c r="A16" s="382"/>
      <c r="B16" s="118" t="s">
        <v>272</v>
      </c>
      <c r="C16" s="231"/>
      <c r="D16" s="229"/>
      <c r="E16" s="229"/>
      <c r="F16" s="229"/>
      <c r="G16" s="229"/>
      <c r="H16" s="231"/>
      <c r="I16" s="229"/>
      <c r="J16" s="229"/>
      <c r="K16" s="229"/>
      <c r="L16" s="229"/>
      <c r="M16" s="264">
        <v>123</v>
      </c>
      <c r="N16" s="265">
        <v>0.5381393214214435</v>
      </c>
      <c r="O16" s="266">
        <v>0.4610347712249343</v>
      </c>
      <c r="P16" s="266">
        <v>0.9991740926463778</v>
      </c>
      <c r="Q16" s="266">
        <v>7.7104550196509192E-2</v>
      </c>
    </row>
    <row r="17" spans="1:17">
      <c r="A17" s="382" t="s">
        <v>273</v>
      </c>
      <c r="B17" s="118" t="s">
        <v>306</v>
      </c>
      <c r="C17" s="231"/>
      <c r="D17" s="229"/>
      <c r="E17" s="229"/>
      <c r="F17" s="229"/>
      <c r="G17" s="229"/>
      <c r="H17" s="231"/>
      <c r="I17" s="229"/>
      <c r="J17" s="229"/>
      <c r="K17" s="229"/>
      <c r="L17" s="229"/>
      <c r="M17" s="264">
        <v>173</v>
      </c>
      <c r="N17" s="265">
        <v>4.1347433305995347</v>
      </c>
      <c r="O17" s="266">
        <v>2.6466321379941165</v>
      </c>
      <c r="P17" s="266">
        <v>6.7813754685936516</v>
      </c>
      <c r="Q17" s="266">
        <v>1.4881111926054182</v>
      </c>
    </row>
    <row r="18" spans="1:17">
      <c r="A18" s="382"/>
      <c r="B18" s="118" t="s">
        <v>274</v>
      </c>
      <c r="C18" s="231"/>
      <c r="D18" s="229"/>
      <c r="E18" s="229"/>
      <c r="F18" s="229"/>
      <c r="G18" s="229"/>
      <c r="H18" s="231"/>
      <c r="I18" s="229"/>
      <c r="J18" s="229"/>
      <c r="K18" s="229"/>
      <c r="L18" s="229"/>
      <c r="M18" s="264">
        <v>155</v>
      </c>
      <c r="N18" s="265">
        <v>2.1190547146523677</v>
      </c>
      <c r="O18" s="266">
        <v>2.0174767010280448</v>
      </c>
      <c r="P18" s="266">
        <v>4.1365314156804125</v>
      </c>
      <c r="Q18" s="266">
        <v>0.10157801362432295</v>
      </c>
    </row>
    <row r="19" spans="1:17">
      <c r="A19" s="382"/>
      <c r="B19" s="118" t="s">
        <v>275</v>
      </c>
      <c r="C19" s="231"/>
      <c r="D19" s="229"/>
      <c r="E19" s="229"/>
      <c r="F19" s="229"/>
      <c r="G19" s="229"/>
      <c r="H19" s="231"/>
      <c r="I19" s="233"/>
      <c r="J19" s="229"/>
      <c r="K19" s="229"/>
      <c r="L19" s="229"/>
      <c r="M19" s="264">
        <v>219</v>
      </c>
      <c r="N19" s="265">
        <v>5.4794520547945202E-2</v>
      </c>
      <c r="O19" s="266">
        <v>0.29787062145468657</v>
      </c>
      <c r="P19" s="266">
        <v>0.35266514200263177</v>
      </c>
      <c r="Q19" s="266">
        <v>0</v>
      </c>
    </row>
    <row r="20" spans="1:17">
      <c r="A20" s="382"/>
      <c r="B20" s="118" t="s">
        <v>276</v>
      </c>
      <c r="C20" s="231"/>
      <c r="D20" s="229"/>
      <c r="E20" s="229"/>
      <c r="F20" s="229"/>
      <c r="G20" s="229"/>
      <c r="H20" s="231"/>
      <c r="I20" s="229"/>
      <c r="J20" s="229"/>
      <c r="K20" s="229"/>
      <c r="L20" s="229"/>
      <c r="M20" s="264">
        <v>220</v>
      </c>
      <c r="N20" s="265">
        <v>0</v>
      </c>
      <c r="O20" s="266">
        <v>0</v>
      </c>
      <c r="P20" s="266">
        <v>0</v>
      </c>
      <c r="Q20" s="266">
        <v>0</v>
      </c>
    </row>
    <row r="21" spans="1:17">
      <c r="A21" s="382" t="s">
        <v>277</v>
      </c>
      <c r="B21" s="118" t="s">
        <v>278</v>
      </c>
      <c r="C21" s="231"/>
      <c r="D21" s="229"/>
      <c r="E21" s="229"/>
      <c r="F21" s="229"/>
      <c r="G21" s="229"/>
      <c r="H21" s="231"/>
      <c r="I21" s="229"/>
      <c r="J21" s="229"/>
      <c r="K21" s="229"/>
      <c r="L21" s="229"/>
      <c r="M21" s="264">
        <v>143</v>
      </c>
      <c r="N21" s="265">
        <v>0.65507459414149483</v>
      </c>
      <c r="O21" s="266">
        <v>0.4615808423797742</v>
      </c>
      <c r="P21" s="266">
        <v>1.1166554365212691</v>
      </c>
      <c r="Q21" s="266">
        <v>0.19349375176172062</v>
      </c>
    </row>
    <row r="22" spans="1:17">
      <c r="A22" s="382"/>
      <c r="B22" s="118" t="s">
        <v>279</v>
      </c>
      <c r="C22" s="231"/>
      <c r="D22" s="229"/>
      <c r="E22" s="229"/>
      <c r="F22" s="229"/>
      <c r="G22" s="229"/>
      <c r="H22" s="231"/>
      <c r="I22" s="229"/>
      <c r="J22" s="229"/>
      <c r="K22" s="229"/>
      <c r="L22" s="229"/>
      <c r="M22" s="264">
        <v>170</v>
      </c>
      <c r="N22" s="265">
        <v>0.57751950294046872</v>
      </c>
      <c r="O22" s="266">
        <v>1.2628666225611538</v>
      </c>
      <c r="P22" s="266">
        <v>1.8403861255016225</v>
      </c>
      <c r="Q22" s="266">
        <v>0</v>
      </c>
    </row>
    <row r="23" spans="1:17">
      <c r="A23" s="382"/>
      <c r="B23" s="118" t="s">
        <v>280</v>
      </c>
      <c r="C23" s="231"/>
      <c r="D23" s="229"/>
      <c r="E23" s="229"/>
      <c r="F23" s="229"/>
      <c r="G23" s="229"/>
      <c r="H23" s="231"/>
      <c r="I23" s="229"/>
      <c r="J23" s="229"/>
      <c r="K23" s="229"/>
      <c r="L23" s="229"/>
      <c r="M23" s="264">
        <v>141</v>
      </c>
      <c r="N23" s="265">
        <v>51.750232656799419</v>
      </c>
      <c r="O23" s="266">
        <v>37.875141348705441</v>
      </c>
      <c r="P23" s="266">
        <v>89.625374005504852</v>
      </c>
      <c r="Q23" s="266">
        <v>13.875091308093978</v>
      </c>
    </row>
    <row r="24" spans="1:17">
      <c r="A24" s="382"/>
      <c r="B24" s="118" t="s">
        <v>281</v>
      </c>
      <c r="C24" s="231"/>
      <c r="D24" s="230"/>
      <c r="E24" s="230"/>
      <c r="F24" s="230"/>
      <c r="G24" s="230"/>
      <c r="H24" s="231"/>
      <c r="I24" s="230"/>
      <c r="J24" s="230"/>
      <c r="K24" s="230"/>
      <c r="L24" s="230"/>
      <c r="M24" s="264">
        <v>114</v>
      </c>
      <c r="N24" s="269">
        <v>0.84957657901968253</v>
      </c>
      <c r="O24" s="268">
        <v>0.2010659118654419</v>
      </c>
      <c r="P24" s="268">
        <v>1</v>
      </c>
      <c r="Q24" s="268">
        <v>0.64851066715424066</v>
      </c>
    </row>
    <row r="25" spans="1:17">
      <c r="A25" s="382"/>
      <c r="B25" s="118" t="s">
        <v>282</v>
      </c>
      <c r="C25" s="231"/>
      <c r="D25" s="229"/>
      <c r="E25" s="229"/>
      <c r="F25" s="229"/>
      <c r="G25" s="229"/>
      <c r="H25" s="231"/>
      <c r="I25" s="229"/>
      <c r="J25" s="229"/>
      <c r="K25" s="229"/>
      <c r="L25" s="229"/>
      <c r="M25" s="264">
        <v>181</v>
      </c>
      <c r="N25" s="265">
        <v>1.6696851948996021</v>
      </c>
      <c r="O25" s="266">
        <v>1.6429753271872178</v>
      </c>
      <c r="P25" s="266">
        <v>3.3126605220868202</v>
      </c>
      <c r="Q25" s="266">
        <v>2.6709867712384261E-2</v>
      </c>
    </row>
    <row r="26" spans="1:17">
      <c r="A26" s="215" t="s">
        <v>283</v>
      </c>
      <c r="B26" s="118" t="s">
        <v>284</v>
      </c>
      <c r="C26" s="231"/>
      <c r="D26" s="229"/>
      <c r="E26" s="229"/>
      <c r="F26" s="229"/>
      <c r="G26" s="229"/>
      <c r="H26" s="231"/>
      <c r="I26" s="229"/>
      <c r="J26" s="229"/>
      <c r="K26" s="229"/>
      <c r="L26" s="229"/>
      <c r="M26" s="264">
        <v>31</v>
      </c>
      <c r="N26" s="265">
        <v>5.37771889095707E-2</v>
      </c>
      <c r="O26" s="266">
        <v>5.1948021488439015E-2</v>
      </c>
      <c r="P26" s="266">
        <v>0.10572521039800972</v>
      </c>
      <c r="Q26" s="266">
        <v>1.8291674211316847E-3</v>
      </c>
    </row>
    <row r="27" spans="1:17">
      <c r="A27" s="382" t="s">
        <v>285</v>
      </c>
      <c r="B27" s="118" t="s">
        <v>286</v>
      </c>
      <c r="C27" s="231"/>
      <c r="D27" s="229"/>
      <c r="E27" s="229"/>
      <c r="F27" s="229"/>
      <c r="G27" s="229"/>
      <c r="H27" s="231"/>
      <c r="I27" s="229"/>
      <c r="J27" s="229"/>
      <c r="K27" s="229"/>
      <c r="L27" s="229"/>
      <c r="M27" s="264">
        <v>33</v>
      </c>
      <c r="N27" s="265">
        <v>0.1547600497309386</v>
      </c>
      <c r="O27" s="266">
        <v>0.22392740400657846</v>
      </c>
      <c r="P27" s="266">
        <v>0.37868745373751705</v>
      </c>
      <c r="Q27" s="266">
        <v>0</v>
      </c>
    </row>
    <row r="28" spans="1:17">
      <c r="A28" s="382"/>
      <c r="B28" s="118" t="s">
        <v>287</v>
      </c>
      <c r="C28" s="231"/>
      <c r="D28" s="229"/>
      <c r="E28" s="229"/>
      <c r="F28" s="229"/>
      <c r="G28" s="229"/>
      <c r="H28" s="231"/>
      <c r="I28" s="229"/>
      <c r="J28" s="229"/>
      <c r="K28" s="229"/>
      <c r="L28" s="229"/>
      <c r="M28" s="264">
        <v>32</v>
      </c>
      <c r="N28" s="265">
        <v>2.3643410852713178E-2</v>
      </c>
      <c r="O28" s="266">
        <v>9.6387847926750578E-2</v>
      </c>
      <c r="P28" s="266">
        <v>0.12003125877946376</v>
      </c>
      <c r="Q28" s="266">
        <v>0</v>
      </c>
    </row>
    <row r="29" spans="1:17">
      <c r="A29" s="382" t="s">
        <v>288</v>
      </c>
      <c r="B29" s="118" t="s">
        <v>289</v>
      </c>
      <c r="C29" s="231"/>
      <c r="D29" s="229"/>
      <c r="E29" s="229"/>
      <c r="F29" s="229"/>
      <c r="G29" s="229"/>
      <c r="H29" s="231"/>
      <c r="I29" s="229"/>
      <c r="J29" s="229"/>
      <c r="K29" s="229"/>
      <c r="L29" s="229"/>
      <c r="M29" s="264">
        <v>202</v>
      </c>
      <c r="N29" s="265">
        <v>1.1738118811881189</v>
      </c>
      <c r="O29" s="266">
        <v>2.6118402090993404</v>
      </c>
      <c r="P29" s="266">
        <v>3.7856520902874591</v>
      </c>
      <c r="Q29" s="266">
        <v>0</v>
      </c>
    </row>
    <row r="30" spans="1:17">
      <c r="A30" s="382"/>
      <c r="B30" s="118" t="s">
        <v>290</v>
      </c>
      <c r="C30" s="231"/>
      <c r="D30" s="229"/>
      <c r="E30" s="229"/>
      <c r="F30" s="229"/>
      <c r="G30" s="229"/>
      <c r="H30" s="231"/>
      <c r="I30" s="229"/>
      <c r="J30" s="229"/>
      <c r="K30" s="229"/>
      <c r="L30" s="229"/>
      <c r="M30" s="264">
        <v>195</v>
      </c>
      <c r="N30" s="265">
        <v>0</v>
      </c>
      <c r="O30" s="266">
        <v>0</v>
      </c>
      <c r="P30" s="266">
        <v>0</v>
      </c>
      <c r="Q30" s="266">
        <v>0</v>
      </c>
    </row>
    <row r="31" spans="1:17">
      <c r="A31" s="384" t="s">
        <v>291</v>
      </c>
      <c r="B31" s="118" t="s">
        <v>292</v>
      </c>
      <c r="C31" s="231"/>
      <c r="D31" s="230"/>
      <c r="E31" s="230"/>
      <c r="F31" s="230"/>
      <c r="G31" s="230"/>
      <c r="H31" s="231"/>
      <c r="I31" s="230"/>
      <c r="J31" s="230"/>
      <c r="K31" s="230"/>
      <c r="L31" s="230"/>
      <c r="M31" s="264">
        <v>160</v>
      </c>
      <c r="N31" s="269">
        <v>0.97599999999999976</v>
      </c>
      <c r="O31" s="268">
        <v>4.7003278354819392E-2</v>
      </c>
      <c r="P31" s="268">
        <v>1</v>
      </c>
      <c r="Q31" s="268">
        <v>0.83499016493554157</v>
      </c>
    </row>
    <row r="32" spans="1:17">
      <c r="A32" s="385"/>
      <c r="B32" s="118" t="s">
        <v>293</v>
      </c>
      <c r="C32" s="231"/>
      <c r="D32" s="229"/>
      <c r="E32" s="229"/>
      <c r="F32" s="229"/>
      <c r="G32" s="229"/>
      <c r="H32" s="231"/>
      <c r="I32" s="229"/>
      <c r="J32" s="229"/>
      <c r="K32" s="229"/>
      <c r="L32" s="229"/>
      <c r="M32" s="264">
        <v>58</v>
      </c>
      <c r="N32" s="265">
        <v>4.9206896551724126</v>
      </c>
      <c r="O32" s="266">
        <v>2.7958464569372032</v>
      </c>
      <c r="P32" s="266">
        <v>7.7165361121096154</v>
      </c>
      <c r="Q32" s="266">
        <v>2.1248431982352094</v>
      </c>
    </row>
    <row r="33" spans="1:17">
      <c r="A33" s="385"/>
      <c r="B33" s="118" t="s">
        <v>294</v>
      </c>
      <c r="C33" s="231"/>
      <c r="D33" s="229"/>
      <c r="E33" s="229"/>
      <c r="F33" s="229"/>
      <c r="G33" s="229"/>
      <c r="H33" s="231"/>
      <c r="I33" s="233"/>
      <c r="J33" s="229"/>
      <c r="K33" s="229"/>
      <c r="L33" s="229"/>
      <c r="M33" s="264">
        <v>105</v>
      </c>
      <c r="N33" s="265">
        <v>15.84095238095238</v>
      </c>
      <c r="O33" s="266">
        <v>8.2199533879234217</v>
      </c>
      <c r="P33" s="266">
        <v>24.060905768875802</v>
      </c>
      <c r="Q33" s="266">
        <v>7.6209989930289588</v>
      </c>
    </row>
    <row r="34" spans="1:17">
      <c r="A34" s="385"/>
      <c r="B34" s="118" t="s">
        <v>295</v>
      </c>
      <c r="C34" s="231"/>
      <c r="D34" s="229"/>
      <c r="E34" s="229"/>
      <c r="F34" s="229"/>
      <c r="G34" s="229"/>
      <c r="H34" s="231"/>
      <c r="I34" s="229"/>
      <c r="J34" s="229"/>
      <c r="K34" s="229"/>
      <c r="L34" s="229"/>
      <c r="M34" s="264">
        <v>38</v>
      </c>
      <c r="N34" s="265">
        <v>1.5921052631578947</v>
      </c>
      <c r="O34" s="266">
        <v>0.18509541578473412</v>
      </c>
      <c r="P34" s="266">
        <v>1.7772006789426289</v>
      </c>
      <c r="Q34" s="266">
        <v>1.4070098473731605</v>
      </c>
    </row>
    <row r="35" spans="1:17">
      <c r="A35" s="386"/>
      <c r="B35" s="118" t="s">
        <v>296</v>
      </c>
      <c r="C35" s="231"/>
      <c r="D35" s="229"/>
      <c r="E35" s="229"/>
      <c r="F35" s="229"/>
      <c r="G35" s="229"/>
      <c r="H35" s="231"/>
      <c r="I35" s="229"/>
      <c r="J35" s="229"/>
      <c r="K35" s="229"/>
      <c r="L35" s="229"/>
      <c r="M35" s="264">
        <v>35</v>
      </c>
      <c r="N35" s="265">
        <v>1.0628571428571429</v>
      </c>
      <c r="O35" s="266">
        <v>0.55510238286480518</v>
      </c>
      <c r="P35" s="266">
        <v>1.6179595257219481</v>
      </c>
      <c r="Q35" s="266">
        <v>0.50775475999233777</v>
      </c>
    </row>
    <row r="36" spans="1:17">
      <c r="A36" s="386"/>
      <c r="B36" s="118" t="s">
        <v>297</v>
      </c>
      <c r="C36" s="231"/>
      <c r="D36" s="229"/>
      <c r="E36" s="229"/>
      <c r="F36" s="229"/>
      <c r="G36" s="229"/>
      <c r="H36" s="231"/>
      <c r="I36" s="229"/>
      <c r="J36" s="229"/>
      <c r="K36" s="229"/>
      <c r="L36" s="229"/>
      <c r="M36" s="270">
        <v>2</v>
      </c>
      <c r="N36" s="265">
        <v>1.1000000000000001</v>
      </c>
      <c r="O36" s="266">
        <v>0</v>
      </c>
      <c r="P36" s="266">
        <v>1.1000000000000001</v>
      </c>
      <c r="Q36" s="266">
        <v>1.1000000000000001</v>
      </c>
    </row>
    <row r="37" spans="1:17">
      <c r="A37" s="387"/>
      <c r="B37" s="118" t="s">
        <v>298</v>
      </c>
      <c r="C37" s="231"/>
      <c r="D37" s="229"/>
      <c r="E37" s="229"/>
      <c r="F37" s="229"/>
      <c r="G37" s="229"/>
      <c r="H37" s="231"/>
      <c r="I37" s="229"/>
      <c r="J37" s="229"/>
      <c r="K37" s="229"/>
      <c r="L37" s="229"/>
      <c r="M37" s="270">
        <v>39</v>
      </c>
      <c r="N37" s="265">
        <v>1.2012820512820512</v>
      </c>
      <c r="O37" s="266">
        <v>0.34350499488576719</v>
      </c>
      <c r="P37" s="266">
        <v>1.5447870461678184</v>
      </c>
      <c r="Q37" s="266">
        <v>0.8577770563962841</v>
      </c>
    </row>
    <row r="38" spans="1:17">
      <c r="A38" s="363" t="s">
        <v>299</v>
      </c>
      <c r="B38" s="118" t="s">
        <v>300</v>
      </c>
      <c r="C38" s="231"/>
      <c r="D38" s="229"/>
      <c r="E38" s="229"/>
      <c r="F38" s="229"/>
      <c r="G38" s="229"/>
      <c r="H38" s="231"/>
      <c r="I38" s="229"/>
      <c r="J38" s="229"/>
      <c r="K38" s="229"/>
      <c r="L38" s="229"/>
      <c r="M38" s="264">
        <v>209</v>
      </c>
      <c r="N38" s="265">
        <v>40.013157894736842</v>
      </c>
      <c r="O38" s="266">
        <v>223.38336448886335</v>
      </c>
      <c r="P38" s="266">
        <v>263.3965223836002</v>
      </c>
      <c r="Q38" s="266">
        <v>0</v>
      </c>
    </row>
    <row r="39" spans="1:17">
      <c r="A39" s="363"/>
      <c r="B39" s="118" t="s">
        <v>301</v>
      </c>
      <c r="C39" s="231"/>
      <c r="D39" s="229"/>
      <c r="E39" s="229"/>
      <c r="F39" s="229"/>
      <c r="G39" s="229"/>
      <c r="H39" s="231"/>
      <c r="I39" s="229"/>
      <c r="J39" s="229"/>
      <c r="K39" s="229"/>
      <c r="L39" s="229"/>
      <c r="M39" s="264">
        <v>188</v>
      </c>
      <c r="N39" s="265">
        <v>4.1488015957446853</v>
      </c>
      <c r="O39" s="266">
        <v>3.3293936187711468</v>
      </c>
      <c r="P39" s="266">
        <v>7.4781952145158321</v>
      </c>
      <c r="Q39" s="266">
        <v>0.81940797697353851</v>
      </c>
    </row>
    <row r="40" spans="1:17">
      <c r="A40" s="363"/>
      <c r="B40" s="118" t="s">
        <v>302</v>
      </c>
      <c r="C40" s="231"/>
      <c r="D40" s="230"/>
      <c r="E40" s="230"/>
      <c r="F40" s="230"/>
      <c r="G40" s="230"/>
      <c r="H40" s="231"/>
      <c r="I40" s="230"/>
      <c r="J40" s="230"/>
      <c r="K40" s="230"/>
      <c r="L40" s="230"/>
      <c r="M40" s="264">
        <v>187</v>
      </c>
      <c r="N40" s="269">
        <v>0.10711283422459901</v>
      </c>
      <c r="O40" s="268">
        <v>0.12230367610679514</v>
      </c>
      <c r="P40" s="268">
        <v>0.22941651033139415</v>
      </c>
      <c r="Q40" s="268">
        <v>0</v>
      </c>
    </row>
    <row r="41" spans="1:17">
      <c r="A41" s="363"/>
      <c r="B41" s="120" t="s">
        <v>303</v>
      </c>
      <c r="C41" s="231"/>
      <c r="D41" s="229"/>
      <c r="E41" s="229"/>
      <c r="F41" s="229"/>
      <c r="G41" s="229"/>
      <c r="H41" s="231"/>
      <c r="I41" s="229"/>
      <c r="J41" s="229"/>
      <c r="K41" s="229"/>
      <c r="L41" s="229"/>
      <c r="M41" s="264">
        <v>179</v>
      </c>
      <c r="N41" s="265">
        <v>5.2905027932960893</v>
      </c>
      <c r="O41" s="266">
        <v>28.077030263143289</v>
      </c>
      <c r="P41" s="266">
        <v>33.367533056439378</v>
      </c>
      <c r="Q41" s="266">
        <v>0</v>
      </c>
    </row>
    <row r="42" spans="1:17">
      <c r="A42" s="363"/>
      <c r="B42" s="120" t="s">
        <v>304</v>
      </c>
      <c r="C42" s="231"/>
      <c r="D42" s="229"/>
      <c r="E42" s="229"/>
      <c r="F42" s="229"/>
      <c r="G42" s="229"/>
      <c r="H42" s="231"/>
      <c r="I42" s="229"/>
      <c r="J42" s="229"/>
      <c r="K42" s="229"/>
      <c r="L42" s="229"/>
      <c r="M42" s="264">
        <v>143</v>
      </c>
      <c r="N42" s="265">
        <v>0</v>
      </c>
      <c r="O42" s="266">
        <v>0</v>
      </c>
      <c r="P42" s="266">
        <v>0</v>
      </c>
      <c r="Q42" s="266">
        <v>0</v>
      </c>
    </row>
    <row r="43" spans="1:17">
      <c r="A43" s="363"/>
      <c r="B43" s="120" t="s">
        <v>305</v>
      </c>
      <c r="C43" s="231"/>
      <c r="D43" s="229"/>
      <c r="E43" s="229"/>
      <c r="F43" s="229"/>
      <c r="G43" s="229"/>
      <c r="H43" s="231"/>
      <c r="I43" s="229"/>
      <c r="J43" s="229"/>
      <c r="K43" s="229"/>
      <c r="L43" s="229"/>
      <c r="M43" s="270">
        <v>169</v>
      </c>
      <c r="N43" s="265">
        <v>83.763727810650948</v>
      </c>
      <c r="O43" s="266">
        <v>41.740106152428019</v>
      </c>
      <c r="P43" s="266">
        <v>125.50383396307896</v>
      </c>
      <c r="Q43" s="266">
        <v>42.023621658222929</v>
      </c>
    </row>
  </sheetData>
  <mergeCells count="12">
    <mergeCell ref="A14:A16"/>
    <mergeCell ref="A1:B2"/>
    <mergeCell ref="C1:G1"/>
    <mergeCell ref="H1:L1"/>
    <mergeCell ref="M1:Q1"/>
    <mergeCell ref="A3:A13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6"/>
  <sheetViews>
    <sheetView topLeftCell="A37" workbookViewId="0">
      <selection activeCell="D58" sqref="D58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6" width="8.125" style="116" customWidth="1"/>
    <col min="7" max="8" width="7.25" style="116" customWidth="1"/>
    <col min="9" max="9" width="8.5" style="116" customWidth="1"/>
    <col min="10" max="10" width="5.875" style="116" customWidth="1"/>
    <col min="11" max="11" width="8.375" style="116" customWidth="1"/>
    <col min="12" max="12" width="8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51" t="s">
        <v>258</v>
      </c>
      <c r="B3" s="117" t="s">
        <v>259</v>
      </c>
      <c r="C3" s="231">
        <v>17</v>
      </c>
      <c r="D3" s="271">
        <v>38.24266608135791</v>
      </c>
      <c r="E3" s="271">
        <v>18.260348842935009</v>
      </c>
      <c r="F3" s="271">
        <v>56.50301492429292</v>
      </c>
      <c r="G3" s="271">
        <v>19.982317238422901</v>
      </c>
      <c r="H3" s="231">
        <v>12</v>
      </c>
      <c r="I3" s="271">
        <v>48.695135347514764</v>
      </c>
      <c r="J3" s="271">
        <v>13.19740148237952</v>
      </c>
      <c r="K3" s="271">
        <v>61.892536829894283</v>
      </c>
      <c r="L3" s="271">
        <v>35.497733865135245</v>
      </c>
      <c r="M3" s="135">
        <f>IFERROR(C3+H3,"")</f>
        <v>29</v>
      </c>
      <c r="N3" s="136">
        <f>IFERROR((C3*D3+H3*I3)/M3,"")</f>
        <v>42.56782577769868</v>
      </c>
      <c r="O3" s="136">
        <f>IFERROR((E3+J3)/2,"")</f>
        <v>15.728875162657264</v>
      </c>
      <c r="P3" s="136">
        <f>IFERROR(MAXA(F3,K3),"")</f>
        <v>61.892536829894283</v>
      </c>
      <c r="Q3" s="136">
        <f>IFERROR(MINA(G3,L3),"")</f>
        <v>19.982317238422901</v>
      </c>
    </row>
    <row r="4" spans="1:17">
      <c r="A4" s="351"/>
      <c r="B4" s="118" t="s">
        <v>333</v>
      </c>
      <c r="C4" s="231">
        <v>24</v>
      </c>
      <c r="D4" s="271">
        <v>36.810833333333335</v>
      </c>
      <c r="E4" s="271">
        <v>13.91010233971876</v>
      </c>
      <c r="F4" s="271">
        <v>50.720935673052097</v>
      </c>
      <c r="G4" s="271">
        <v>22.900730993614573</v>
      </c>
      <c r="H4" s="231">
        <v>6</v>
      </c>
      <c r="I4" s="271">
        <v>26.19147244623656</v>
      </c>
      <c r="J4" s="271">
        <v>4.9428597883836156</v>
      </c>
      <c r="K4" s="271">
        <v>31.134332234620175</v>
      </c>
      <c r="L4" s="271">
        <v>21.248612657852945</v>
      </c>
      <c r="M4" s="135">
        <f t="shared" ref="M4:M43" si="0">IFERROR(C4+H4,"")</f>
        <v>30</v>
      </c>
      <c r="N4" s="136">
        <f t="shared" ref="N4:N43" si="1">IFERROR((C4*D4+H4*I4)/M4,"")</f>
        <v>34.686961155913984</v>
      </c>
      <c r="O4" s="136">
        <f t="shared" ref="O4:O43" si="2">IFERROR((E4+J4)/2,"")</f>
        <v>9.4264810640511882</v>
      </c>
      <c r="P4" s="136">
        <f t="shared" ref="P4:P43" si="3">IFERROR(MAXA(F4,K4),"")</f>
        <v>50.720935673052097</v>
      </c>
      <c r="Q4" s="136">
        <f t="shared" ref="Q4:Q43" si="4">IFERROR(MINA(G4,L4),"")</f>
        <v>21.248612657852945</v>
      </c>
    </row>
    <row r="5" spans="1:17">
      <c r="A5" s="351"/>
      <c r="B5" s="118" t="s">
        <v>263</v>
      </c>
      <c r="C5" s="231">
        <v>2</v>
      </c>
      <c r="D5" s="271">
        <v>15.549701492537313</v>
      </c>
      <c r="E5" s="271">
        <v>21.82173742071906</v>
      </c>
      <c r="F5" s="271">
        <v>37.37143891325637</v>
      </c>
      <c r="G5" s="271">
        <v>0</v>
      </c>
      <c r="H5" s="231">
        <v>2</v>
      </c>
      <c r="I5" s="271">
        <v>0.54499999999999993</v>
      </c>
      <c r="J5" s="271">
        <v>3.5355339059327327E-2</v>
      </c>
      <c r="K5" s="271">
        <v>0.65106601717798185</v>
      </c>
      <c r="L5" s="271">
        <v>0.43893398282201795</v>
      </c>
      <c r="M5" s="135">
        <f t="shared" si="0"/>
        <v>4</v>
      </c>
      <c r="N5" s="136">
        <f t="shared" si="1"/>
        <v>8.0473507462686555</v>
      </c>
      <c r="O5" s="136">
        <f t="shared" si="2"/>
        <v>10.928546379889195</v>
      </c>
      <c r="P5" s="136">
        <f t="shared" si="3"/>
        <v>37.37143891325637</v>
      </c>
      <c r="Q5" s="136">
        <f t="shared" si="4"/>
        <v>0</v>
      </c>
    </row>
    <row r="6" spans="1:17">
      <c r="A6" s="351"/>
      <c r="B6" s="118" t="s">
        <v>257</v>
      </c>
      <c r="C6" s="231">
        <v>0</v>
      </c>
      <c r="D6" s="271" t="s">
        <v>87</v>
      </c>
      <c r="E6" s="271" t="s">
        <v>87</v>
      </c>
      <c r="F6" s="271" t="s">
        <v>87</v>
      </c>
      <c r="G6" s="271" t="s">
        <v>87</v>
      </c>
      <c r="H6" s="231"/>
      <c r="I6" s="271"/>
      <c r="J6" s="271"/>
      <c r="K6" s="271"/>
      <c r="L6" s="271"/>
      <c r="M6" s="135">
        <f t="shared" si="0"/>
        <v>0</v>
      </c>
      <c r="N6" s="136" t="str">
        <f t="shared" si="1"/>
        <v/>
      </c>
      <c r="O6" s="136" t="str">
        <f t="shared" si="2"/>
        <v/>
      </c>
      <c r="P6" s="136">
        <f t="shared" si="3"/>
        <v>0</v>
      </c>
      <c r="Q6" s="136">
        <f t="shared" si="4"/>
        <v>0</v>
      </c>
    </row>
    <row r="7" spans="1:17">
      <c r="A7" s="351"/>
      <c r="B7" s="118" t="s">
        <v>329</v>
      </c>
      <c r="C7" s="231">
        <v>3</v>
      </c>
      <c r="D7" s="272">
        <v>7.09</v>
      </c>
      <c r="E7" s="272">
        <v>0.23302360395462096</v>
      </c>
      <c r="F7" s="272">
        <v>7.789070811863863</v>
      </c>
      <c r="G7" s="272">
        <v>6.3909291881361368</v>
      </c>
      <c r="H7" s="231"/>
      <c r="I7" s="272"/>
      <c r="J7" s="272"/>
      <c r="K7" s="272"/>
      <c r="L7" s="272"/>
      <c r="M7" s="135">
        <f t="shared" si="0"/>
        <v>3</v>
      </c>
      <c r="N7" s="136">
        <f t="shared" si="1"/>
        <v>7.09</v>
      </c>
      <c r="O7" s="136">
        <f t="shared" si="2"/>
        <v>0.11651180197731048</v>
      </c>
      <c r="P7" s="136">
        <f t="shared" si="3"/>
        <v>7.789070811863863</v>
      </c>
      <c r="Q7" s="136">
        <f t="shared" si="4"/>
        <v>6.3909291881361368</v>
      </c>
    </row>
    <row r="8" spans="1:17">
      <c r="A8" s="351"/>
      <c r="B8" s="118" t="s">
        <v>264</v>
      </c>
      <c r="C8" s="231">
        <v>3</v>
      </c>
      <c r="D8" s="272">
        <v>10.06</v>
      </c>
      <c r="E8" s="272">
        <v>0.16522711641858309</v>
      </c>
      <c r="F8" s="272">
        <v>10.55568134925575</v>
      </c>
      <c r="G8" s="272">
        <v>9.5643186507442515</v>
      </c>
      <c r="H8" s="231">
        <v>2</v>
      </c>
      <c r="I8" s="272">
        <v>11.691091676718937</v>
      </c>
      <c r="J8" s="272">
        <v>0.11159322096819807</v>
      </c>
      <c r="K8" s="272">
        <v>12.025871339623531</v>
      </c>
      <c r="L8" s="272">
        <v>11.356312013814343</v>
      </c>
      <c r="M8" s="135">
        <f t="shared" si="0"/>
        <v>5</v>
      </c>
      <c r="N8" s="136">
        <f t="shared" si="1"/>
        <v>10.712436670687575</v>
      </c>
      <c r="O8" s="136">
        <f t="shared" si="2"/>
        <v>0.13841016869339057</v>
      </c>
      <c r="P8" s="136">
        <f t="shared" si="3"/>
        <v>12.025871339623531</v>
      </c>
      <c r="Q8" s="136">
        <f t="shared" si="4"/>
        <v>9.5643186507442515</v>
      </c>
    </row>
    <row r="9" spans="1:17">
      <c r="A9" s="351"/>
      <c r="B9" s="118" t="s">
        <v>265</v>
      </c>
      <c r="C9" s="231">
        <v>0</v>
      </c>
      <c r="D9" s="272" t="s">
        <v>87</v>
      </c>
      <c r="E9" s="272" t="s">
        <v>87</v>
      </c>
      <c r="F9" s="272" t="s">
        <v>87</v>
      </c>
      <c r="G9" s="272" t="s">
        <v>87</v>
      </c>
      <c r="H9" s="231"/>
      <c r="I9" s="272"/>
      <c r="J9" s="272"/>
      <c r="K9" s="272"/>
      <c r="L9" s="272"/>
      <c r="M9" s="135">
        <f t="shared" si="0"/>
        <v>0</v>
      </c>
      <c r="N9" s="136" t="str">
        <f t="shared" si="1"/>
        <v/>
      </c>
      <c r="O9" s="136" t="str">
        <f t="shared" si="2"/>
        <v/>
      </c>
      <c r="P9" s="136">
        <f t="shared" si="3"/>
        <v>0</v>
      </c>
      <c r="Q9" s="136">
        <f t="shared" si="4"/>
        <v>0</v>
      </c>
    </row>
    <row r="10" spans="1:17">
      <c r="A10" s="351"/>
      <c r="B10" s="118" t="s">
        <v>266</v>
      </c>
      <c r="C10" s="231">
        <v>1</v>
      </c>
      <c r="D10" s="272">
        <v>621</v>
      </c>
      <c r="E10" s="272" t="s">
        <v>87</v>
      </c>
      <c r="F10" s="272" t="s">
        <v>87</v>
      </c>
      <c r="G10" s="272" t="s">
        <v>87</v>
      </c>
      <c r="H10" s="231"/>
      <c r="I10" s="272"/>
      <c r="J10" s="272"/>
      <c r="K10" s="272"/>
      <c r="L10" s="272"/>
      <c r="M10" s="135">
        <f t="shared" si="0"/>
        <v>1</v>
      </c>
      <c r="N10" s="136">
        <f t="shared" si="1"/>
        <v>621</v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31">
        <v>13</v>
      </c>
      <c r="D11" s="273">
        <v>1.653846153846154E-2</v>
      </c>
      <c r="E11" s="273">
        <v>3.7145245062716055E-2</v>
      </c>
      <c r="F11" s="273">
        <v>5.3683706601177592E-2</v>
      </c>
      <c r="G11" s="273">
        <v>0</v>
      </c>
      <c r="H11" s="231">
        <v>3</v>
      </c>
      <c r="I11" s="273">
        <v>0</v>
      </c>
      <c r="J11" s="273">
        <v>0</v>
      </c>
      <c r="K11" s="273">
        <v>0</v>
      </c>
      <c r="L11" s="273">
        <v>0</v>
      </c>
      <c r="M11" s="135">
        <f t="shared" si="0"/>
        <v>16</v>
      </c>
      <c r="N11" s="230">
        <f t="shared" si="1"/>
        <v>1.3437500000000002E-2</v>
      </c>
      <c r="O11" s="230">
        <f t="shared" si="2"/>
        <v>1.8572622531358027E-2</v>
      </c>
      <c r="P11" s="230">
        <f t="shared" si="3"/>
        <v>5.3683706601177592E-2</v>
      </c>
      <c r="Q11" s="230">
        <f t="shared" si="4"/>
        <v>0</v>
      </c>
    </row>
    <row r="12" spans="1:17">
      <c r="A12" s="351"/>
      <c r="B12" s="118" t="s">
        <v>355</v>
      </c>
      <c r="C12" s="231">
        <v>61</v>
      </c>
      <c r="D12" s="273">
        <v>1.2950819672131148E-2</v>
      </c>
      <c r="E12" s="273">
        <v>5.1618609767378858E-2</v>
      </c>
      <c r="F12" s="273">
        <v>6.4569429439510009E-2</v>
      </c>
      <c r="G12" s="273">
        <v>-3.8667790095247706E-2</v>
      </c>
      <c r="H12" s="231">
        <v>10</v>
      </c>
      <c r="I12" s="273">
        <v>0</v>
      </c>
      <c r="J12" s="273">
        <v>0</v>
      </c>
      <c r="K12" s="273">
        <v>0</v>
      </c>
      <c r="L12" s="273">
        <v>0</v>
      </c>
      <c r="M12" s="135">
        <f t="shared" si="0"/>
        <v>71</v>
      </c>
      <c r="N12" s="230">
        <f t="shared" si="1"/>
        <v>1.1126760563380283E-2</v>
      </c>
      <c r="O12" s="230">
        <f t="shared" si="2"/>
        <v>2.5809304883689429E-2</v>
      </c>
      <c r="P12" s="230">
        <f t="shared" si="3"/>
        <v>6.4569429439510009E-2</v>
      </c>
      <c r="Q12" s="230">
        <f t="shared" si="4"/>
        <v>-3.8667790095247706E-2</v>
      </c>
    </row>
    <row r="13" spans="1:17">
      <c r="A13" s="351"/>
      <c r="B13" s="118" t="s">
        <v>268</v>
      </c>
      <c r="C13" s="231">
        <v>37</v>
      </c>
      <c r="D13" s="273">
        <v>6.7042928944884201E-4</v>
      </c>
      <c r="E13" s="273">
        <v>4.0780621610738759E-3</v>
      </c>
      <c r="F13" s="273">
        <v>4.7484914505227177E-3</v>
      </c>
      <c r="G13" s="273">
        <v>-3.4076328716250342E-3</v>
      </c>
      <c r="H13" s="231">
        <v>9</v>
      </c>
      <c r="I13" s="273">
        <v>2.9977777777777777E-2</v>
      </c>
      <c r="J13" s="273">
        <v>4.2753999163171214E-2</v>
      </c>
      <c r="K13" s="273">
        <v>7.2731776940948983E-2</v>
      </c>
      <c r="L13" s="273">
        <v>-1.2776221385393437E-2</v>
      </c>
      <c r="M13" s="135">
        <f t="shared" si="0"/>
        <v>46</v>
      </c>
      <c r="N13" s="230">
        <f t="shared" si="1"/>
        <v>6.4044757328175468E-3</v>
      </c>
      <c r="O13" s="230">
        <f t="shared" si="2"/>
        <v>2.3416030662122545E-2</v>
      </c>
      <c r="P13" s="230">
        <f t="shared" si="3"/>
        <v>7.2731776940948983E-2</v>
      </c>
      <c r="Q13" s="230">
        <f t="shared" si="4"/>
        <v>-1.2776221385393437E-2</v>
      </c>
    </row>
    <row r="14" spans="1:17">
      <c r="A14" s="382" t="s">
        <v>269</v>
      </c>
      <c r="B14" s="118" t="s">
        <v>270</v>
      </c>
      <c r="C14" s="231">
        <v>33</v>
      </c>
      <c r="D14" s="274">
        <v>0.8724747474747474</v>
      </c>
      <c r="E14" s="274">
        <v>0.33005211110333954</v>
      </c>
      <c r="F14" s="274">
        <v>1</v>
      </c>
      <c r="G14" s="274">
        <v>0.54242263637140786</v>
      </c>
      <c r="H14" s="231">
        <v>4</v>
      </c>
      <c r="I14" s="274">
        <v>1</v>
      </c>
      <c r="J14" s="274">
        <v>0</v>
      </c>
      <c r="K14" s="274">
        <v>1</v>
      </c>
      <c r="L14" s="274">
        <v>1</v>
      </c>
      <c r="M14" s="135">
        <f t="shared" si="0"/>
        <v>37</v>
      </c>
      <c r="N14" s="230">
        <f t="shared" si="1"/>
        <v>0.88626126126126115</v>
      </c>
      <c r="O14" s="230">
        <f t="shared" si="2"/>
        <v>0.16502605555166977</v>
      </c>
      <c r="P14" s="230">
        <f t="shared" si="3"/>
        <v>1</v>
      </c>
      <c r="Q14" s="230">
        <f t="shared" si="4"/>
        <v>0.54242263637140786</v>
      </c>
    </row>
    <row r="15" spans="1:17">
      <c r="A15" s="382"/>
      <c r="B15" s="118" t="s">
        <v>271</v>
      </c>
      <c r="C15" s="231">
        <v>1</v>
      </c>
      <c r="D15" s="271">
        <v>0.43</v>
      </c>
      <c r="E15" s="271" t="s">
        <v>87</v>
      </c>
      <c r="F15" s="271" t="s">
        <v>87</v>
      </c>
      <c r="G15" s="271" t="s">
        <v>87</v>
      </c>
      <c r="H15" s="231"/>
      <c r="I15" s="271"/>
      <c r="J15" s="271"/>
      <c r="K15" s="271"/>
      <c r="L15" s="271"/>
      <c r="M15" s="135">
        <f t="shared" si="0"/>
        <v>1</v>
      </c>
      <c r="N15" s="136">
        <f t="shared" si="1"/>
        <v>0.43</v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82"/>
      <c r="B16" s="118" t="s">
        <v>272</v>
      </c>
      <c r="C16" s="231">
        <v>0</v>
      </c>
      <c r="D16" s="271" t="s">
        <v>87</v>
      </c>
      <c r="E16" s="271" t="s">
        <v>87</v>
      </c>
      <c r="F16" s="271" t="s">
        <v>87</v>
      </c>
      <c r="G16" s="271" t="s">
        <v>87</v>
      </c>
      <c r="H16" s="231"/>
      <c r="I16" s="271"/>
      <c r="J16" s="271"/>
      <c r="K16" s="271"/>
      <c r="L16" s="271"/>
      <c r="M16" s="135">
        <f t="shared" si="0"/>
        <v>0</v>
      </c>
      <c r="N16" s="136" t="str">
        <f t="shared" si="1"/>
        <v/>
      </c>
      <c r="O16" s="136" t="str">
        <f t="shared" si="2"/>
        <v/>
      </c>
      <c r="P16" s="136">
        <f t="shared" si="3"/>
        <v>0</v>
      </c>
      <c r="Q16" s="136">
        <f t="shared" si="4"/>
        <v>0</v>
      </c>
    </row>
    <row r="17" spans="1:17">
      <c r="A17" s="382" t="s">
        <v>273</v>
      </c>
      <c r="B17" s="118" t="s">
        <v>306</v>
      </c>
      <c r="C17" s="231">
        <v>30</v>
      </c>
      <c r="D17" s="271">
        <v>8.5911607575816209</v>
      </c>
      <c r="E17" s="271">
        <v>3.1499289216330482</v>
      </c>
      <c r="F17" s="271">
        <v>11.741089679214669</v>
      </c>
      <c r="G17" s="271">
        <v>5.4412318359485727</v>
      </c>
      <c r="H17" s="231">
        <v>11</v>
      </c>
      <c r="I17" s="271">
        <v>5.6072727272727283</v>
      </c>
      <c r="J17" s="271">
        <v>1.8648758184345178</v>
      </c>
      <c r="K17" s="271">
        <v>7.4721485457072463</v>
      </c>
      <c r="L17" s="271">
        <v>3.7423969088382103</v>
      </c>
      <c r="M17" s="135">
        <f t="shared" si="0"/>
        <v>41</v>
      </c>
      <c r="N17" s="136">
        <f t="shared" si="1"/>
        <v>7.790605432376795</v>
      </c>
      <c r="O17" s="136">
        <f t="shared" si="2"/>
        <v>2.5074023700337831</v>
      </c>
      <c r="P17" s="136">
        <f t="shared" si="3"/>
        <v>11.741089679214669</v>
      </c>
      <c r="Q17" s="136">
        <f t="shared" si="4"/>
        <v>3.7423969088382103</v>
      </c>
    </row>
    <row r="18" spans="1:17">
      <c r="A18" s="382"/>
      <c r="B18" s="118" t="s">
        <v>274</v>
      </c>
      <c r="C18" s="231">
        <v>25</v>
      </c>
      <c r="D18" s="271"/>
      <c r="E18" s="271"/>
      <c r="F18" s="271"/>
      <c r="G18" s="271"/>
      <c r="H18" s="231">
        <v>2</v>
      </c>
      <c r="I18" s="271"/>
      <c r="J18" s="271"/>
      <c r="K18" s="271"/>
      <c r="L18" s="271"/>
      <c r="M18" s="135">
        <f t="shared" si="0"/>
        <v>27</v>
      </c>
      <c r="N18" s="136">
        <f t="shared" si="1"/>
        <v>0</v>
      </c>
      <c r="O18" s="136">
        <f t="shared" si="2"/>
        <v>0</v>
      </c>
      <c r="P18" s="136">
        <f t="shared" si="3"/>
        <v>0</v>
      </c>
      <c r="Q18" s="136">
        <f t="shared" si="4"/>
        <v>0</v>
      </c>
    </row>
    <row r="19" spans="1:17">
      <c r="A19" s="382"/>
      <c r="B19" s="118" t="s">
        <v>275</v>
      </c>
      <c r="C19" s="231">
        <v>59</v>
      </c>
      <c r="D19" s="271">
        <v>0.10169491525423729</v>
      </c>
      <c r="E19" s="271">
        <v>0.44314375554344421</v>
      </c>
      <c r="F19" s="271">
        <v>0.54483867079768156</v>
      </c>
      <c r="G19" s="271">
        <v>0</v>
      </c>
      <c r="H19" s="231">
        <v>17</v>
      </c>
      <c r="I19" s="271">
        <v>0</v>
      </c>
      <c r="J19" s="271">
        <v>0</v>
      </c>
      <c r="K19" s="271">
        <v>0</v>
      </c>
      <c r="L19" s="271">
        <v>0</v>
      </c>
      <c r="M19" s="135">
        <f t="shared" si="0"/>
        <v>76</v>
      </c>
      <c r="N19" s="136">
        <f t="shared" si="1"/>
        <v>7.8947368421052627E-2</v>
      </c>
      <c r="O19" s="136">
        <f t="shared" si="2"/>
        <v>0.2215718777717221</v>
      </c>
      <c r="P19" s="136">
        <f t="shared" si="3"/>
        <v>0.54483867079768156</v>
      </c>
      <c r="Q19" s="136">
        <f t="shared" si="4"/>
        <v>0</v>
      </c>
    </row>
    <row r="20" spans="1:17">
      <c r="A20" s="382"/>
      <c r="B20" s="118" t="s">
        <v>276</v>
      </c>
      <c r="C20" s="231">
        <v>59</v>
      </c>
      <c r="D20" s="271">
        <v>0</v>
      </c>
      <c r="E20" s="271">
        <v>0</v>
      </c>
      <c r="F20" s="271">
        <v>0</v>
      </c>
      <c r="G20" s="271">
        <v>0</v>
      </c>
      <c r="H20" s="231">
        <v>17</v>
      </c>
      <c r="I20" s="271">
        <v>0</v>
      </c>
      <c r="J20" s="271">
        <v>0</v>
      </c>
      <c r="K20" s="271">
        <v>0</v>
      </c>
      <c r="L20" s="271">
        <v>0</v>
      </c>
      <c r="M20" s="135">
        <f t="shared" si="0"/>
        <v>76</v>
      </c>
      <c r="N20" s="136">
        <f t="shared" si="1"/>
        <v>0</v>
      </c>
      <c r="O20" s="136">
        <f t="shared" si="2"/>
        <v>0</v>
      </c>
      <c r="P20" s="136">
        <f t="shared" si="3"/>
        <v>0</v>
      </c>
      <c r="Q20" s="136">
        <f t="shared" si="4"/>
        <v>0</v>
      </c>
    </row>
    <row r="21" spans="1:17">
      <c r="A21" s="382" t="s">
        <v>277</v>
      </c>
      <c r="B21" s="118" t="s">
        <v>278</v>
      </c>
      <c r="C21" s="231">
        <v>0</v>
      </c>
      <c r="D21" s="271" t="s">
        <v>87</v>
      </c>
      <c r="E21" s="271" t="s">
        <v>87</v>
      </c>
      <c r="F21" s="271" t="s">
        <v>87</v>
      </c>
      <c r="G21" s="271" t="s">
        <v>87</v>
      </c>
      <c r="H21" s="231"/>
      <c r="I21" s="271"/>
      <c r="J21" s="271"/>
      <c r="K21" s="271"/>
      <c r="L21" s="271"/>
      <c r="M21" s="135">
        <f t="shared" si="0"/>
        <v>0</v>
      </c>
      <c r="N21" s="136" t="str">
        <f t="shared" si="1"/>
        <v/>
      </c>
      <c r="O21" s="136" t="str">
        <f t="shared" si="2"/>
        <v/>
      </c>
      <c r="P21" s="136">
        <f t="shared" si="3"/>
        <v>0</v>
      </c>
      <c r="Q21" s="136">
        <f t="shared" si="4"/>
        <v>0</v>
      </c>
    </row>
    <row r="22" spans="1:17">
      <c r="A22" s="382"/>
      <c r="B22" s="118" t="s">
        <v>279</v>
      </c>
      <c r="C22" s="231">
        <v>0</v>
      </c>
      <c r="D22" s="271" t="s">
        <v>87</v>
      </c>
      <c r="E22" s="271" t="s">
        <v>87</v>
      </c>
      <c r="F22" s="271" t="s">
        <v>87</v>
      </c>
      <c r="G22" s="271" t="s">
        <v>87</v>
      </c>
      <c r="H22" s="231"/>
      <c r="I22" s="271"/>
      <c r="J22" s="271"/>
      <c r="K22" s="271"/>
      <c r="L22" s="271"/>
      <c r="M22" s="135">
        <f t="shared" si="0"/>
        <v>0</v>
      </c>
      <c r="N22" s="136" t="str">
        <f t="shared" si="1"/>
        <v/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82"/>
      <c r="B23" s="118" t="s">
        <v>280</v>
      </c>
      <c r="C23" s="231">
        <v>0</v>
      </c>
      <c r="D23" s="271" t="s">
        <v>87</v>
      </c>
      <c r="E23" s="271" t="s">
        <v>87</v>
      </c>
      <c r="F23" s="271" t="s">
        <v>87</v>
      </c>
      <c r="G23" s="271" t="s">
        <v>87</v>
      </c>
      <c r="H23" s="231"/>
      <c r="I23" s="271"/>
      <c r="J23" s="271"/>
      <c r="K23" s="271"/>
      <c r="L23" s="271"/>
      <c r="M23" s="135">
        <f t="shared" si="0"/>
        <v>0</v>
      </c>
      <c r="N23" s="136" t="str">
        <f t="shared" si="1"/>
        <v/>
      </c>
      <c r="O23" s="136" t="str">
        <f t="shared" si="2"/>
        <v/>
      </c>
      <c r="P23" s="136">
        <f t="shared" si="3"/>
        <v>0</v>
      </c>
      <c r="Q23" s="136">
        <f t="shared" si="4"/>
        <v>0</v>
      </c>
    </row>
    <row r="24" spans="1:17">
      <c r="A24" s="382"/>
      <c r="B24" s="118" t="s">
        <v>281</v>
      </c>
      <c r="C24" s="231">
        <v>15</v>
      </c>
      <c r="D24" s="273">
        <v>0.70155333333333336</v>
      </c>
      <c r="E24" s="273">
        <v>0.19191456382860511</v>
      </c>
      <c r="F24" s="273">
        <v>0.89346789716193853</v>
      </c>
      <c r="G24" s="273">
        <v>0.5096387695047282</v>
      </c>
      <c r="H24" s="231">
        <v>2</v>
      </c>
      <c r="I24" s="273">
        <v>0.71500000000000008</v>
      </c>
      <c r="J24" s="273">
        <v>0.12020815280171246</v>
      </c>
      <c r="K24" s="273">
        <v>0.83520815280171257</v>
      </c>
      <c r="L24" s="273">
        <v>0.59479184719828759</v>
      </c>
      <c r="M24" s="135">
        <f t="shared" si="0"/>
        <v>17</v>
      </c>
      <c r="N24" s="230">
        <f t="shared" si="1"/>
        <v>0.70313529411764708</v>
      </c>
      <c r="O24" s="230">
        <f t="shared" si="2"/>
        <v>0.15606135831515877</v>
      </c>
      <c r="P24" s="230">
        <f t="shared" si="3"/>
        <v>0.89346789716193853</v>
      </c>
      <c r="Q24" s="230">
        <f t="shared" si="4"/>
        <v>0.5096387695047282</v>
      </c>
    </row>
    <row r="25" spans="1:17">
      <c r="A25" s="382"/>
      <c r="B25" s="118" t="s">
        <v>282</v>
      </c>
      <c r="C25" s="231">
        <v>8</v>
      </c>
      <c r="D25" s="271">
        <v>3.6837500000000003</v>
      </c>
      <c r="E25" s="271">
        <v>2.332123113020776</v>
      </c>
      <c r="F25" s="271">
        <v>6.0158731130207759</v>
      </c>
      <c r="G25" s="271">
        <v>1.3516268869792243</v>
      </c>
      <c r="H25" s="231"/>
      <c r="I25" s="271"/>
      <c r="J25" s="271"/>
      <c r="K25" s="271"/>
      <c r="L25" s="271"/>
      <c r="M25" s="135">
        <f t="shared" si="0"/>
        <v>8</v>
      </c>
      <c r="N25" s="136">
        <f t="shared" si="1"/>
        <v>3.6837500000000003</v>
      </c>
      <c r="O25" s="136">
        <f t="shared" si="2"/>
        <v>1.166061556510388</v>
      </c>
      <c r="P25" s="136">
        <f t="shared" si="3"/>
        <v>6.0158731130207759</v>
      </c>
      <c r="Q25" s="136">
        <f t="shared" si="4"/>
        <v>1.3516268869792243</v>
      </c>
    </row>
    <row r="26" spans="1:17">
      <c r="A26" s="215" t="s">
        <v>283</v>
      </c>
      <c r="B26" s="118" t="s">
        <v>284</v>
      </c>
      <c r="C26" s="231"/>
      <c r="D26" s="271"/>
      <c r="E26" s="271"/>
      <c r="F26" s="271"/>
      <c r="G26" s="271"/>
      <c r="H26" s="231"/>
      <c r="I26" s="271"/>
      <c r="J26" s="271"/>
      <c r="K26" s="271"/>
      <c r="L26" s="271"/>
      <c r="M26" s="135">
        <f t="shared" si="0"/>
        <v>0</v>
      </c>
      <c r="N26" s="136" t="str">
        <f t="shared" si="1"/>
        <v/>
      </c>
      <c r="O26" s="136">
        <f t="shared" si="2"/>
        <v>0</v>
      </c>
      <c r="P26" s="136">
        <f t="shared" si="3"/>
        <v>0</v>
      </c>
      <c r="Q26" s="136">
        <f t="shared" si="4"/>
        <v>0</v>
      </c>
    </row>
    <row r="27" spans="1:17">
      <c r="A27" s="382" t="s">
        <v>285</v>
      </c>
      <c r="B27" s="118" t="s">
        <v>286</v>
      </c>
      <c r="C27" s="231">
        <v>0</v>
      </c>
      <c r="D27" s="271" t="s">
        <v>87</v>
      </c>
      <c r="E27" s="271" t="s">
        <v>87</v>
      </c>
      <c r="F27" s="271" t="s">
        <v>87</v>
      </c>
      <c r="G27" s="271" t="s">
        <v>87</v>
      </c>
      <c r="H27" s="231"/>
      <c r="I27" s="271"/>
      <c r="J27" s="271"/>
      <c r="K27" s="271"/>
      <c r="L27" s="271"/>
      <c r="M27" s="135">
        <f t="shared" si="0"/>
        <v>0</v>
      </c>
      <c r="N27" s="136" t="str">
        <f t="shared" si="1"/>
        <v/>
      </c>
      <c r="O27" s="136" t="str">
        <f t="shared" si="2"/>
        <v/>
      </c>
      <c r="P27" s="136">
        <f t="shared" si="3"/>
        <v>0</v>
      </c>
      <c r="Q27" s="136">
        <f t="shared" si="4"/>
        <v>0</v>
      </c>
    </row>
    <row r="28" spans="1:17">
      <c r="A28" s="382"/>
      <c r="B28" s="118" t="s">
        <v>287</v>
      </c>
      <c r="C28" s="231">
        <v>7</v>
      </c>
      <c r="D28" s="271">
        <v>0.30142857142857149</v>
      </c>
      <c r="E28" s="271">
        <v>0.31211261703796228</v>
      </c>
      <c r="F28" s="271">
        <v>0.61354118846653383</v>
      </c>
      <c r="G28" s="271">
        <v>0</v>
      </c>
      <c r="H28" s="231">
        <v>4</v>
      </c>
      <c r="I28" s="271">
        <v>1.00075</v>
      </c>
      <c r="J28" s="271">
        <v>0.58528817688383217</v>
      </c>
      <c r="K28" s="271">
        <v>1.5860381768838323</v>
      </c>
      <c r="L28" s="271">
        <v>0.41546182311616786</v>
      </c>
      <c r="M28" s="135">
        <f t="shared" si="0"/>
        <v>11</v>
      </c>
      <c r="N28" s="136">
        <f t="shared" si="1"/>
        <v>0.55572727272727274</v>
      </c>
      <c r="O28" s="136">
        <f t="shared" si="2"/>
        <v>0.44870039696089725</v>
      </c>
      <c r="P28" s="136">
        <f t="shared" si="3"/>
        <v>1.5860381768838323</v>
      </c>
      <c r="Q28" s="136">
        <f t="shared" si="4"/>
        <v>0</v>
      </c>
    </row>
    <row r="29" spans="1:17">
      <c r="A29" s="382" t="s">
        <v>288</v>
      </c>
      <c r="B29" s="118" t="s">
        <v>289</v>
      </c>
      <c r="C29" s="231">
        <v>29</v>
      </c>
      <c r="D29" s="271">
        <v>0.41724137931034483</v>
      </c>
      <c r="E29" s="271">
        <v>1.2950645228044049</v>
      </c>
      <c r="F29" s="271">
        <v>1.7123059021147498</v>
      </c>
      <c r="G29" s="271">
        <v>0</v>
      </c>
      <c r="H29" s="231">
        <v>7</v>
      </c>
      <c r="I29" s="271">
        <v>0.39999999999999997</v>
      </c>
      <c r="J29" s="271">
        <v>1.0583005244258361</v>
      </c>
      <c r="K29" s="271">
        <v>1.458300524425836</v>
      </c>
      <c r="L29" s="271">
        <v>0</v>
      </c>
      <c r="M29" s="135">
        <f t="shared" si="0"/>
        <v>36</v>
      </c>
      <c r="N29" s="136">
        <f t="shared" si="1"/>
        <v>0.41388888888888886</v>
      </c>
      <c r="O29" s="136">
        <f t="shared" si="2"/>
        <v>1.1766825236151206</v>
      </c>
      <c r="P29" s="136">
        <f t="shared" si="3"/>
        <v>1.7123059021147498</v>
      </c>
      <c r="Q29" s="136">
        <f t="shared" si="4"/>
        <v>0</v>
      </c>
    </row>
    <row r="30" spans="1:17">
      <c r="A30" s="382"/>
      <c r="B30" s="118" t="s">
        <v>290</v>
      </c>
      <c r="C30" s="231">
        <v>41</v>
      </c>
      <c r="D30" s="271">
        <v>0</v>
      </c>
      <c r="E30" s="271">
        <v>0</v>
      </c>
      <c r="F30" s="271">
        <v>0</v>
      </c>
      <c r="G30" s="271">
        <v>0</v>
      </c>
      <c r="H30" s="231">
        <v>17</v>
      </c>
      <c r="I30" s="271">
        <v>0</v>
      </c>
      <c r="J30" s="271">
        <v>0</v>
      </c>
      <c r="K30" s="271">
        <v>0</v>
      </c>
      <c r="L30" s="271">
        <v>0</v>
      </c>
      <c r="M30" s="135">
        <f t="shared" si="0"/>
        <v>58</v>
      </c>
      <c r="N30" s="136">
        <f t="shared" si="1"/>
        <v>0</v>
      </c>
      <c r="O30" s="136">
        <f t="shared" si="2"/>
        <v>0</v>
      </c>
      <c r="P30" s="136">
        <f t="shared" si="3"/>
        <v>0</v>
      </c>
      <c r="Q30" s="136">
        <f t="shared" si="4"/>
        <v>0</v>
      </c>
    </row>
    <row r="31" spans="1:17">
      <c r="A31" s="384" t="s">
        <v>291</v>
      </c>
      <c r="B31" s="118" t="s">
        <v>292</v>
      </c>
      <c r="C31" s="231">
        <v>11</v>
      </c>
      <c r="D31" s="273">
        <v>1</v>
      </c>
      <c r="E31" s="273">
        <v>0</v>
      </c>
      <c r="F31" s="273">
        <v>1</v>
      </c>
      <c r="G31" s="273">
        <v>1</v>
      </c>
      <c r="H31" s="231">
        <v>4</v>
      </c>
      <c r="I31" s="273">
        <v>1</v>
      </c>
      <c r="J31" s="273">
        <v>0</v>
      </c>
      <c r="K31" s="273">
        <v>1</v>
      </c>
      <c r="L31" s="273">
        <v>1</v>
      </c>
      <c r="M31" s="135">
        <f t="shared" si="0"/>
        <v>15</v>
      </c>
      <c r="N31" s="230">
        <f t="shared" si="1"/>
        <v>1</v>
      </c>
      <c r="O31" s="230">
        <f t="shared" si="2"/>
        <v>0</v>
      </c>
      <c r="P31" s="230">
        <f t="shared" si="3"/>
        <v>1</v>
      </c>
      <c r="Q31" s="230">
        <f t="shared" si="4"/>
        <v>1</v>
      </c>
    </row>
    <row r="32" spans="1:17">
      <c r="A32" s="385"/>
      <c r="B32" s="118" t="s">
        <v>293</v>
      </c>
      <c r="C32" s="231">
        <v>5</v>
      </c>
      <c r="D32" s="271">
        <v>2.66</v>
      </c>
      <c r="E32" s="271">
        <v>1.718429515575195</v>
      </c>
      <c r="F32" s="271">
        <v>4.3784295155751956</v>
      </c>
      <c r="G32" s="271">
        <v>0.94157048442480518</v>
      </c>
      <c r="H32" s="231"/>
      <c r="I32" s="271"/>
      <c r="J32" s="271"/>
      <c r="K32" s="271"/>
      <c r="L32" s="271"/>
      <c r="M32" s="135">
        <f t="shared" si="0"/>
        <v>5</v>
      </c>
      <c r="N32" s="136">
        <f t="shared" si="1"/>
        <v>2.66</v>
      </c>
      <c r="O32" s="136">
        <f t="shared" si="2"/>
        <v>0.85921475778759748</v>
      </c>
      <c r="P32" s="136">
        <f t="shared" si="3"/>
        <v>4.3784295155751956</v>
      </c>
      <c r="Q32" s="136">
        <f t="shared" si="4"/>
        <v>0.94157048442480518</v>
      </c>
    </row>
    <row r="33" spans="1:17">
      <c r="A33" s="385"/>
      <c r="B33" s="118" t="s">
        <v>294</v>
      </c>
      <c r="C33" s="231">
        <v>4</v>
      </c>
      <c r="D33" s="271">
        <v>16.25</v>
      </c>
      <c r="E33" s="271">
        <v>1.2583057392117916</v>
      </c>
      <c r="F33" s="271">
        <v>20.024917217635377</v>
      </c>
      <c r="G33" s="271">
        <v>12.475082782364625</v>
      </c>
      <c r="H33" s="231"/>
      <c r="I33" s="271"/>
      <c r="J33" s="271"/>
      <c r="K33" s="271"/>
      <c r="L33" s="271"/>
      <c r="M33" s="135">
        <f t="shared" si="0"/>
        <v>4</v>
      </c>
      <c r="N33" s="136">
        <f t="shared" si="1"/>
        <v>16.25</v>
      </c>
      <c r="O33" s="136">
        <f t="shared" si="2"/>
        <v>0.62915286960589578</v>
      </c>
      <c r="P33" s="136">
        <f t="shared" si="3"/>
        <v>20.024917217635377</v>
      </c>
      <c r="Q33" s="136">
        <f t="shared" si="4"/>
        <v>12.475082782364625</v>
      </c>
    </row>
    <row r="34" spans="1:17">
      <c r="A34" s="385"/>
      <c r="B34" s="118" t="s">
        <v>295</v>
      </c>
      <c r="C34" s="231">
        <v>0</v>
      </c>
      <c r="D34" s="271" t="s">
        <v>87</v>
      </c>
      <c r="E34" s="271" t="s">
        <v>87</v>
      </c>
      <c r="F34" s="271" t="s">
        <v>87</v>
      </c>
      <c r="G34" s="271" t="s">
        <v>87</v>
      </c>
      <c r="H34" s="231"/>
      <c r="I34" s="271"/>
      <c r="J34" s="271"/>
      <c r="K34" s="271"/>
      <c r="L34" s="271"/>
      <c r="M34" s="135">
        <f t="shared" si="0"/>
        <v>0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6"/>
      <c r="B35" s="118" t="s">
        <v>296</v>
      </c>
      <c r="C35" s="231">
        <v>2</v>
      </c>
      <c r="D35" s="271">
        <v>2</v>
      </c>
      <c r="E35" s="271">
        <v>0</v>
      </c>
      <c r="F35" s="271">
        <v>2</v>
      </c>
      <c r="G35" s="271">
        <v>2</v>
      </c>
      <c r="H35" s="231"/>
      <c r="I35" s="271"/>
      <c r="J35" s="271"/>
      <c r="K35" s="271"/>
      <c r="L35" s="271"/>
      <c r="M35" s="135">
        <f t="shared" si="0"/>
        <v>2</v>
      </c>
      <c r="N35" s="136">
        <f t="shared" si="1"/>
        <v>2</v>
      </c>
      <c r="O35" s="136">
        <f t="shared" si="2"/>
        <v>0</v>
      </c>
      <c r="P35" s="136">
        <f t="shared" si="3"/>
        <v>2</v>
      </c>
      <c r="Q35" s="136">
        <f t="shared" si="4"/>
        <v>2</v>
      </c>
    </row>
    <row r="36" spans="1:17">
      <c r="A36" s="386"/>
      <c r="B36" s="118" t="s">
        <v>297</v>
      </c>
      <c r="C36" s="231">
        <v>0</v>
      </c>
      <c r="D36" s="271" t="s">
        <v>87</v>
      </c>
      <c r="E36" s="271" t="s">
        <v>87</v>
      </c>
      <c r="F36" s="271" t="s">
        <v>87</v>
      </c>
      <c r="G36" s="271" t="s">
        <v>87</v>
      </c>
      <c r="H36" s="231"/>
      <c r="I36" s="271"/>
      <c r="J36" s="271"/>
      <c r="K36" s="271"/>
      <c r="L36" s="271"/>
      <c r="M36" s="135">
        <f t="shared" si="0"/>
        <v>0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7"/>
      <c r="B37" s="118" t="s">
        <v>298</v>
      </c>
      <c r="C37" s="231">
        <v>0</v>
      </c>
      <c r="D37" s="271" t="s">
        <v>87</v>
      </c>
      <c r="E37" s="271" t="s">
        <v>87</v>
      </c>
      <c r="F37" s="271" t="s">
        <v>87</v>
      </c>
      <c r="G37" s="271" t="s">
        <v>87</v>
      </c>
      <c r="H37" s="231"/>
      <c r="I37" s="271"/>
      <c r="J37" s="271"/>
      <c r="K37" s="271"/>
      <c r="L37" s="271"/>
      <c r="M37" s="135">
        <f t="shared" si="0"/>
        <v>0</v>
      </c>
      <c r="N37" s="136" t="str">
        <f t="shared" si="1"/>
        <v/>
      </c>
      <c r="O37" s="136" t="str">
        <f t="shared" si="2"/>
        <v/>
      </c>
      <c r="P37" s="136">
        <f t="shared" si="3"/>
        <v>0</v>
      </c>
      <c r="Q37" s="136">
        <f t="shared" si="4"/>
        <v>0</v>
      </c>
    </row>
    <row r="38" spans="1:17">
      <c r="A38" s="363" t="s">
        <v>299</v>
      </c>
      <c r="B38" s="118" t="s">
        <v>300</v>
      </c>
      <c r="C38" s="231">
        <v>42</v>
      </c>
      <c r="D38" s="271">
        <v>0</v>
      </c>
      <c r="E38" s="271">
        <v>0</v>
      </c>
      <c r="F38" s="271">
        <v>0</v>
      </c>
      <c r="G38" s="271">
        <v>0</v>
      </c>
      <c r="H38" s="231">
        <v>2</v>
      </c>
      <c r="I38" s="271">
        <v>0</v>
      </c>
      <c r="J38" s="271">
        <v>0</v>
      </c>
      <c r="K38" s="271">
        <v>0</v>
      </c>
      <c r="L38" s="271">
        <v>0</v>
      </c>
      <c r="M38" s="135">
        <f t="shared" si="0"/>
        <v>44</v>
      </c>
      <c r="N38" s="136">
        <f t="shared" si="1"/>
        <v>0</v>
      </c>
      <c r="O38" s="136">
        <f t="shared" si="2"/>
        <v>0</v>
      </c>
      <c r="P38" s="136">
        <f t="shared" si="3"/>
        <v>0</v>
      </c>
      <c r="Q38" s="136">
        <f t="shared" si="4"/>
        <v>0</v>
      </c>
    </row>
    <row r="39" spans="1:17">
      <c r="A39" s="363"/>
      <c r="B39" s="118" t="s">
        <v>301</v>
      </c>
      <c r="C39" s="231">
        <v>30</v>
      </c>
      <c r="D39" s="271">
        <v>4.059333333333333</v>
      </c>
      <c r="E39" s="271">
        <v>2.5516917083990864</v>
      </c>
      <c r="F39" s="271">
        <v>6.6110250417324199</v>
      </c>
      <c r="G39" s="271">
        <v>1.5076416249342466</v>
      </c>
      <c r="H39" s="231">
        <v>2</v>
      </c>
      <c r="I39" s="271">
        <v>1.9750000000000001</v>
      </c>
      <c r="J39" s="271">
        <v>0.27577164466275345</v>
      </c>
      <c r="K39" s="271">
        <v>2.2507716446627537</v>
      </c>
      <c r="L39" s="271">
        <v>1.6992283553372467</v>
      </c>
      <c r="M39" s="135">
        <f t="shared" si="0"/>
        <v>32</v>
      </c>
      <c r="N39" s="136">
        <f t="shared" si="1"/>
        <v>3.9290624999999997</v>
      </c>
      <c r="O39" s="136">
        <f t="shared" si="2"/>
        <v>1.41373167653092</v>
      </c>
      <c r="P39" s="136">
        <f t="shared" si="3"/>
        <v>6.6110250417324199</v>
      </c>
      <c r="Q39" s="136">
        <f t="shared" si="4"/>
        <v>1.5076416249342466</v>
      </c>
    </row>
    <row r="40" spans="1:17">
      <c r="A40" s="363"/>
      <c r="B40" s="118" t="s">
        <v>302</v>
      </c>
      <c r="C40" s="231">
        <v>21</v>
      </c>
      <c r="D40" s="273">
        <v>5.1166666666666666E-2</v>
      </c>
      <c r="E40" s="273">
        <v>1.9583726237193299E-2</v>
      </c>
      <c r="F40" s="273">
        <v>7.0750392903859968E-2</v>
      </c>
      <c r="G40" s="273">
        <v>3.1582940429473363E-2</v>
      </c>
      <c r="H40" s="231">
        <v>2</v>
      </c>
      <c r="I40" s="273">
        <v>6.5500000000000003E-2</v>
      </c>
      <c r="J40" s="273">
        <v>1.6263455967290567E-2</v>
      </c>
      <c r="K40" s="273">
        <v>8.1763455967290566E-2</v>
      </c>
      <c r="L40" s="273">
        <v>4.9236544032709439E-2</v>
      </c>
      <c r="M40" s="135">
        <f t="shared" si="0"/>
        <v>23</v>
      </c>
      <c r="N40" s="230">
        <f t="shared" si="1"/>
        <v>5.2413043478260868E-2</v>
      </c>
      <c r="O40" s="230">
        <f t="shared" si="2"/>
        <v>1.7923591102241933E-2</v>
      </c>
      <c r="P40" s="230">
        <f t="shared" si="3"/>
        <v>8.1763455967290566E-2</v>
      </c>
      <c r="Q40" s="230">
        <f t="shared" si="4"/>
        <v>3.1582940429473363E-2</v>
      </c>
    </row>
    <row r="41" spans="1:17">
      <c r="A41" s="363"/>
      <c r="B41" s="120" t="s">
        <v>303</v>
      </c>
      <c r="C41" s="231">
        <v>32</v>
      </c>
      <c r="D41" s="271">
        <v>0</v>
      </c>
      <c r="E41" s="271">
        <v>0</v>
      </c>
      <c r="F41" s="271">
        <v>0</v>
      </c>
      <c r="G41" s="271">
        <v>0</v>
      </c>
      <c r="H41" s="231">
        <v>2</v>
      </c>
      <c r="I41" s="271">
        <v>0</v>
      </c>
      <c r="J41" s="271">
        <v>0</v>
      </c>
      <c r="K41" s="271">
        <v>0</v>
      </c>
      <c r="L41" s="271">
        <v>0</v>
      </c>
      <c r="M41" s="135">
        <f t="shared" si="0"/>
        <v>34</v>
      </c>
      <c r="N41" s="136">
        <f t="shared" si="1"/>
        <v>0</v>
      </c>
      <c r="O41" s="136">
        <f t="shared" si="2"/>
        <v>0</v>
      </c>
      <c r="P41" s="136">
        <f t="shared" si="3"/>
        <v>0</v>
      </c>
      <c r="Q41" s="136">
        <f t="shared" si="4"/>
        <v>0</v>
      </c>
    </row>
    <row r="42" spans="1:17">
      <c r="A42" s="363"/>
      <c r="B42" s="120" t="s">
        <v>304</v>
      </c>
      <c r="C42" s="231">
        <v>32</v>
      </c>
      <c r="D42" s="271">
        <v>0</v>
      </c>
      <c r="E42" s="271">
        <v>0</v>
      </c>
      <c r="F42" s="271">
        <v>0</v>
      </c>
      <c r="G42" s="271">
        <v>0</v>
      </c>
      <c r="H42" s="231">
        <v>2</v>
      </c>
      <c r="I42" s="271">
        <v>0</v>
      </c>
      <c r="J42" s="271">
        <v>0</v>
      </c>
      <c r="K42" s="271">
        <v>0</v>
      </c>
      <c r="L42" s="271">
        <v>0</v>
      </c>
      <c r="M42" s="135">
        <f t="shared" si="0"/>
        <v>34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3"/>
      <c r="B43" s="120" t="s">
        <v>305</v>
      </c>
      <c r="C43" s="231">
        <v>13</v>
      </c>
      <c r="D43" s="275">
        <v>97.024615384615373</v>
      </c>
      <c r="E43" s="275">
        <v>8.6262270773347716</v>
      </c>
      <c r="F43" s="275">
        <v>122.90329661661968</v>
      </c>
      <c r="G43" s="275">
        <v>71.145934152611062</v>
      </c>
      <c r="H43" s="231"/>
      <c r="I43" s="275"/>
      <c r="J43" s="275"/>
      <c r="K43" s="275"/>
      <c r="L43" s="275"/>
      <c r="M43" s="135">
        <f t="shared" si="0"/>
        <v>13</v>
      </c>
      <c r="N43" s="136">
        <f t="shared" si="1"/>
        <v>97.024615384615373</v>
      </c>
      <c r="O43" s="136">
        <f t="shared" si="2"/>
        <v>4.3131135386673858</v>
      </c>
      <c r="P43" s="136">
        <f t="shared" si="3"/>
        <v>122.90329661661968</v>
      </c>
      <c r="Q43" s="136">
        <f t="shared" si="4"/>
        <v>71.145934152611062</v>
      </c>
    </row>
    <row r="44" spans="1:17">
      <c r="A44" s="393" t="s">
        <v>487</v>
      </c>
      <c r="B44" s="118" t="s">
        <v>152</v>
      </c>
      <c r="C44" s="276">
        <v>0</v>
      </c>
      <c r="D44" s="271" t="s">
        <v>87</v>
      </c>
      <c r="E44" s="271" t="s">
        <v>87</v>
      </c>
      <c r="F44" s="271" t="s">
        <v>87</v>
      </c>
      <c r="G44" s="271" t="s">
        <v>87</v>
      </c>
      <c r="H44" s="276">
        <v>0</v>
      </c>
      <c r="I44" s="271" t="s">
        <v>87</v>
      </c>
      <c r="J44" s="271" t="s">
        <v>87</v>
      </c>
      <c r="K44" s="271" t="s">
        <v>87</v>
      </c>
      <c r="L44" s="271" t="s">
        <v>87</v>
      </c>
      <c r="M44" s="135">
        <f t="shared" ref="M44:M56" si="5">IFERROR(C44+H44,"")</f>
        <v>0</v>
      </c>
      <c r="N44" s="136" t="str">
        <f t="shared" ref="N44:N56" si="6">IFERROR((C44*D44+H44*I44)/M44,"")</f>
        <v/>
      </c>
      <c r="O44" s="136" t="str">
        <f t="shared" ref="O44:O56" si="7">IFERROR((E44+J44)/2,"")</f>
        <v/>
      </c>
      <c r="P44" s="136">
        <f t="shared" ref="P44:P56" si="8">IFERROR(MAXA(F44,K44),"")</f>
        <v>0</v>
      </c>
      <c r="Q44" s="136">
        <f t="shared" ref="Q44:Q56" si="9">IFERROR(MINA(G44,L44),"")</f>
        <v>0</v>
      </c>
    </row>
    <row r="45" spans="1:17">
      <c r="A45" s="351"/>
      <c r="B45" s="118" t="s">
        <v>310</v>
      </c>
      <c r="C45" s="276">
        <v>5</v>
      </c>
      <c r="D45" s="271">
        <v>4.306</v>
      </c>
      <c r="E45" s="271">
        <v>1.5623955965119716</v>
      </c>
      <c r="F45" s="271">
        <v>5.8683955965119718</v>
      </c>
      <c r="G45" s="271">
        <v>2.7436044034880283</v>
      </c>
      <c r="H45" s="276">
        <v>10</v>
      </c>
      <c r="I45" s="271">
        <v>4.9307912379059919</v>
      </c>
      <c r="J45" s="271">
        <v>1.6508291535069146</v>
      </c>
      <c r="K45" s="271">
        <v>6.5816203914129066</v>
      </c>
      <c r="L45" s="271">
        <v>3.2799620843990773</v>
      </c>
      <c r="M45" s="135">
        <f t="shared" si="5"/>
        <v>15</v>
      </c>
      <c r="N45" s="136">
        <f t="shared" si="6"/>
        <v>4.7225274919373286</v>
      </c>
      <c r="O45" s="136">
        <f t="shared" si="7"/>
        <v>1.6066123750094432</v>
      </c>
      <c r="P45" s="136">
        <f t="shared" si="8"/>
        <v>6.5816203914129066</v>
      </c>
      <c r="Q45" s="136">
        <f t="shared" si="9"/>
        <v>2.7436044034880283</v>
      </c>
    </row>
    <row r="46" spans="1:17">
      <c r="A46" s="351"/>
      <c r="B46" s="118" t="s">
        <v>311</v>
      </c>
      <c r="C46" s="276">
        <v>1</v>
      </c>
      <c r="D46" s="271">
        <v>11.63</v>
      </c>
      <c r="E46" s="271" t="s">
        <v>87</v>
      </c>
      <c r="F46" s="271" t="s">
        <v>87</v>
      </c>
      <c r="G46" s="271" t="s">
        <v>87</v>
      </c>
      <c r="H46" s="276">
        <v>2</v>
      </c>
      <c r="I46" s="271">
        <v>15</v>
      </c>
      <c r="J46" s="271">
        <v>7.0710678118654755</v>
      </c>
      <c r="K46" s="271">
        <v>22.071067811865476</v>
      </c>
      <c r="L46" s="271">
        <v>7.9289321881345245</v>
      </c>
      <c r="M46" s="135">
        <f t="shared" si="5"/>
        <v>3</v>
      </c>
      <c r="N46" s="136">
        <f t="shared" si="6"/>
        <v>13.876666666666667</v>
      </c>
      <c r="O46" s="136" t="str">
        <f t="shared" si="7"/>
        <v/>
      </c>
      <c r="P46" s="136">
        <f t="shared" si="8"/>
        <v>22.071067811865476</v>
      </c>
      <c r="Q46" s="136">
        <f t="shared" si="9"/>
        <v>0</v>
      </c>
    </row>
    <row r="47" spans="1:17">
      <c r="A47" s="351"/>
      <c r="B47" s="118" t="s">
        <v>312</v>
      </c>
      <c r="C47" s="276">
        <v>17</v>
      </c>
      <c r="D47" s="271">
        <v>7.46</v>
      </c>
      <c r="E47" s="271">
        <v>4.4652421546876964</v>
      </c>
      <c r="F47" s="271">
        <v>11.925242154687696</v>
      </c>
      <c r="G47" s="271">
        <v>2.9947578453123036</v>
      </c>
      <c r="H47" s="276">
        <v>36</v>
      </c>
      <c r="I47" s="271">
        <v>8.1673461361392032</v>
      </c>
      <c r="J47" s="271">
        <v>6.408568612318307</v>
      </c>
      <c r="K47" s="271">
        <v>14.57591474845751</v>
      </c>
      <c r="L47" s="271">
        <v>1.7587775238208962</v>
      </c>
      <c r="M47" s="135">
        <f t="shared" si="5"/>
        <v>53</v>
      </c>
      <c r="N47" s="136">
        <f t="shared" si="6"/>
        <v>7.9404615264341754</v>
      </c>
      <c r="O47" s="136">
        <f t="shared" si="7"/>
        <v>5.4369053835030012</v>
      </c>
      <c r="P47" s="136">
        <f t="shared" si="8"/>
        <v>14.57591474845751</v>
      </c>
      <c r="Q47" s="136">
        <f t="shared" si="9"/>
        <v>1.7587775238208962</v>
      </c>
    </row>
    <row r="48" spans="1:17">
      <c r="A48" s="351"/>
      <c r="B48" s="118" t="s">
        <v>267</v>
      </c>
      <c r="C48" s="276">
        <v>5</v>
      </c>
      <c r="D48" s="277">
        <v>0</v>
      </c>
      <c r="E48" s="277">
        <v>0</v>
      </c>
      <c r="F48" s="277">
        <v>0</v>
      </c>
      <c r="G48" s="277">
        <v>0</v>
      </c>
      <c r="H48" s="276">
        <v>1</v>
      </c>
      <c r="I48" s="277">
        <v>0</v>
      </c>
      <c r="J48" s="277" t="s">
        <v>87</v>
      </c>
      <c r="K48" s="277" t="s">
        <v>87</v>
      </c>
      <c r="L48" s="277" t="s">
        <v>87</v>
      </c>
      <c r="M48" s="135">
        <f t="shared" si="5"/>
        <v>6</v>
      </c>
      <c r="N48" s="277">
        <f t="shared" si="6"/>
        <v>0</v>
      </c>
      <c r="O48" s="277" t="str">
        <f t="shared" si="7"/>
        <v/>
      </c>
      <c r="P48" s="277">
        <f t="shared" si="8"/>
        <v>0</v>
      </c>
      <c r="Q48" s="277">
        <f t="shared" si="9"/>
        <v>0</v>
      </c>
    </row>
    <row r="49" spans="1:17">
      <c r="A49" s="393" t="s">
        <v>488</v>
      </c>
      <c r="B49" s="118" t="s">
        <v>314</v>
      </c>
      <c r="C49" s="276">
        <v>3</v>
      </c>
      <c r="D49" s="278">
        <v>10.166666666666666</v>
      </c>
      <c r="E49" s="278">
        <v>0.76376261582597327</v>
      </c>
      <c r="F49" s="278">
        <v>12.457954514144586</v>
      </c>
      <c r="G49" s="278">
        <v>7.8753788191887466</v>
      </c>
      <c r="H49" s="276">
        <v>0</v>
      </c>
      <c r="I49" s="278" t="s">
        <v>87</v>
      </c>
      <c r="J49" s="278" t="s">
        <v>87</v>
      </c>
      <c r="K49" s="278" t="s">
        <v>87</v>
      </c>
      <c r="L49" s="278" t="s">
        <v>87</v>
      </c>
      <c r="M49" s="135">
        <f t="shared" si="5"/>
        <v>3</v>
      </c>
      <c r="N49" s="136" t="str">
        <f t="shared" si="6"/>
        <v/>
      </c>
      <c r="O49" s="136" t="str">
        <f t="shared" si="7"/>
        <v/>
      </c>
      <c r="P49" s="136">
        <f t="shared" si="8"/>
        <v>12.457954514144586</v>
      </c>
      <c r="Q49" s="136">
        <f t="shared" si="9"/>
        <v>0</v>
      </c>
    </row>
    <row r="50" spans="1:17">
      <c r="A50" s="351"/>
      <c r="B50" s="118" t="s">
        <v>157</v>
      </c>
      <c r="C50" s="279">
        <v>11</v>
      </c>
      <c r="D50" s="273">
        <v>0.71818181818181825</v>
      </c>
      <c r="E50" s="273">
        <v>0.14126699415066413</v>
      </c>
      <c r="F50" s="273">
        <v>0.85944881233248238</v>
      </c>
      <c r="G50" s="273">
        <v>0.57691482403115413</v>
      </c>
      <c r="H50" s="279">
        <v>4</v>
      </c>
      <c r="I50" s="273">
        <v>0.82925000000000004</v>
      </c>
      <c r="J50" s="273">
        <v>4.2452915094254702E-2</v>
      </c>
      <c r="K50" s="273">
        <v>0.95660874528276418</v>
      </c>
      <c r="L50" s="273">
        <v>0.7018912547172359</v>
      </c>
      <c r="M50" s="135">
        <f t="shared" si="5"/>
        <v>15</v>
      </c>
      <c r="N50" s="273">
        <f t="shared" si="6"/>
        <v>0.74780000000000002</v>
      </c>
      <c r="O50" s="273">
        <f t="shared" si="7"/>
        <v>9.1859954622459411E-2</v>
      </c>
      <c r="P50" s="273">
        <f t="shared" si="8"/>
        <v>0.95660874528276418</v>
      </c>
      <c r="Q50" s="273">
        <f t="shared" si="9"/>
        <v>0.57691482403115413</v>
      </c>
    </row>
    <row r="51" spans="1:17">
      <c r="A51" s="351"/>
      <c r="B51" s="118" t="s">
        <v>315</v>
      </c>
      <c r="C51" s="276">
        <v>0</v>
      </c>
      <c r="D51" s="278" t="s">
        <v>87</v>
      </c>
      <c r="E51" s="278" t="s">
        <v>87</v>
      </c>
      <c r="F51" s="278" t="s">
        <v>87</v>
      </c>
      <c r="G51" s="278" t="s">
        <v>87</v>
      </c>
      <c r="H51" s="276">
        <v>0</v>
      </c>
      <c r="I51" s="278" t="s">
        <v>87</v>
      </c>
      <c r="J51" s="278" t="s">
        <v>87</v>
      </c>
      <c r="K51" s="278" t="s">
        <v>87</v>
      </c>
      <c r="L51" s="278" t="s">
        <v>87</v>
      </c>
      <c r="M51" s="135">
        <f t="shared" si="5"/>
        <v>0</v>
      </c>
      <c r="N51" s="273" t="str">
        <f t="shared" si="6"/>
        <v/>
      </c>
      <c r="O51" s="273" t="str">
        <f t="shared" si="7"/>
        <v/>
      </c>
      <c r="P51" s="273">
        <f t="shared" si="8"/>
        <v>0</v>
      </c>
      <c r="Q51" s="273">
        <f t="shared" si="9"/>
        <v>0</v>
      </c>
    </row>
    <row r="52" spans="1:17">
      <c r="A52" s="351"/>
      <c r="B52" s="118" t="s">
        <v>316</v>
      </c>
      <c r="C52" s="276">
        <v>7</v>
      </c>
      <c r="D52" s="280">
        <v>0</v>
      </c>
      <c r="E52" s="280">
        <v>0</v>
      </c>
      <c r="F52" s="280">
        <v>0</v>
      </c>
      <c r="G52" s="280">
        <v>0</v>
      </c>
      <c r="H52" s="276">
        <v>7</v>
      </c>
      <c r="I52" s="280">
        <v>0</v>
      </c>
      <c r="J52" s="280">
        <v>0</v>
      </c>
      <c r="K52" s="280">
        <v>0</v>
      </c>
      <c r="L52" s="280">
        <v>0</v>
      </c>
      <c r="M52" s="135">
        <f t="shared" si="5"/>
        <v>14</v>
      </c>
      <c r="N52" s="273">
        <f t="shared" si="6"/>
        <v>0</v>
      </c>
      <c r="O52" s="273">
        <f t="shared" si="7"/>
        <v>0</v>
      </c>
      <c r="P52" s="273">
        <f t="shared" si="8"/>
        <v>0</v>
      </c>
      <c r="Q52" s="273">
        <f t="shared" si="9"/>
        <v>0</v>
      </c>
    </row>
    <row r="53" spans="1:17">
      <c r="A53" s="351"/>
      <c r="B53" s="120" t="s">
        <v>334</v>
      </c>
      <c r="C53" s="276">
        <v>6</v>
      </c>
      <c r="D53" s="280">
        <v>0.69003117444091655</v>
      </c>
      <c r="E53" s="280">
        <v>0.29610642999791431</v>
      </c>
      <c r="F53" s="280">
        <v>0.98613760443883081</v>
      </c>
      <c r="G53" s="280">
        <v>0.39392474444300224</v>
      </c>
      <c r="H53" s="276">
        <v>0</v>
      </c>
      <c r="I53" s="280" t="s">
        <v>87</v>
      </c>
      <c r="J53" s="280" t="s">
        <v>87</v>
      </c>
      <c r="K53" s="280" t="s">
        <v>87</v>
      </c>
      <c r="L53" s="280" t="s">
        <v>87</v>
      </c>
      <c r="M53" s="135">
        <f t="shared" si="5"/>
        <v>6</v>
      </c>
      <c r="N53" s="273" t="str">
        <f t="shared" si="6"/>
        <v/>
      </c>
      <c r="O53" s="273" t="str">
        <f t="shared" si="7"/>
        <v/>
      </c>
      <c r="P53" s="273">
        <f t="shared" si="8"/>
        <v>0.98613760443883081</v>
      </c>
      <c r="Q53" s="273">
        <f t="shared" si="9"/>
        <v>0</v>
      </c>
    </row>
    <row r="54" spans="1:17" ht="16.5">
      <c r="A54" s="351"/>
      <c r="B54" s="121" t="s">
        <v>318</v>
      </c>
      <c r="C54" s="276">
        <v>10</v>
      </c>
      <c r="D54" s="280">
        <v>0.99555000000000005</v>
      </c>
      <c r="E54" s="280">
        <v>4.8674086192415306E-3</v>
      </c>
      <c r="F54" s="280">
        <v>1.0101522258577247</v>
      </c>
      <c r="G54" s="280">
        <v>0.98094777414227541</v>
      </c>
      <c r="H54" s="276">
        <v>5</v>
      </c>
      <c r="I54" s="280">
        <v>0.96799999999999997</v>
      </c>
      <c r="J54" s="280">
        <v>2.1679483388678818E-2</v>
      </c>
      <c r="K54" s="280">
        <v>1.0330384501660363</v>
      </c>
      <c r="L54" s="280">
        <v>0.90296154983396348</v>
      </c>
      <c r="M54" s="135">
        <f t="shared" si="5"/>
        <v>15</v>
      </c>
      <c r="N54" s="273">
        <f t="shared" si="6"/>
        <v>0.98636666666666672</v>
      </c>
      <c r="O54" s="273">
        <f t="shared" si="7"/>
        <v>1.3273446003960174E-2</v>
      </c>
      <c r="P54" s="273">
        <f t="shared" si="8"/>
        <v>1.0330384501660363</v>
      </c>
      <c r="Q54" s="273">
        <f t="shared" si="9"/>
        <v>0.90296154983396348</v>
      </c>
    </row>
    <row r="55" spans="1:17">
      <c r="A55" s="351"/>
      <c r="B55" s="118" t="s">
        <v>319</v>
      </c>
      <c r="C55" s="276">
        <v>2</v>
      </c>
      <c r="D55" s="278">
        <v>2</v>
      </c>
      <c r="E55" s="278">
        <v>0</v>
      </c>
      <c r="F55" s="278">
        <v>2</v>
      </c>
      <c r="G55" s="278">
        <v>2</v>
      </c>
      <c r="H55" s="276">
        <v>1</v>
      </c>
      <c r="I55" s="278">
        <v>5</v>
      </c>
      <c r="J55" s="278" t="s">
        <v>87</v>
      </c>
      <c r="K55" s="278" t="s">
        <v>87</v>
      </c>
      <c r="L55" s="278" t="s">
        <v>87</v>
      </c>
      <c r="M55" s="135">
        <f t="shared" si="5"/>
        <v>3</v>
      </c>
      <c r="N55" s="136">
        <f t="shared" si="6"/>
        <v>3</v>
      </c>
      <c r="O55" s="136" t="str">
        <f t="shared" si="7"/>
        <v/>
      </c>
      <c r="P55" s="136">
        <f t="shared" si="8"/>
        <v>2</v>
      </c>
      <c r="Q55" s="136">
        <f t="shared" si="9"/>
        <v>0</v>
      </c>
    </row>
    <row r="56" spans="1:17">
      <c r="A56" s="351"/>
      <c r="B56" s="118" t="s">
        <v>307</v>
      </c>
      <c r="C56" s="276">
        <v>0</v>
      </c>
      <c r="D56" s="278" t="s">
        <v>87</v>
      </c>
      <c r="E56" s="278" t="s">
        <v>87</v>
      </c>
      <c r="F56" s="278" t="s">
        <v>87</v>
      </c>
      <c r="G56" s="278" t="s">
        <v>87</v>
      </c>
      <c r="H56" s="276">
        <v>0</v>
      </c>
      <c r="I56" s="278" t="s">
        <v>87</v>
      </c>
      <c r="J56" s="278" t="s">
        <v>87</v>
      </c>
      <c r="K56" s="278" t="s">
        <v>87</v>
      </c>
      <c r="L56" s="278" t="s">
        <v>87</v>
      </c>
      <c r="M56" s="135">
        <f t="shared" si="5"/>
        <v>0</v>
      </c>
      <c r="N56" s="136" t="str">
        <f t="shared" si="6"/>
        <v/>
      </c>
      <c r="O56" s="136" t="str">
        <f t="shared" si="7"/>
        <v/>
      </c>
      <c r="P56" s="136">
        <f t="shared" si="8"/>
        <v>0</v>
      </c>
      <c r="Q56" s="136">
        <f t="shared" si="9"/>
        <v>0</v>
      </c>
    </row>
  </sheetData>
  <mergeCells count="14">
    <mergeCell ref="A14:A16"/>
    <mergeCell ref="A1:B2"/>
    <mergeCell ref="C1:G1"/>
    <mergeCell ref="H1:L1"/>
    <mergeCell ref="M1:Q1"/>
    <mergeCell ref="A3:A13"/>
    <mergeCell ref="A44:A48"/>
    <mergeCell ref="A49:A56"/>
    <mergeCell ref="A31:A37"/>
    <mergeCell ref="A17:A20"/>
    <mergeCell ref="A21:A25"/>
    <mergeCell ref="A27:A28"/>
    <mergeCell ref="A29:A30"/>
    <mergeCell ref="A38:A43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workbookViewId="0">
      <selection activeCell="F19" sqref="F19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51" t="s">
        <v>258</v>
      </c>
      <c r="B3" s="117" t="s">
        <v>259</v>
      </c>
      <c r="C3" s="231">
        <v>9</v>
      </c>
      <c r="D3" s="229">
        <v>25.111426594895189</v>
      </c>
      <c r="E3" s="229">
        <v>12.444307804619788</v>
      </c>
      <c r="F3" s="229">
        <v>37.555734399514975</v>
      </c>
      <c r="G3" s="229">
        <v>12.667118790275401</v>
      </c>
      <c r="H3" s="231">
        <v>18</v>
      </c>
      <c r="I3" s="229">
        <v>40.297260576053219</v>
      </c>
      <c r="J3" s="229">
        <v>18.166214672101578</v>
      </c>
      <c r="K3" s="229">
        <v>58.463475248154793</v>
      </c>
      <c r="L3" s="229">
        <v>22.131045903951641</v>
      </c>
      <c r="M3" s="135">
        <f>IFERROR(C3+H3,"")</f>
        <v>27</v>
      </c>
      <c r="N3" s="136">
        <f>IFERROR((C3*D3+H3*I3)/M3,"")</f>
        <v>35.235315915667208</v>
      </c>
      <c r="O3" s="136">
        <f>IFERROR((E3+J3)/2,"")</f>
        <v>15.305261238360682</v>
      </c>
      <c r="P3" s="136">
        <f>IFERROR(MAXA(F3,K3),"")</f>
        <v>58.463475248154793</v>
      </c>
      <c r="Q3" s="136">
        <f>IFERROR(MINA(G3,L3),"")</f>
        <v>12.667118790275401</v>
      </c>
    </row>
    <row r="4" spans="1:17">
      <c r="A4" s="351"/>
      <c r="B4" s="118" t="s">
        <v>333</v>
      </c>
      <c r="C4" s="231">
        <v>6</v>
      </c>
      <c r="D4" s="229">
        <v>31.316277270060894</v>
      </c>
      <c r="E4" s="229">
        <v>12.866655653252607</v>
      </c>
      <c r="F4" s="229">
        <v>44.182932923313501</v>
      </c>
      <c r="G4" s="229">
        <v>18.449621616808287</v>
      </c>
      <c r="H4" s="231">
        <v>15</v>
      </c>
      <c r="I4" s="229">
        <v>44.458222402978791</v>
      </c>
      <c r="J4" s="229">
        <v>17.184293628205154</v>
      </c>
      <c r="K4" s="229">
        <v>61.642516031183945</v>
      </c>
      <c r="L4" s="229">
        <v>27.273928774773637</v>
      </c>
      <c r="M4" s="135">
        <f t="shared" ref="M4:M43" si="0">IFERROR(C4+H4,"")</f>
        <v>21</v>
      </c>
      <c r="N4" s="136">
        <f t="shared" ref="N4:N43" si="1">IFERROR((C4*D4+H4*I4)/M4,"")</f>
        <v>40.703380936430825</v>
      </c>
      <c r="O4" s="136">
        <f t="shared" ref="O4:O43" si="2">IFERROR((E4+J4)/2,"")</f>
        <v>15.025474640728881</v>
      </c>
      <c r="P4" s="136">
        <f t="shared" ref="P4:P43" si="3">IFERROR(MAXA(F4,K4),"")</f>
        <v>61.642516031183945</v>
      </c>
      <c r="Q4" s="136">
        <f t="shared" ref="Q4:Q43" si="4">IFERROR(MINA(G4,L4),"")</f>
        <v>18.449621616808287</v>
      </c>
    </row>
    <row r="5" spans="1:17">
      <c r="A5" s="351"/>
      <c r="B5" s="118" t="s">
        <v>263</v>
      </c>
      <c r="C5" s="231">
        <v>2</v>
      </c>
      <c r="D5" s="229">
        <v>0.46199311385664898</v>
      </c>
      <c r="E5" s="229">
        <v>0.46422198282714705</v>
      </c>
      <c r="F5" s="229">
        <v>0.92621509668379609</v>
      </c>
      <c r="G5" s="229">
        <v>0</v>
      </c>
      <c r="H5" s="231">
        <v>5</v>
      </c>
      <c r="I5" s="229">
        <v>0.35064300646693086</v>
      </c>
      <c r="J5" s="229">
        <v>0.48074472720506073</v>
      </c>
      <c r="K5" s="229">
        <v>0.83138773367199159</v>
      </c>
      <c r="L5" s="229">
        <v>0</v>
      </c>
      <c r="M5" s="135">
        <f t="shared" si="0"/>
        <v>7</v>
      </c>
      <c r="N5" s="136">
        <f t="shared" si="1"/>
        <v>0.3824573228639932</v>
      </c>
      <c r="O5" s="136">
        <f t="shared" si="2"/>
        <v>0.47248335501610389</v>
      </c>
      <c r="P5" s="136">
        <f t="shared" si="3"/>
        <v>0.92621509668379609</v>
      </c>
      <c r="Q5" s="136">
        <f t="shared" si="4"/>
        <v>0</v>
      </c>
    </row>
    <row r="6" spans="1:17">
      <c r="A6" s="351"/>
      <c r="B6" s="118" t="s">
        <v>257</v>
      </c>
      <c r="C6" s="231">
        <v>2</v>
      </c>
      <c r="D6" s="229">
        <v>3.3267739441536465E-2</v>
      </c>
      <c r="E6" s="229">
        <v>3.7743651713155371E-2</v>
      </c>
      <c r="F6" s="229">
        <v>7.1011391154691836E-2</v>
      </c>
      <c r="G6" s="229">
        <v>0</v>
      </c>
      <c r="H6" s="231">
        <v>5</v>
      </c>
      <c r="I6" s="229">
        <v>1.5938318475769587E-2</v>
      </c>
      <c r="J6" s="229">
        <v>2.1852033054775486E-2</v>
      </c>
      <c r="K6" s="229">
        <v>3.7790351530545073E-2</v>
      </c>
      <c r="L6" s="229">
        <v>0</v>
      </c>
      <c r="M6" s="135">
        <f t="shared" si="0"/>
        <v>7</v>
      </c>
      <c r="N6" s="136">
        <f t="shared" si="1"/>
        <v>2.0889581608845836E-2</v>
      </c>
      <c r="O6" s="136">
        <f t="shared" si="2"/>
        <v>2.9797842383965427E-2</v>
      </c>
      <c r="P6" s="136">
        <f t="shared" si="3"/>
        <v>7.1011391154691836E-2</v>
      </c>
      <c r="Q6" s="136">
        <f t="shared" si="4"/>
        <v>0</v>
      </c>
    </row>
    <row r="7" spans="1:17">
      <c r="A7" s="351"/>
      <c r="B7" s="118" t="s">
        <v>329</v>
      </c>
      <c r="C7" s="231">
        <v>2</v>
      </c>
      <c r="D7" s="229">
        <v>24.552380952380954</v>
      </c>
      <c r="E7" s="229">
        <v>5.6837916506804378</v>
      </c>
      <c r="F7" s="229">
        <v>30.236172603061391</v>
      </c>
      <c r="G7" s="229">
        <v>18.868589301700517</v>
      </c>
      <c r="H7" s="231">
        <v>0</v>
      </c>
      <c r="I7" s="229" t="s">
        <v>87</v>
      </c>
      <c r="J7" s="229" t="s">
        <v>87</v>
      </c>
      <c r="K7" s="229" t="s">
        <v>87</v>
      </c>
      <c r="L7" s="229" t="s">
        <v>87</v>
      </c>
      <c r="M7" s="135">
        <f t="shared" si="0"/>
        <v>2</v>
      </c>
      <c r="N7" s="136" t="str">
        <f t="shared" si="1"/>
        <v/>
      </c>
      <c r="O7" s="136" t="str">
        <f t="shared" si="2"/>
        <v/>
      </c>
      <c r="P7" s="136">
        <f t="shared" si="3"/>
        <v>30.236172603061391</v>
      </c>
      <c r="Q7" s="136">
        <f t="shared" si="4"/>
        <v>0</v>
      </c>
    </row>
    <row r="8" spans="1:17">
      <c r="A8" s="351"/>
      <c r="B8" s="118" t="s">
        <v>264</v>
      </c>
      <c r="C8" s="231">
        <v>3</v>
      </c>
      <c r="D8" s="229">
        <v>0.98546093232422638</v>
      </c>
      <c r="E8" s="229">
        <v>0.59338152536470268</v>
      </c>
      <c r="F8" s="229">
        <v>1.5788424576889291</v>
      </c>
      <c r="G8" s="229">
        <v>0.3920794069595237</v>
      </c>
      <c r="H8" s="231">
        <v>1</v>
      </c>
      <c r="I8" s="229">
        <v>0.45597763379781664</v>
      </c>
      <c r="J8" s="229" t="s">
        <v>87</v>
      </c>
      <c r="K8" s="229" t="s">
        <v>87</v>
      </c>
      <c r="L8" s="229" t="s">
        <v>87</v>
      </c>
      <c r="M8" s="135">
        <f t="shared" si="0"/>
        <v>4</v>
      </c>
      <c r="N8" s="136">
        <f t="shared" si="1"/>
        <v>0.85309010769262394</v>
      </c>
      <c r="O8" s="136" t="str">
        <f t="shared" si="2"/>
        <v/>
      </c>
      <c r="P8" s="136">
        <f t="shared" si="3"/>
        <v>1.5788424576889291</v>
      </c>
      <c r="Q8" s="136">
        <f t="shared" si="4"/>
        <v>0</v>
      </c>
    </row>
    <row r="9" spans="1:17">
      <c r="A9" s="351"/>
      <c r="B9" s="118" t="s">
        <v>265</v>
      </c>
      <c r="C9" s="231">
        <v>0</v>
      </c>
      <c r="D9" s="229" t="s">
        <v>87</v>
      </c>
      <c r="E9" s="229" t="s">
        <v>87</v>
      </c>
      <c r="F9" s="229" t="s">
        <v>87</v>
      </c>
      <c r="G9" s="229" t="s">
        <v>87</v>
      </c>
      <c r="H9" s="231">
        <v>0</v>
      </c>
      <c r="I9" s="229" t="s">
        <v>87</v>
      </c>
      <c r="J9" s="229" t="s">
        <v>87</v>
      </c>
      <c r="K9" s="229" t="s">
        <v>87</v>
      </c>
      <c r="L9" s="229" t="s">
        <v>87</v>
      </c>
      <c r="M9" s="135">
        <f t="shared" si="0"/>
        <v>0</v>
      </c>
      <c r="N9" s="136" t="str">
        <f t="shared" si="1"/>
        <v/>
      </c>
      <c r="O9" s="136" t="str">
        <f t="shared" si="2"/>
        <v/>
      </c>
      <c r="P9" s="136">
        <f t="shared" si="3"/>
        <v>0</v>
      </c>
      <c r="Q9" s="136">
        <f t="shared" si="4"/>
        <v>0</v>
      </c>
    </row>
    <row r="10" spans="1:17">
      <c r="A10" s="351"/>
      <c r="B10" s="118" t="s">
        <v>266</v>
      </c>
      <c r="C10" s="231">
        <v>0</v>
      </c>
      <c r="D10" s="229" t="s">
        <v>87</v>
      </c>
      <c r="E10" s="229" t="s">
        <v>87</v>
      </c>
      <c r="F10" s="229" t="s">
        <v>87</v>
      </c>
      <c r="G10" s="229" t="s">
        <v>87</v>
      </c>
      <c r="H10" s="231">
        <v>0</v>
      </c>
      <c r="I10" s="229" t="s">
        <v>87</v>
      </c>
      <c r="J10" s="229" t="s">
        <v>87</v>
      </c>
      <c r="K10" s="229" t="s">
        <v>87</v>
      </c>
      <c r="L10" s="229" t="s">
        <v>87</v>
      </c>
      <c r="M10" s="135">
        <f t="shared" si="0"/>
        <v>0</v>
      </c>
      <c r="N10" s="136" t="str">
        <f t="shared" si="1"/>
        <v/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31">
        <v>9</v>
      </c>
      <c r="D11" s="230">
        <v>0</v>
      </c>
      <c r="E11" s="230">
        <v>0</v>
      </c>
      <c r="F11" s="230">
        <v>0</v>
      </c>
      <c r="G11" s="230">
        <v>0</v>
      </c>
      <c r="H11" s="231">
        <v>18</v>
      </c>
      <c r="I11" s="230">
        <v>0</v>
      </c>
      <c r="J11" s="230">
        <v>0</v>
      </c>
      <c r="K11" s="230">
        <v>0</v>
      </c>
      <c r="L11" s="230">
        <v>0</v>
      </c>
      <c r="M11" s="135">
        <f t="shared" si="0"/>
        <v>27</v>
      </c>
      <c r="N11" s="230">
        <f t="shared" si="1"/>
        <v>0</v>
      </c>
      <c r="O11" s="230">
        <f t="shared" si="2"/>
        <v>0</v>
      </c>
      <c r="P11" s="285">
        <f t="shared" ref="P11:P14" si="5">IFERROR(IF(MAXA(F11,K11)&gt;1,1,MAXA(F11,K11)),"")</f>
        <v>0</v>
      </c>
      <c r="Q11" s="230">
        <f t="shared" si="4"/>
        <v>0</v>
      </c>
    </row>
    <row r="12" spans="1:17">
      <c r="A12" s="351"/>
      <c r="B12" s="118" t="s">
        <v>355</v>
      </c>
      <c r="C12" s="231">
        <v>8</v>
      </c>
      <c r="D12" s="230">
        <v>-4.5045045045045045E-3</v>
      </c>
      <c r="E12" s="230">
        <v>7.9856329768280918E-3</v>
      </c>
      <c r="F12" s="230">
        <v>3.4811284723235874E-3</v>
      </c>
      <c r="G12" s="230">
        <v>-1.2490137481332597E-2</v>
      </c>
      <c r="H12" s="231">
        <v>18</v>
      </c>
      <c r="I12" s="230">
        <v>-1.5262515262515265E-3</v>
      </c>
      <c r="J12" s="230">
        <v>2.5323549393542685E-3</v>
      </c>
      <c r="K12" s="230">
        <v>1.0061034131027421E-3</v>
      </c>
      <c r="L12" s="230">
        <v>-4.0586064656057946E-3</v>
      </c>
      <c r="M12" s="135">
        <f t="shared" si="0"/>
        <v>26</v>
      </c>
      <c r="N12" s="230">
        <f t="shared" si="1"/>
        <v>-2.4426370580216735E-3</v>
      </c>
      <c r="O12" s="230">
        <f t="shared" si="2"/>
        <v>5.2589939580911802E-3</v>
      </c>
      <c r="P12" s="285">
        <f t="shared" si="5"/>
        <v>3.4811284723235874E-3</v>
      </c>
      <c r="Q12" s="230">
        <f t="shared" si="4"/>
        <v>-1.2490137481332597E-2</v>
      </c>
    </row>
    <row r="13" spans="1:17">
      <c r="A13" s="351"/>
      <c r="B13" s="118" t="s">
        <v>268</v>
      </c>
      <c r="C13" s="231">
        <v>9</v>
      </c>
      <c r="D13" s="230">
        <v>5.3703703703703708E-3</v>
      </c>
      <c r="E13" s="230">
        <v>1.6111111111111114E-2</v>
      </c>
      <c r="F13" s="230">
        <v>2.1481481481481483E-2</v>
      </c>
      <c r="G13" s="230">
        <v>-1.0740740740740743E-2</v>
      </c>
      <c r="H13" s="231">
        <v>18</v>
      </c>
      <c r="I13" s="230">
        <v>-3.2812316284538466E-3</v>
      </c>
      <c r="J13" s="230">
        <v>1.5368577427771446E-2</v>
      </c>
      <c r="K13" s="230">
        <v>1.2087345799317599E-2</v>
      </c>
      <c r="L13" s="230">
        <v>-1.8649809056225292E-2</v>
      </c>
      <c r="M13" s="135">
        <f t="shared" si="0"/>
        <v>27</v>
      </c>
      <c r="N13" s="230">
        <f t="shared" si="1"/>
        <v>-3.9736429551244073E-4</v>
      </c>
      <c r="O13" s="230">
        <f t="shared" si="2"/>
        <v>1.5739844269441281E-2</v>
      </c>
      <c r="P13" s="285">
        <f t="shared" si="5"/>
        <v>2.1481481481481483E-2</v>
      </c>
      <c r="Q13" s="230">
        <f t="shared" si="4"/>
        <v>-1.8649809056225292E-2</v>
      </c>
    </row>
    <row r="14" spans="1:17">
      <c r="A14" s="382" t="s">
        <v>269</v>
      </c>
      <c r="B14" s="118" t="s">
        <v>270</v>
      </c>
      <c r="C14" s="231">
        <v>8</v>
      </c>
      <c r="D14" s="230">
        <v>0.9916666666666667</v>
      </c>
      <c r="E14" s="230">
        <v>2.357022603955158E-2</v>
      </c>
      <c r="F14" s="230">
        <v>1</v>
      </c>
      <c r="G14" s="230">
        <v>0.92095598854801197</v>
      </c>
      <c r="H14" s="231">
        <v>9</v>
      </c>
      <c r="I14" s="230">
        <v>0.76481229780489401</v>
      </c>
      <c r="J14" s="230">
        <v>0.26998393967899781</v>
      </c>
      <c r="K14" s="230">
        <v>1</v>
      </c>
      <c r="L14" s="230">
        <v>0.49482835812589621</v>
      </c>
      <c r="M14" s="135">
        <f t="shared" si="0"/>
        <v>17</v>
      </c>
      <c r="N14" s="230">
        <f t="shared" si="1"/>
        <v>0.87156729491631646</v>
      </c>
      <c r="O14" s="230">
        <f t="shared" si="2"/>
        <v>0.14677708285927468</v>
      </c>
      <c r="P14" s="285">
        <f t="shared" si="5"/>
        <v>1</v>
      </c>
      <c r="Q14" s="230">
        <f t="shared" si="4"/>
        <v>0.49482835812589621</v>
      </c>
    </row>
    <row r="15" spans="1:17">
      <c r="A15" s="382"/>
      <c r="B15" s="118" t="s">
        <v>271</v>
      </c>
      <c r="C15" s="231">
        <v>0</v>
      </c>
      <c r="D15" s="229" t="s">
        <v>87</v>
      </c>
      <c r="E15" s="229" t="s">
        <v>87</v>
      </c>
      <c r="F15" s="229" t="s">
        <v>87</v>
      </c>
      <c r="G15" s="229" t="s">
        <v>87</v>
      </c>
      <c r="H15" s="231">
        <v>0</v>
      </c>
      <c r="I15" s="229" t="s">
        <v>87</v>
      </c>
      <c r="J15" s="229" t="s">
        <v>87</v>
      </c>
      <c r="K15" s="229" t="s">
        <v>87</v>
      </c>
      <c r="L15" s="229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82"/>
      <c r="B16" s="118" t="s">
        <v>272</v>
      </c>
      <c r="C16" s="231">
        <v>1</v>
      </c>
      <c r="D16" s="229">
        <v>0.24666666666666667</v>
      </c>
      <c r="E16" s="229" t="s">
        <v>87</v>
      </c>
      <c r="F16" s="229" t="s">
        <v>87</v>
      </c>
      <c r="G16" s="229" t="s">
        <v>87</v>
      </c>
      <c r="H16" s="231">
        <v>0</v>
      </c>
      <c r="I16" s="229" t="s">
        <v>87</v>
      </c>
      <c r="J16" s="229" t="s">
        <v>87</v>
      </c>
      <c r="K16" s="229" t="s">
        <v>87</v>
      </c>
      <c r="L16" s="229" t="s">
        <v>87</v>
      </c>
      <c r="M16" s="135">
        <f t="shared" si="0"/>
        <v>1</v>
      </c>
      <c r="N16" s="136" t="str">
        <f t="shared" si="1"/>
        <v/>
      </c>
      <c r="O16" s="136" t="str">
        <f t="shared" si="2"/>
        <v/>
      </c>
      <c r="P16" s="136">
        <f t="shared" si="3"/>
        <v>0</v>
      </c>
      <c r="Q16" s="136">
        <f t="shared" si="4"/>
        <v>0</v>
      </c>
    </row>
    <row r="17" spans="1:17">
      <c r="A17" s="382" t="s">
        <v>273</v>
      </c>
      <c r="B17" s="118" t="s">
        <v>306</v>
      </c>
      <c r="C17" s="231">
        <v>9</v>
      </c>
      <c r="D17" s="229">
        <v>12.296804218346072</v>
      </c>
      <c r="E17" s="229">
        <v>5.7797348051824367</v>
      </c>
      <c r="F17" s="229">
        <v>18.076539023528507</v>
      </c>
      <c r="G17" s="229">
        <v>6.5170694131636351</v>
      </c>
      <c r="H17" s="231">
        <v>18</v>
      </c>
      <c r="I17" s="229">
        <v>7.2816907108106284</v>
      </c>
      <c r="J17" s="229">
        <v>7.1215632639012112</v>
      </c>
      <c r="K17" s="229">
        <v>14.40325397471184</v>
      </c>
      <c r="L17" s="229">
        <v>0.16012744690941716</v>
      </c>
      <c r="M17" s="135">
        <f t="shared" si="0"/>
        <v>27</v>
      </c>
      <c r="N17" s="136">
        <f t="shared" si="1"/>
        <v>8.9533952133224428</v>
      </c>
      <c r="O17" s="136">
        <f t="shared" si="2"/>
        <v>6.4506490345418239</v>
      </c>
      <c r="P17" s="136">
        <f t="shared" si="3"/>
        <v>18.076539023528507</v>
      </c>
      <c r="Q17" s="136">
        <f t="shared" si="4"/>
        <v>0.16012744690941716</v>
      </c>
    </row>
    <row r="18" spans="1:17">
      <c r="A18" s="382"/>
      <c r="B18" s="118" t="s">
        <v>274</v>
      </c>
      <c r="C18" s="231">
        <v>8</v>
      </c>
      <c r="D18" s="229">
        <v>4.507719508699938</v>
      </c>
      <c r="E18" s="229">
        <v>4.1506965901447863</v>
      </c>
      <c r="F18" s="229">
        <v>8.6584160988447252</v>
      </c>
      <c r="G18" s="229">
        <v>0.35702291855515167</v>
      </c>
      <c r="H18" s="231">
        <v>18</v>
      </c>
      <c r="I18" s="229">
        <v>2.1503677329509139</v>
      </c>
      <c r="J18" s="229">
        <v>2.2064808556478206</v>
      </c>
      <c r="K18" s="229">
        <v>4.3568485885987345</v>
      </c>
      <c r="L18" s="229">
        <v>0</v>
      </c>
      <c r="M18" s="135">
        <f t="shared" si="0"/>
        <v>26</v>
      </c>
      <c r="N18" s="136">
        <f t="shared" si="1"/>
        <v>2.8757067408736905</v>
      </c>
      <c r="O18" s="136">
        <f t="shared" si="2"/>
        <v>3.1785887228963032</v>
      </c>
      <c r="P18" s="136">
        <f t="shared" si="3"/>
        <v>8.6584160988447252</v>
      </c>
      <c r="Q18" s="136">
        <f t="shared" si="4"/>
        <v>0</v>
      </c>
    </row>
    <row r="19" spans="1:17">
      <c r="A19" s="382"/>
      <c r="B19" s="118" t="s">
        <v>275</v>
      </c>
      <c r="C19" s="231">
        <v>9</v>
      </c>
      <c r="D19" s="229">
        <v>0.25</v>
      </c>
      <c r="E19" s="229">
        <v>0.46291004988627571</v>
      </c>
      <c r="F19" s="229">
        <v>0.71291004988627571</v>
      </c>
      <c r="G19" s="229">
        <v>0</v>
      </c>
      <c r="H19" s="231">
        <v>18</v>
      </c>
      <c r="I19" s="229">
        <v>0</v>
      </c>
      <c r="J19" s="229">
        <v>0</v>
      </c>
      <c r="K19" s="229">
        <v>0</v>
      </c>
      <c r="L19" s="229">
        <v>0</v>
      </c>
      <c r="M19" s="135">
        <f t="shared" si="0"/>
        <v>27</v>
      </c>
      <c r="N19" s="136">
        <f t="shared" si="1"/>
        <v>8.3333333333333329E-2</v>
      </c>
      <c r="O19" s="136">
        <f t="shared" si="2"/>
        <v>0.23145502494313785</v>
      </c>
      <c r="P19" s="136">
        <f t="shared" si="3"/>
        <v>0.71291004988627571</v>
      </c>
      <c r="Q19" s="136">
        <f t="shared" si="4"/>
        <v>0</v>
      </c>
    </row>
    <row r="20" spans="1:17">
      <c r="A20" s="382"/>
      <c r="B20" s="118" t="s">
        <v>276</v>
      </c>
      <c r="C20" s="231">
        <v>9</v>
      </c>
      <c r="D20" s="229">
        <v>0</v>
      </c>
      <c r="E20" s="229">
        <v>0</v>
      </c>
      <c r="F20" s="229">
        <v>0</v>
      </c>
      <c r="G20" s="229">
        <v>0</v>
      </c>
      <c r="H20" s="231">
        <v>18</v>
      </c>
      <c r="I20" s="229">
        <v>0</v>
      </c>
      <c r="J20" s="229">
        <v>0</v>
      </c>
      <c r="K20" s="229">
        <v>0</v>
      </c>
      <c r="L20" s="229">
        <v>0</v>
      </c>
      <c r="M20" s="135">
        <f t="shared" si="0"/>
        <v>27</v>
      </c>
      <c r="N20" s="136">
        <f t="shared" si="1"/>
        <v>0</v>
      </c>
      <c r="O20" s="136">
        <f t="shared" si="2"/>
        <v>0</v>
      </c>
      <c r="P20" s="136">
        <f t="shared" si="3"/>
        <v>0</v>
      </c>
      <c r="Q20" s="136">
        <f t="shared" si="4"/>
        <v>0</v>
      </c>
    </row>
    <row r="21" spans="1:17">
      <c r="A21" s="382" t="s">
        <v>277</v>
      </c>
      <c r="B21" s="118" t="s">
        <v>278</v>
      </c>
      <c r="C21" s="231">
        <v>2</v>
      </c>
      <c r="D21" s="229">
        <v>1.75</v>
      </c>
      <c r="E21" s="229">
        <v>2.2391714737574011</v>
      </c>
      <c r="F21" s="229">
        <v>3.9891714737574011</v>
      </c>
      <c r="G21" s="229">
        <v>0</v>
      </c>
      <c r="H21" s="231">
        <v>0</v>
      </c>
      <c r="I21" s="229" t="s">
        <v>87</v>
      </c>
      <c r="J21" s="229" t="s">
        <v>87</v>
      </c>
      <c r="K21" s="229" t="s">
        <v>87</v>
      </c>
      <c r="L21" s="229" t="s">
        <v>87</v>
      </c>
      <c r="M21" s="135">
        <f t="shared" si="0"/>
        <v>2</v>
      </c>
      <c r="N21" s="136" t="str">
        <f t="shared" si="1"/>
        <v/>
      </c>
      <c r="O21" s="136" t="str">
        <f t="shared" si="2"/>
        <v/>
      </c>
      <c r="P21" s="136">
        <f t="shared" si="3"/>
        <v>3.9891714737574011</v>
      </c>
      <c r="Q21" s="136">
        <f t="shared" si="4"/>
        <v>0</v>
      </c>
    </row>
    <row r="22" spans="1:17">
      <c r="A22" s="382"/>
      <c r="B22" s="118" t="s">
        <v>279</v>
      </c>
      <c r="C22" s="231">
        <v>2</v>
      </c>
      <c r="D22" s="229">
        <v>0</v>
      </c>
      <c r="E22" s="229">
        <v>0</v>
      </c>
      <c r="F22" s="229">
        <v>0</v>
      </c>
      <c r="G22" s="229">
        <v>0</v>
      </c>
      <c r="H22" s="231">
        <v>1</v>
      </c>
      <c r="I22" s="229">
        <v>0</v>
      </c>
      <c r="J22" s="229" t="s">
        <v>87</v>
      </c>
      <c r="K22" s="229" t="s">
        <v>87</v>
      </c>
      <c r="L22" s="229" t="s">
        <v>87</v>
      </c>
      <c r="M22" s="135">
        <f t="shared" si="0"/>
        <v>3</v>
      </c>
      <c r="N22" s="136">
        <f t="shared" si="1"/>
        <v>0</v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82"/>
      <c r="B23" s="118" t="s">
        <v>280</v>
      </c>
      <c r="C23" s="231">
        <v>4</v>
      </c>
      <c r="D23" s="229">
        <v>233.43629787942106</v>
      </c>
      <c r="E23" s="229">
        <v>428.22634627375407</v>
      </c>
      <c r="F23" s="229">
        <v>661.66264415317517</v>
      </c>
      <c r="G23" s="229">
        <v>0</v>
      </c>
      <c r="H23" s="231">
        <v>1</v>
      </c>
      <c r="I23" s="229">
        <v>51.080745341614907</v>
      </c>
      <c r="J23" s="229" t="s">
        <v>87</v>
      </c>
      <c r="K23" s="229" t="s">
        <v>87</v>
      </c>
      <c r="L23" s="229" t="s">
        <v>87</v>
      </c>
      <c r="M23" s="135">
        <f t="shared" si="0"/>
        <v>5</v>
      </c>
      <c r="N23" s="136">
        <f t="shared" si="1"/>
        <v>196.96518737185983</v>
      </c>
      <c r="O23" s="136" t="str">
        <f t="shared" si="2"/>
        <v/>
      </c>
      <c r="P23" s="136">
        <f t="shared" si="3"/>
        <v>661.66264415317517</v>
      </c>
      <c r="Q23" s="136">
        <f t="shared" si="4"/>
        <v>0</v>
      </c>
    </row>
    <row r="24" spans="1:17">
      <c r="A24" s="382"/>
      <c r="B24" s="118" t="s">
        <v>281</v>
      </c>
      <c r="C24" s="231">
        <v>3</v>
      </c>
      <c r="D24" s="230">
        <v>0.7513597513597513</v>
      </c>
      <c r="E24" s="230">
        <v>0.28792675660235456</v>
      </c>
      <c r="F24" s="230">
        <v>1</v>
      </c>
      <c r="G24" s="230">
        <v>0.46343299475739674</v>
      </c>
      <c r="H24" s="231">
        <v>1</v>
      </c>
      <c r="I24" s="230">
        <v>0.80009727626459148</v>
      </c>
      <c r="J24" s="230" t="s">
        <v>87</v>
      </c>
      <c r="K24" s="230" t="s">
        <v>87</v>
      </c>
      <c r="L24" s="230" t="s">
        <v>87</v>
      </c>
      <c r="M24" s="135">
        <f t="shared" si="0"/>
        <v>4</v>
      </c>
      <c r="N24" s="230">
        <f t="shared" si="1"/>
        <v>0.76354413258596132</v>
      </c>
      <c r="O24" s="230" t="str">
        <f t="shared" si="2"/>
        <v/>
      </c>
      <c r="P24" s="285">
        <f t="shared" ref="P24" si="6">IFERROR(IF(MAXA(F24,K24)&gt;1,1,MAXA(F24,K24)),"")</f>
        <v>1</v>
      </c>
      <c r="Q24" s="230">
        <f t="shared" si="4"/>
        <v>0</v>
      </c>
    </row>
    <row r="25" spans="1:17">
      <c r="A25" s="382"/>
      <c r="B25" s="118" t="s">
        <v>282</v>
      </c>
      <c r="C25" s="231">
        <v>7</v>
      </c>
      <c r="D25" s="229">
        <v>3.8402985031030279</v>
      </c>
      <c r="E25" s="229">
        <v>6.1641004509121204</v>
      </c>
      <c r="F25" s="229">
        <v>10.004398954015148</v>
      </c>
      <c r="G25" s="229">
        <v>0</v>
      </c>
      <c r="H25" s="231">
        <v>9</v>
      </c>
      <c r="I25" s="229">
        <v>0.53393730937079775</v>
      </c>
      <c r="J25" s="229">
        <v>1.1118684902112657</v>
      </c>
      <c r="K25" s="229">
        <v>1.6458057995820634</v>
      </c>
      <c r="L25" s="229">
        <v>0</v>
      </c>
      <c r="M25" s="135">
        <f t="shared" si="0"/>
        <v>16</v>
      </c>
      <c r="N25" s="136">
        <f t="shared" si="1"/>
        <v>1.9804703316286485</v>
      </c>
      <c r="O25" s="136">
        <f t="shared" si="2"/>
        <v>3.6379844705616931</v>
      </c>
      <c r="P25" s="136">
        <f t="shared" si="3"/>
        <v>10.004398954015148</v>
      </c>
      <c r="Q25" s="136">
        <f t="shared" si="4"/>
        <v>0</v>
      </c>
    </row>
    <row r="26" spans="1:17">
      <c r="A26" s="215" t="s">
        <v>283</v>
      </c>
      <c r="B26" s="118" t="s">
        <v>284</v>
      </c>
      <c r="C26" s="231">
        <v>0</v>
      </c>
      <c r="D26" s="229" t="s">
        <v>87</v>
      </c>
      <c r="E26" s="229" t="s">
        <v>87</v>
      </c>
      <c r="F26" s="229" t="s">
        <v>87</v>
      </c>
      <c r="G26" s="229" t="s">
        <v>87</v>
      </c>
      <c r="H26" s="231">
        <v>0</v>
      </c>
      <c r="I26" s="229" t="s">
        <v>87</v>
      </c>
      <c r="J26" s="229" t="s">
        <v>87</v>
      </c>
      <c r="K26" s="229" t="s">
        <v>87</v>
      </c>
      <c r="L26" s="229" t="s">
        <v>87</v>
      </c>
      <c r="M26" s="135">
        <f t="shared" si="0"/>
        <v>0</v>
      </c>
      <c r="N26" s="136" t="str">
        <f t="shared" si="1"/>
        <v/>
      </c>
      <c r="O26" s="136" t="str">
        <f t="shared" si="2"/>
        <v/>
      </c>
      <c r="P26" s="136">
        <f t="shared" si="3"/>
        <v>0</v>
      </c>
      <c r="Q26" s="136">
        <f t="shared" si="4"/>
        <v>0</v>
      </c>
    </row>
    <row r="27" spans="1:17">
      <c r="A27" s="382" t="s">
        <v>285</v>
      </c>
      <c r="B27" s="118" t="s">
        <v>286</v>
      </c>
      <c r="C27" s="231">
        <v>6</v>
      </c>
      <c r="D27" s="229">
        <v>0</v>
      </c>
      <c r="E27" s="229">
        <v>0</v>
      </c>
      <c r="F27" s="229">
        <v>0</v>
      </c>
      <c r="G27" s="229">
        <v>0</v>
      </c>
      <c r="H27" s="231">
        <v>10</v>
      </c>
      <c r="I27" s="229">
        <v>0.05</v>
      </c>
      <c r="J27" s="229">
        <v>0.15811388300841897</v>
      </c>
      <c r="K27" s="229">
        <v>0.20811388300841899</v>
      </c>
      <c r="L27" s="229">
        <v>0</v>
      </c>
      <c r="M27" s="135">
        <f t="shared" si="0"/>
        <v>16</v>
      </c>
      <c r="N27" s="136">
        <f t="shared" si="1"/>
        <v>3.125E-2</v>
      </c>
      <c r="O27" s="136">
        <f t="shared" si="2"/>
        <v>7.9056941504209485E-2</v>
      </c>
      <c r="P27" s="136">
        <f t="shared" si="3"/>
        <v>0.20811388300841899</v>
      </c>
      <c r="Q27" s="136">
        <f t="shared" si="4"/>
        <v>0</v>
      </c>
    </row>
    <row r="28" spans="1:17">
      <c r="A28" s="382"/>
      <c r="B28" s="118" t="s">
        <v>287</v>
      </c>
      <c r="C28" s="231">
        <v>3</v>
      </c>
      <c r="D28" s="229">
        <v>0.16666666666666666</v>
      </c>
      <c r="E28" s="229">
        <v>0.28867513459481292</v>
      </c>
      <c r="F28" s="229">
        <v>0.45534180126147961</v>
      </c>
      <c r="G28" s="229">
        <v>0</v>
      </c>
      <c r="H28" s="231">
        <v>2</v>
      </c>
      <c r="I28" s="229">
        <v>0.5</v>
      </c>
      <c r="J28" s="229">
        <v>0.70710678118654757</v>
      </c>
      <c r="K28" s="229">
        <v>1.2071067811865475</v>
      </c>
      <c r="L28" s="229">
        <v>0</v>
      </c>
      <c r="M28" s="135">
        <f t="shared" si="0"/>
        <v>5</v>
      </c>
      <c r="N28" s="136">
        <f t="shared" si="1"/>
        <v>0.3</v>
      </c>
      <c r="O28" s="136">
        <f t="shared" si="2"/>
        <v>0.49789095789068027</v>
      </c>
      <c r="P28" s="136">
        <f t="shared" si="3"/>
        <v>1.2071067811865475</v>
      </c>
      <c r="Q28" s="136">
        <f t="shared" si="4"/>
        <v>0</v>
      </c>
    </row>
    <row r="29" spans="1:17">
      <c r="A29" s="382" t="s">
        <v>288</v>
      </c>
      <c r="B29" s="118" t="s">
        <v>289</v>
      </c>
      <c r="C29" s="231">
        <v>9</v>
      </c>
      <c r="D29" s="229">
        <v>0</v>
      </c>
      <c r="E29" s="229">
        <v>0</v>
      </c>
      <c r="F29" s="229">
        <v>0</v>
      </c>
      <c r="G29" s="229">
        <v>0</v>
      </c>
      <c r="H29" s="231">
        <v>18</v>
      </c>
      <c r="I29" s="229">
        <v>0.19999999999999998</v>
      </c>
      <c r="J29" s="229">
        <v>0.82462112512353203</v>
      </c>
      <c r="K29" s="229">
        <v>1.024621125123532</v>
      </c>
      <c r="L29" s="229">
        <v>0</v>
      </c>
      <c r="M29" s="135">
        <f t="shared" si="0"/>
        <v>27</v>
      </c>
      <c r="N29" s="136">
        <f t="shared" si="1"/>
        <v>0.13333333333333333</v>
      </c>
      <c r="O29" s="136">
        <f t="shared" si="2"/>
        <v>0.41231056256176601</v>
      </c>
      <c r="P29" s="136">
        <f t="shared" si="3"/>
        <v>1.024621125123532</v>
      </c>
      <c r="Q29" s="136">
        <f t="shared" si="4"/>
        <v>0</v>
      </c>
    </row>
    <row r="30" spans="1:17">
      <c r="A30" s="382"/>
      <c r="B30" s="118" t="s">
        <v>290</v>
      </c>
      <c r="C30" s="231">
        <v>9</v>
      </c>
      <c r="D30" s="229">
        <v>0</v>
      </c>
      <c r="E30" s="229">
        <v>0</v>
      </c>
      <c r="F30" s="229">
        <v>0</v>
      </c>
      <c r="G30" s="229">
        <v>0</v>
      </c>
      <c r="H30" s="231">
        <v>18</v>
      </c>
      <c r="I30" s="229">
        <v>0</v>
      </c>
      <c r="J30" s="229">
        <v>0</v>
      </c>
      <c r="K30" s="229">
        <v>0</v>
      </c>
      <c r="L30" s="229">
        <v>0</v>
      </c>
      <c r="M30" s="135">
        <f t="shared" si="0"/>
        <v>27</v>
      </c>
      <c r="N30" s="136">
        <f t="shared" si="1"/>
        <v>0</v>
      </c>
      <c r="O30" s="136">
        <f t="shared" si="2"/>
        <v>0</v>
      </c>
      <c r="P30" s="136">
        <f t="shared" si="3"/>
        <v>0</v>
      </c>
      <c r="Q30" s="136">
        <f t="shared" si="4"/>
        <v>0</v>
      </c>
    </row>
    <row r="31" spans="1:17">
      <c r="A31" s="384" t="s">
        <v>291</v>
      </c>
      <c r="B31" s="118" t="s">
        <v>292</v>
      </c>
      <c r="C31" s="231">
        <v>9</v>
      </c>
      <c r="D31" s="230">
        <v>1</v>
      </c>
      <c r="E31" s="230">
        <v>0</v>
      </c>
      <c r="F31" s="230">
        <v>1</v>
      </c>
      <c r="G31" s="230">
        <v>1</v>
      </c>
      <c r="H31" s="231">
        <v>18</v>
      </c>
      <c r="I31" s="230">
        <v>1</v>
      </c>
      <c r="J31" s="230">
        <v>0</v>
      </c>
      <c r="K31" s="230">
        <v>1</v>
      </c>
      <c r="L31" s="230">
        <v>1</v>
      </c>
      <c r="M31" s="135">
        <f t="shared" si="0"/>
        <v>27</v>
      </c>
      <c r="N31" s="230">
        <f t="shared" si="1"/>
        <v>1</v>
      </c>
      <c r="O31" s="230">
        <f t="shared" si="2"/>
        <v>0</v>
      </c>
      <c r="P31" s="285">
        <f t="shared" ref="P31" si="7">IFERROR(IF(MAXA(F31,K31)&gt;1,1,MAXA(F31,K31)),"")</f>
        <v>1</v>
      </c>
      <c r="Q31" s="230">
        <f t="shared" si="4"/>
        <v>1</v>
      </c>
    </row>
    <row r="32" spans="1:17">
      <c r="A32" s="385"/>
      <c r="B32" s="118" t="s">
        <v>293</v>
      </c>
      <c r="C32" s="231">
        <v>9</v>
      </c>
      <c r="D32" s="229">
        <v>17.096</v>
      </c>
      <c r="E32" s="229">
        <v>11.923341813434687</v>
      </c>
      <c r="F32" s="229">
        <v>29.019341813434686</v>
      </c>
      <c r="G32" s="229">
        <v>5.1726581865653127</v>
      </c>
      <c r="H32" s="231">
        <v>18</v>
      </c>
      <c r="I32" s="229">
        <v>27.777777777777779</v>
      </c>
      <c r="J32" s="229">
        <v>21.081851067789195</v>
      </c>
      <c r="K32" s="229">
        <v>48.859628845566974</v>
      </c>
      <c r="L32" s="229">
        <v>6.6959267099885835</v>
      </c>
      <c r="M32" s="135">
        <f t="shared" si="0"/>
        <v>27</v>
      </c>
      <c r="N32" s="136">
        <f t="shared" si="1"/>
        <v>24.217185185185187</v>
      </c>
      <c r="O32" s="136">
        <f t="shared" si="2"/>
        <v>16.502596440611942</v>
      </c>
      <c r="P32" s="136">
        <f t="shared" si="3"/>
        <v>48.859628845566974</v>
      </c>
      <c r="Q32" s="136">
        <f t="shared" si="4"/>
        <v>5.1726581865653127</v>
      </c>
    </row>
    <row r="33" spans="1:17">
      <c r="A33" s="385"/>
      <c r="B33" s="118" t="s">
        <v>294</v>
      </c>
      <c r="C33" s="231">
        <v>9</v>
      </c>
      <c r="D33" s="229">
        <v>25.293333333333333</v>
      </c>
      <c r="E33" s="229">
        <v>8.1521858009575219</v>
      </c>
      <c r="F33" s="229">
        <v>33.445519134290855</v>
      </c>
      <c r="G33" s="229">
        <v>17.141147532375811</v>
      </c>
      <c r="H33" s="231">
        <v>18</v>
      </c>
      <c r="I33" s="229" t="s">
        <v>87</v>
      </c>
      <c r="J33" s="229" t="s">
        <v>87</v>
      </c>
      <c r="K33" s="229" t="s">
        <v>87</v>
      </c>
      <c r="L33" s="229" t="s">
        <v>87</v>
      </c>
      <c r="M33" s="135">
        <f t="shared" si="0"/>
        <v>27</v>
      </c>
      <c r="N33" s="136" t="str">
        <f t="shared" si="1"/>
        <v/>
      </c>
      <c r="O33" s="136" t="str">
        <f t="shared" si="2"/>
        <v/>
      </c>
      <c r="P33" s="136">
        <f t="shared" si="3"/>
        <v>33.445519134290855</v>
      </c>
      <c r="Q33" s="136">
        <f t="shared" si="4"/>
        <v>0</v>
      </c>
    </row>
    <row r="34" spans="1:17">
      <c r="A34" s="385"/>
      <c r="B34" s="118" t="s">
        <v>295</v>
      </c>
      <c r="C34" s="231">
        <v>9</v>
      </c>
      <c r="D34" s="229">
        <v>1.25</v>
      </c>
      <c r="E34" s="229" t="s">
        <v>87</v>
      </c>
      <c r="F34" s="229" t="s">
        <v>87</v>
      </c>
      <c r="G34" s="229" t="s">
        <v>87</v>
      </c>
      <c r="H34" s="231">
        <v>18</v>
      </c>
      <c r="I34" s="229" t="s">
        <v>87</v>
      </c>
      <c r="J34" s="229" t="s">
        <v>87</v>
      </c>
      <c r="K34" s="229" t="s">
        <v>87</v>
      </c>
      <c r="L34" s="229" t="s">
        <v>87</v>
      </c>
      <c r="M34" s="135">
        <f t="shared" si="0"/>
        <v>27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6"/>
      <c r="B35" s="118" t="s">
        <v>296</v>
      </c>
      <c r="C35" s="231">
        <v>9</v>
      </c>
      <c r="D35" s="229">
        <v>1.1399999999999999</v>
      </c>
      <c r="E35" s="229" t="s">
        <v>87</v>
      </c>
      <c r="F35" s="229" t="s">
        <v>87</v>
      </c>
      <c r="G35" s="229" t="s">
        <v>87</v>
      </c>
      <c r="H35" s="231">
        <v>18</v>
      </c>
      <c r="I35" s="229" t="s">
        <v>87</v>
      </c>
      <c r="J35" s="229" t="s">
        <v>87</v>
      </c>
      <c r="K35" s="229" t="s">
        <v>87</v>
      </c>
      <c r="L35" s="229" t="s">
        <v>87</v>
      </c>
      <c r="M35" s="135">
        <f t="shared" si="0"/>
        <v>27</v>
      </c>
      <c r="N35" s="136" t="str">
        <f t="shared" si="1"/>
        <v/>
      </c>
      <c r="O35" s="136" t="str">
        <f t="shared" si="2"/>
        <v/>
      </c>
      <c r="P35" s="136">
        <f t="shared" si="3"/>
        <v>0</v>
      </c>
      <c r="Q35" s="136">
        <f t="shared" si="4"/>
        <v>0</v>
      </c>
    </row>
    <row r="36" spans="1:17">
      <c r="A36" s="386"/>
      <c r="B36" s="118" t="s">
        <v>297</v>
      </c>
      <c r="C36" s="231">
        <v>9</v>
      </c>
      <c r="D36" s="229">
        <v>1</v>
      </c>
      <c r="E36" s="229" t="s">
        <v>87</v>
      </c>
      <c r="F36" s="229" t="s">
        <v>87</v>
      </c>
      <c r="G36" s="229" t="s">
        <v>87</v>
      </c>
      <c r="H36" s="231">
        <v>18</v>
      </c>
      <c r="I36" s="229" t="s">
        <v>87</v>
      </c>
      <c r="J36" s="229" t="s">
        <v>87</v>
      </c>
      <c r="K36" s="229" t="s">
        <v>87</v>
      </c>
      <c r="L36" s="229" t="s">
        <v>87</v>
      </c>
      <c r="M36" s="135">
        <f t="shared" si="0"/>
        <v>27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7"/>
      <c r="B37" s="118" t="s">
        <v>298</v>
      </c>
      <c r="C37" s="231">
        <v>9</v>
      </c>
      <c r="D37" s="229">
        <v>0.66666666666666663</v>
      </c>
      <c r="E37" s="229">
        <v>0.28867513459481292</v>
      </c>
      <c r="F37" s="229">
        <v>0.95534180126147961</v>
      </c>
      <c r="G37" s="229">
        <v>0.37799153207185371</v>
      </c>
      <c r="H37" s="231">
        <v>18</v>
      </c>
      <c r="I37" s="229">
        <v>1.0555555555555556</v>
      </c>
      <c r="J37" s="229">
        <v>0.72648315725677881</v>
      </c>
      <c r="K37" s="229">
        <v>1.7820387128123345</v>
      </c>
      <c r="L37" s="229">
        <v>0.32907239829877677</v>
      </c>
      <c r="M37" s="135">
        <f t="shared" si="0"/>
        <v>27</v>
      </c>
      <c r="N37" s="136">
        <f t="shared" si="1"/>
        <v>0.92592592592592593</v>
      </c>
      <c r="O37" s="136">
        <f t="shared" si="2"/>
        <v>0.50757914592579589</v>
      </c>
      <c r="P37" s="136">
        <f t="shared" si="3"/>
        <v>1.7820387128123345</v>
      </c>
      <c r="Q37" s="136">
        <f t="shared" si="4"/>
        <v>0.32907239829877677</v>
      </c>
    </row>
    <row r="38" spans="1:17">
      <c r="A38" s="363" t="s">
        <v>299</v>
      </c>
      <c r="B38" s="118" t="s">
        <v>300</v>
      </c>
      <c r="C38" s="231">
        <v>9</v>
      </c>
      <c r="D38" s="229">
        <v>0</v>
      </c>
      <c r="E38" s="229">
        <v>0</v>
      </c>
      <c r="F38" s="229">
        <v>0</v>
      </c>
      <c r="G38" s="229">
        <v>0</v>
      </c>
      <c r="H38" s="231">
        <v>18</v>
      </c>
      <c r="I38" s="229">
        <v>0</v>
      </c>
      <c r="J38" s="229">
        <v>0</v>
      </c>
      <c r="K38" s="229">
        <v>0</v>
      </c>
      <c r="L38" s="229">
        <v>0</v>
      </c>
      <c r="M38" s="135">
        <f t="shared" si="0"/>
        <v>27</v>
      </c>
      <c r="N38" s="136">
        <f t="shared" si="1"/>
        <v>0</v>
      </c>
      <c r="O38" s="136">
        <f t="shared" si="2"/>
        <v>0</v>
      </c>
      <c r="P38" s="136">
        <f t="shared" si="3"/>
        <v>0</v>
      </c>
      <c r="Q38" s="136">
        <f t="shared" si="4"/>
        <v>0</v>
      </c>
    </row>
    <row r="39" spans="1:17">
      <c r="A39" s="363"/>
      <c r="B39" s="118" t="s">
        <v>301</v>
      </c>
      <c r="C39" s="231">
        <v>9</v>
      </c>
      <c r="D39" s="229">
        <v>3.8280000000000003</v>
      </c>
      <c r="E39" s="229">
        <v>1.083106642948882</v>
      </c>
      <c r="F39" s="229">
        <v>4.9111066429488819</v>
      </c>
      <c r="G39" s="229">
        <v>2.7448933570511183</v>
      </c>
      <c r="H39" s="231">
        <v>18</v>
      </c>
      <c r="I39" s="229">
        <v>4.4427272727272724</v>
      </c>
      <c r="J39" s="229">
        <v>0.89878908436953031</v>
      </c>
      <c r="K39" s="229">
        <v>5.3415163570968023</v>
      </c>
      <c r="L39" s="229">
        <v>3.5439381883577421</v>
      </c>
      <c r="M39" s="135">
        <f t="shared" si="0"/>
        <v>27</v>
      </c>
      <c r="N39" s="136">
        <f t="shared" si="1"/>
        <v>4.2378181818181817</v>
      </c>
      <c r="O39" s="136">
        <f t="shared" si="2"/>
        <v>0.99094786365920617</v>
      </c>
      <c r="P39" s="136">
        <f t="shared" si="3"/>
        <v>5.3415163570968023</v>
      </c>
      <c r="Q39" s="136">
        <f t="shared" si="4"/>
        <v>2.7448933570511183</v>
      </c>
    </row>
    <row r="40" spans="1:17">
      <c r="A40" s="363"/>
      <c r="B40" s="118" t="s">
        <v>302</v>
      </c>
      <c r="C40" s="231">
        <v>9</v>
      </c>
      <c r="D40" s="230">
        <v>7.4340000000000003E-2</v>
      </c>
      <c r="E40" s="230">
        <v>2.3353971824938004E-2</v>
      </c>
      <c r="F40" s="230">
        <v>9.7693971824938011E-2</v>
      </c>
      <c r="G40" s="230">
        <v>5.0986028175061995E-2</v>
      </c>
      <c r="H40" s="231">
        <v>18</v>
      </c>
      <c r="I40" s="230">
        <v>0.11876363636363635</v>
      </c>
      <c r="J40" s="230">
        <v>6.7796862357004009E-2</v>
      </c>
      <c r="K40" s="230">
        <v>0.18656049872064034</v>
      </c>
      <c r="L40" s="230">
        <v>5.096677400663234E-2</v>
      </c>
      <c r="M40" s="135">
        <f t="shared" si="0"/>
        <v>27</v>
      </c>
      <c r="N40" s="230">
        <f t="shared" si="1"/>
        <v>0.10395575757575758</v>
      </c>
      <c r="O40" s="230">
        <f t="shared" si="2"/>
        <v>4.5575417090971009E-2</v>
      </c>
      <c r="P40" s="285">
        <f t="shared" ref="P40" si="8">IFERROR(IF(MAXA(F40,K40)&gt;1,1,MAXA(F40,K40)),"")</f>
        <v>0.18656049872064034</v>
      </c>
      <c r="Q40" s="230">
        <f t="shared" si="4"/>
        <v>5.096677400663234E-2</v>
      </c>
    </row>
    <row r="41" spans="1:17">
      <c r="A41" s="363"/>
      <c r="B41" s="120" t="s">
        <v>303</v>
      </c>
      <c r="C41" s="231">
        <v>9</v>
      </c>
      <c r="D41" s="229">
        <v>0</v>
      </c>
      <c r="E41" s="229">
        <v>0</v>
      </c>
      <c r="F41" s="229">
        <v>0</v>
      </c>
      <c r="G41" s="229">
        <v>0</v>
      </c>
      <c r="H41" s="231">
        <v>18</v>
      </c>
      <c r="I41" s="229">
        <v>0</v>
      </c>
      <c r="J41" s="229">
        <v>0</v>
      </c>
      <c r="K41" s="229">
        <v>0</v>
      </c>
      <c r="L41" s="229">
        <v>0</v>
      </c>
      <c r="M41" s="135">
        <f t="shared" si="0"/>
        <v>27</v>
      </c>
      <c r="N41" s="136">
        <f t="shared" si="1"/>
        <v>0</v>
      </c>
      <c r="O41" s="136">
        <f t="shared" si="2"/>
        <v>0</v>
      </c>
      <c r="P41" s="136">
        <f t="shared" si="3"/>
        <v>0</v>
      </c>
      <c r="Q41" s="136">
        <f t="shared" si="4"/>
        <v>0</v>
      </c>
    </row>
    <row r="42" spans="1:17">
      <c r="A42" s="363"/>
      <c r="B42" s="120" t="s">
        <v>304</v>
      </c>
      <c r="C42" s="231">
        <v>9</v>
      </c>
      <c r="D42" s="229">
        <v>0</v>
      </c>
      <c r="E42" s="229">
        <v>0</v>
      </c>
      <c r="F42" s="229">
        <v>0</v>
      </c>
      <c r="G42" s="229">
        <v>0</v>
      </c>
      <c r="H42" s="231">
        <v>18</v>
      </c>
      <c r="I42" s="229">
        <v>0</v>
      </c>
      <c r="J42" s="229">
        <v>0</v>
      </c>
      <c r="K42" s="229">
        <v>0</v>
      </c>
      <c r="L42" s="229">
        <v>0</v>
      </c>
      <c r="M42" s="135">
        <f t="shared" si="0"/>
        <v>27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3"/>
      <c r="B43" s="120" t="s">
        <v>305</v>
      </c>
      <c r="C43" s="231">
        <v>9</v>
      </c>
      <c r="D43" s="229">
        <v>0</v>
      </c>
      <c r="E43" s="229">
        <v>0</v>
      </c>
      <c r="F43" s="229">
        <v>0</v>
      </c>
      <c r="G43" s="229">
        <v>0</v>
      </c>
      <c r="H43" s="231">
        <v>18</v>
      </c>
      <c r="I43" s="229">
        <v>0</v>
      </c>
      <c r="J43" s="229">
        <v>0</v>
      </c>
      <c r="K43" s="229">
        <v>0</v>
      </c>
      <c r="L43" s="229">
        <v>0</v>
      </c>
      <c r="M43" s="135">
        <f t="shared" si="0"/>
        <v>27</v>
      </c>
      <c r="N43" s="136">
        <f t="shared" si="1"/>
        <v>0</v>
      </c>
      <c r="O43" s="136">
        <f t="shared" si="2"/>
        <v>0</v>
      </c>
      <c r="P43" s="136">
        <f t="shared" si="3"/>
        <v>0</v>
      </c>
      <c r="Q43" s="136">
        <f t="shared" si="4"/>
        <v>0</v>
      </c>
    </row>
  </sheetData>
  <mergeCells count="12">
    <mergeCell ref="A38:A43"/>
    <mergeCell ref="A1:B2"/>
    <mergeCell ref="C1:G1"/>
    <mergeCell ref="H1:L1"/>
    <mergeCell ref="M1:Q1"/>
    <mergeCell ref="A3:A13"/>
    <mergeCell ref="A14:A16"/>
    <mergeCell ref="A17:A20"/>
    <mergeCell ref="A21:A25"/>
    <mergeCell ref="A27:A28"/>
    <mergeCell ref="A29:A30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topLeftCell="A25" workbookViewId="0">
      <selection activeCell="N43" sqref="N43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51" t="s">
        <v>258</v>
      </c>
      <c r="B3" s="117" t="s">
        <v>259</v>
      </c>
      <c r="C3" s="231">
        <v>7</v>
      </c>
      <c r="D3" s="229">
        <v>35.865325935910803</v>
      </c>
      <c r="E3" s="229">
        <v>2.2103014245253236</v>
      </c>
      <c r="F3" s="229">
        <v>42.496230209486775</v>
      </c>
      <c r="G3" s="229">
        <v>29.234421662334832</v>
      </c>
      <c r="H3" s="231">
        <v>5</v>
      </c>
      <c r="I3" s="229">
        <v>36.531797471962655</v>
      </c>
      <c r="J3" s="229">
        <v>2.8015899493535974</v>
      </c>
      <c r="K3" s="229">
        <v>44.936567320023443</v>
      </c>
      <c r="L3" s="229">
        <v>28.127027623901864</v>
      </c>
      <c r="M3" s="135">
        <f>IFERROR(C3+H3,"")</f>
        <v>12</v>
      </c>
      <c r="N3" s="136">
        <f>IFERROR((C3*D3+H3*I3)/M3,"")</f>
        <v>36.14302240926574</v>
      </c>
      <c r="O3" s="136">
        <f>IFERROR((E3+J3)/2,"")</f>
        <v>2.5059456869394605</v>
      </c>
      <c r="P3" s="136">
        <f>IFERROR(MAXA(F3,K3),"")</f>
        <v>44.936567320023443</v>
      </c>
      <c r="Q3" s="136">
        <f>IFERROR(MINA(G3,L3),"")</f>
        <v>28.127027623901864</v>
      </c>
    </row>
    <row r="4" spans="1:17">
      <c r="A4" s="351"/>
      <c r="B4" s="118" t="s">
        <v>333</v>
      </c>
      <c r="C4" s="231">
        <v>3</v>
      </c>
      <c r="D4" s="229">
        <v>36.3532974674279</v>
      </c>
      <c r="E4" s="229">
        <v>3.0822614506523203</v>
      </c>
      <c r="F4" s="229">
        <v>45.600081819384862</v>
      </c>
      <c r="G4" s="229">
        <v>27.106513115470939</v>
      </c>
      <c r="H4" s="231">
        <v>5</v>
      </c>
      <c r="I4" s="229">
        <v>37.402599015565343</v>
      </c>
      <c r="J4" s="229">
        <v>4.7034513790001213</v>
      </c>
      <c r="K4" s="229">
        <v>42.106050394565465</v>
      </c>
      <c r="L4" s="229">
        <v>32.699147636565222</v>
      </c>
      <c r="M4" s="135">
        <f t="shared" ref="M4:M43" si="0">IFERROR(C4+H4,"")</f>
        <v>8</v>
      </c>
      <c r="N4" s="136">
        <f t="shared" ref="N4:N43" si="1">IFERROR((C4*D4+H4*I4)/M4,"")</f>
        <v>37.009110935013801</v>
      </c>
      <c r="O4" s="136">
        <f t="shared" ref="O4:O43" si="2">IFERROR((E4+J4)/2,"")</f>
        <v>3.8928564148262206</v>
      </c>
      <c r="P4" s="136">
        <f t="shared" ref="P4:P43" si="3">IFERROR(MAXA(F4,K4),"")</f>
        <v>45.600081819384862</v>
      </c>
      <c r="Q4" s="136">
        <f t="shared" ref="Q4:Q43" si="4">IFERROR(MINA(G4,L4),"")</f>
        <v>27.106513115470939</v>
      </c>
    </row>
    <row r="5" spans="1:17">
      <c r="A5" s="351"/>
      <c r="B5" s="118" t="s">
        <v>263</v>
      </c>
      <c r="C5" s="231">
        <v>5</v>
      </c>
      <c r="D5" s="229">
        <v>1.6788250049183553</v>
      </c>
      <c r="E5" s="229">
        <v>0.83912310846338878</v>
      </c>
      <c r="F5" s="229">
        <v>2.5179481133817441</v>
      </c>
      <c r="G5" s="229">
        <v>0.83970189645496651</v>
      </c>
      <c r="H5" s="231">
        <v>4</v>
      </c>
      <c r="I5" s="229">
        <v>0.72931372549019602</v>
      </c>
      <c r="J5" s="229">
        <v>0.2634410059248487</v>
      </c>
      <c r="K5" s="229">
        <v>0.99275473141504467</v>
      </c>
      <c r="L5" s="229">
        <v>0.46587271956534732</v>
      </c>
      <c r="M5" s="135">
        <f t="shared" si="0"/>
        <v>9</v>
      </c>
      <c r="N5" s="136">
        <f t="shared" si="1"/>
        <v>1.2568199918391736</v>
      </c>
      <c r="O5" s="136">
        <f t="shared" si="2"/>
        <v>0.55128205719411871</v>
      </c>
      <c r="P5" s="136">
        <f t="shared" si="3"/>
        <v>2.5179481133817441</v>
      </c>
      <c r="Q5" s="136">
        <f t="shared" si="4"/>
        <v>0.46587271956534732</v>
      </c>
    </row>
    <row r="6" spans="1:17">
      <c r="A6" s="351"/>
      <c r="B6" s="118" t="s">
        <v>257</v>
      </c>
      <c r="C6" s="231">
        <v>3</v>
      </c>
      <c r="D6" s="229">
        <v>8.4130251793295266E-2</v>
      </c>
      <c r="E6" s="229">
        <v>5.1632223810210341E-2</v>
      </c>
      <c r="F6" s="229">
        <v>0.1357624756035056</v>
      </c>
      <c r="G6" s="229">
        <v>3.2498027983084925E-2</v>
      </c>
      <c r="H6" s="231">
        <v>4</v>
      </c>
      <c r="I6" s="229">
        <v>3.315062388591801E-2</v>
      </c>
      <c r="J6" s="229">
        <v>1.1974591178402182E-2</v>
      </c>
      <c r="K6" s="229">
        <v>4.5125215064320191E-2</v>
      </c>
      <c r="L6" s="229">
        <v>2.1176032707515828E-2</v>
      </c>
      <c r="M6" s="135">
        <f t="shared" si="0"/>
        <v>7</v>
      </c>
      <c r="N6" s="136">
        <f t="shared" si="1"/>
        <v>5.4999035846222552E-2</v>
      </c>
      <c r="O6" s="136">
        <f t="shared" si="2"/>
        <v>3.1803407494306261E-2</v>
      </c>
      <c r="P6" s="136">
        <f t="shared" si="3"/>
        <v>0.1357624756035056</v>
      </c>
      <c r="Q6" s="136">
        <f t="shared" si="4"/>
        <v>2.1176032707515828E-2</v>
      </c>
    </row>
    <row r="7" spans="1:17">
      <c r="A7" s="351"/>
      <c r="B7" s="118" t="s">
        <v>329</v>
      </c>
      <c r="C7" s="231">
        <v>0</v>
      </c>
      <c r="D7" s="229" t="s">
        <v>87</v>
      </c>
      <c r="E7" s="229" t="s">
        <v>87</v>
      </c>
      <c r="F7" s="229" t="s">
        <v>87</v>
      </c>
      <c r="G7" s="229" t="s">
        <v>87</v>
      </c>
      <c r="H7" s="231">
        <v>0</v>
      </c>
      <c r="I7" s="229" t="s">
        <v>87</v>
      </c>
      <c r="J7" s="229" t="s">
        <v>87</v>
      </c>
      <c r="K7" s="229" t="s">
        <v>87</v>
      </c>
      <c r="L7" s="229" t="s">
        <v>87</v>
      </c>
      <c r="M7" s="135">
        <f t="shared" si="0"/>
        <v>0</v>
      </c>
      <c r="N7" s="136" t="str">
        <f t="shared" si="1"/>
        <v/>
      </c>
      <c r="O7" s="136" t="str">
        <f t="shared" si="2"/>
        <v/>
      </c>
      <c r="P7" s="136">
        <f t="shared" si="3"/>
        <v>0</v>
      </c>
      <c r="Q7" s="136">
        <f t="shared" si="4"/>
        <v>0</v>
      </c>
    </row>
    <row r="8" spans="1:17">
      <c r="A8" s="351"/>
      <c r="B8" s="118" t="s">
        <v>264</v>
      </c>
      <c r="C8" s="231">
        <v>0</v>
      </c>
      <c r="D8" s="229" t="s">
        <v>87</v>
      </c>
      <c r="E8" s="229" t="s">
        <v>87</v>
      </c>
      <c r="F8" s="229" t="s">
        <v>87</v>
      </c>
      <c r="G8" s="229" t="s">
        <v>87</v>
      </c>
      <c r="H8" s="231">
        <v>0</v>
      </c>
      <c r="I8" s="229" t="s">
        <v>87</v>
      </c>
      <c r="J8" s="229" t="s">
        <v>87</v>
      </c>
      <c r="K8" s="229" t="s">
        <v>87</v>
      </c>
      <c r="L8" s="229" t="s">
        <v>87</v>
      </c>
      <c r="M8" s="135">
        <f t="shared" si="0"/>
        <v>0</v>
      </c>
      <c r="N8" s="136" t="str">
        <f t="shared" si="1"/>
        <v/>
      </c>
      <c r="O8" s="136" t="str">
        <f t="shared" si="2"/>
        <v/>
      </c>
      <c r="P8" s="136">
        <f t="shared" si="3"/>
        <v>0</v>
      </c>
      <c r="Q8" s="136">
        <f t="shared" si="4"/>
        <v>0</v>
      </c>
    </row>
    <row r="9" spans="1:17">
      <c r="A9" s="351"/>
      <c r="B9" s="118" t="s">
        <v>265</v>
      </c>
      <c r="C9" s="231">
        <v>0</v>
      </c>
      <c r="D9" s="229" t="s">
        <v>87</v>
      </c>
      <c r="E9" s="229" t="s">
        <v>87</v>
      </c>
      <c r="F9" s="229" t="s">
        <v>87</v>
      </c>
      <c r="G9" s="229" t="s">
        <v>87</v>
      </c>
      <c r="H9" s="231">
        <v>0</v>
      </c>
      <c r="I9" s="229" t="s">
        <v>87</v>
      </c>
      <c r="J9" s="229" t="s">
        <v>87</v>
      </c>
      <c r="K9" s="229" t="s">
        <v>87</v>
      </c>
      <c r="L9" s="229" t="s">
        <v>87</v>
      </c>
      <c r="M9" s="135">
        <f t="shared" si="0"/>
        <v>0</v>
      </c>
      <c r="N9" s="136" t="str">
        <f t="shared" si="1"/>
        <v/>
      </c>
      <c r="O9" s="136" t="str">
        <f t="shared" si="2"/>
        <v/>
      </c>
      <c r="P9" s="136">
        <f t="shared" si="3"/>
        <v>0</v>
      </c>
      <c r="Q9" s="136">
        <f t="shared" si="4"/>
        <v>0</v>
      </c>
    </row>
    <row r="10" spans="1:17">
      <c r="A10" s="351"/>
      <c r="B10" s="118" t="s">
        <v>266</v>
      </c>
      <c r="C10" s="231">
        <v>0</v>
      </c>
      <c r="D10" s="229" t="s">
        <v>87</v>
      </c>
      <c r="E10" s="229" t="s">
        <v>87</v>
      </c>
      <c r="F10" s="229" t="s">
        <v>87</v>
      </c>
      <c r="G10" s="229" t="s">
        <v>87</v>
      </c>
      <c r="H10" s="231">
        <v>0</v>
      </c>
      <c r="I10" s="229" t="s">
        <v>87</v>
      </c>
      <c r="J10" s="229" t="s">
        <v>87</v>
      </c>
      <c r="K10" s="229" t="s">
        <v>87</v>
      </c>
      <c r="L10" s="229" t="s">
        <v>87</v>
      </c>
      <c r="M10" s="135">
        <f t="shared" si="0"/>
        <v>0</v>
      </c>
      <c r="N10" s="136" t="str">
        <f t="shared" si="1"/>
        <v/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31">
        <v>7</v>
      </c>
      <c r="D11" s="230">
        <v>0</v>
      </c>
      <c r="E11" s="230">
        <v>0</v>
      </c>
      <c r="F11" s="230">
        <v>0</v>
      </c>
      <c r="G11" s="230">
        <v>0</v>
      </c>
      <c r="H11" s="231">
        <v>5</v>
      </c>
      <c r="I11" s="230">
        <v>0</v>
      </c>
      <c r="J11" s="230">
        <v>0</v>
      </c>
      <c r="K11" s="230">
        <v>0</v>
      </c>
      <c r="L11" s="230">
        <v>0</v>
      </c>
      <c r="M11" s="135">
        <f t="shared" si="0"/>
        <v>12</v>
      </c>
      <c r="N11" s="230">
        <f t="shared" si="1"/>
        <v>0</v>
      </c>
      <c r="O11" s="230">
        <f t="shared" si="2"/>
        <v>0</v>
      </c>
      <c r="P11" s="285">
        <f t="shared" ref="P11:P14" si="5">IFERROR(IF(MAXA(F11,K11)&gt;1,1,MAXA(F11,K11)),"")</f>
        <v>0</v>
      </c>
      <c r="Q11" s="230">
        <f t="shared" si="4"/>
        <v>0</v>
      </c>
    </row>
    <row r="12" spans="1:17">
      <c r="A12" s="351"/>
      <c r="B12" s="118" t="s">
        <v>355</v>
      </c>
      <c r="C12" s="231">
        <v>7</v>
      </c>
      <c r="D12" s="230">
        <v>-1.3138024765931742E-3</v>
      </c>
      <c r="E12" s="230">
        <v>2.2439523798366522E-3</v>
      </c>
      <c r="F12" s="230">
        <v>9.3014990324347797E-4</v>
      </c>
      <c r="G12" s="230">
        <v>-3.5577548564298261E-3</v>
      </c>
      <c r="H12" s="231">
        <v>5</v>
      </c>
      <c r="I12" s="230">
        <v>-1.0989010989010989E-3</v>
      </c>
      <c r="J12" s="230">
        <v>2.4572175576920768E-3</v>
      </c>
      <c r="K12" s="230">
        <v>1.3583164587909779E-3</v>
      </c>
      <c r="L12" s="230">
        <v>-3.5561186565931757E-3</v>
      </c>
      <c r="M12" s="135">
        <f t="shared" si="0"/>
        <v>12</v>
      </c>
      <c r="N12" s="230">
        <f t="shared" si="1"/>
        <v>-1.2242602358881428E-3</v>
      </c>
      <c r="O12" s="230">
        <f t="shared" si="2"/>
        <v>2.3505849687643645E-3</v>
      </c>
      <c r="P12" s="285">
        <f t="shared" si="5"/>
        <v>1.3583164587909779E-3</v>
      </c>
      <c r="Q12" s="230">
        <f t="shared" si="4"/>
        <v>-3.5577548564298261E-3</v>
      </c>
    </row>
    <row r="13" spans="1:17">
      <c r="A13" s="351"/>
      <c r="B13" s="118" t="s">
        <v>268</v>
      </c>
      <c r="C13" s="231">
        <v>7</v>
      </c>
      <c r="D13" s="230">
        <v>0</v>
      </c>
      <c r="E13" s="230">
        <v>0</v>
      </c>
      <c r="F13" s="230">
        <v>0</v>
      </c>
      <c r="G13" s="230">
        <v>0</v>
      </c>
      <c r="H13" s="231">
        <v>5</v>
      </c>
      <c r="I13" s="230">
        <v>0</v>
      </c>
      <c r="J13" s="230">
        <v>0</v>
      </c>
      <c r="K13" s="230">
        <v>0</v>
      </c>
      <c r="L13" s="230">
        <v>0</v>
      </c>
      <c r="M13" s="135">
        <f t="shared" si="0"/>
        <v>12</v>
      </c>
      <c r="N13" s="230">
        <f t="shared" si="1"/>
        <v>0</v>
      </c>
      <c r="O13" s="230">
        <f t="shared" si="2"/>
        <v>0</v>
      </c>
      <c r="P13" s="285">
        <f t="shared" si="5"/>
        <v>0</v>
      </c>
      <c r="Q13" s="230">
        <f t="shared" si="4"/>
        <v>0</v>
      </c>
    </row>
    <row r="14" spans="1:17">
      <c r="A14" s="382" t="s">
        <v>269</v>
      </c>
      <c r="B14" s="118" t="s">
        <v>270</v>
      </c>
      <c r="C14" s="231">
        <v>7</v>
      </c>
      <c r="D14" s="230">
        <v>0.94954050106729582</v>
      </c>
      <c r="E14" s="230">
        <v>3.6791533476469629E-2</v>
      </c>
      <c r="F14" s="230">
        <v>1</v>
      </c>
      <c r="G14" s="230">
        <v>0.83916590063788687</v>
      </c>
      <c r="H14" s="231">
        <v>4</v>
      </c>
      <c r="I14" s="230">
        <v>0.95138888888888884</v>
      </c>
      <c r="J14" s="230">
        <v>3.6111111111111122E-2</v>
      </c>
      <c r="K14" s="230">
        <v>1</v>
      </c>
      <c r="L14" s="230">
        <v>0.84305555555555545</v>
      </c>
      <c r="M14" s="135">
        <f t="shared" si="0"/>
        <v>11</v>
      </c>
      <c r="N14" s="230">
        <f t="shared" si="1"/>
        <v>0.95021264209332967</v>
      </c>
      <c r="O14" s="230">
        <f t="shared" si="2"/>
        <v>3.6451322293790375E-2</v>
      </c>
      <c r="P14" s="285">
        <f t="shared" si="5"/>
        <v>1</v>
      </c>
      <c r="Q14" s="230">
        <f t="shared" si="4"/>
        <v>0.83916590063788687</v>
      </c>
    </row>
    <row r="15" spans="1:17">
      <c r="A15" s="382"/>
      <c r="B15" s="118" t="s">
        <v>271</v>
      </c>
      <c r="C15" s="231">
        <v>0</v>
      </c>
      <c r="D15" s="229" t="s">
        <v>87</v>
      </c>
      <c r="E15" s="229" t="s">
        <v>87</v>
      </c>
      <c r="F15" s="229" t="s">
        <v>87</v>
      </c>
      <c r="G15" s="229" t="s">
        <v>87</v>
      </c>
      <c r="H15" s="231">
        <v>0</v>
      </c>
      <c r="I15" s="229" t="s">
        <v>87</v>
      </c>
      <c r="J15" s="229" t="s">
        <v>87</v>
      </c>
      <c r="K15" s="229" t="s">
        <v>87</v>
      </c>
      <c r="L15" s="229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82"/>
      <c r="B16" s="118" t="s">
        <v>272</v>
      </c>
      <c r="C16" s="231">
        <v>2</v>
      </c>
      <c r="D16" s="229">
        <v>0.31656504065040653</v>
      </c>
      <c r="E16" s="229">
        <v>3.5211618168842308E-2</v>
      </c>
      <c r="F16" s="229">
        <v>0.35177665881924886</v>
      </c>
      <c r="G16" s="229">
        <v>0.2813534224815642</v>
      </c>
      <c r="H16" s="231">
        <v>0</v>
      </c>
      <c r="I16" s="229" t="s">
        <v>87</v>
      </c>
      <c r="J16" s="229" t="s">
        <v>87</v>
      </c>
      <c r="K16" s="229" t="s">
        <v>87</v>
      </c>
      <c r="L16" s="229" t="s">
        <v>87</v>
      </c>
      <c r="M16" s="135">
        <f t="shared" si="0"/>
        <v>2</v>
      </c>
      <c r="N16" s="136" t="str">
        <f t="shared" si="1"/>
        <v/>
      </c>
      <c r="O16" s="136" t="str">
        <f t="shared" si="2"/>
        <v/>
      </c>
      <c r="P16" s="136">
        <f t="shared" si="3"/>
        <v>0.35177665881924886</v>
      </c>
      <c r="Q16" s="136">
        <f t="shared" si="4"/>
        <v>0</v>
      </c>
    </row>
    <row r="17" spans="1:17">
      <c r="A17" s="382" t="s">
        <v>273</v>
      </c>
      <c r="B17" s="118" t="s">
        <v>306</v>
      </c>
      <c r="C17" s="231">
        <v>7</v>
      </c>
      <c r="D17" s="229">
        <v>9.6788220215283491</v>
      </c>
      <c r="E17" s="229">
        <v>3.5564724191835504</v>
      </c>
      <c r="F17" s="229">
        <v>13.2352944407119</v>
      </c>
      <c r="G17" s="229">
        <v>6.1223496023447987</v>
      </c>
      <c r="H17" s="231">
        <v>5</v>
      </c>
      <c r="I17" s="229">
        <v>11.046910526772542</v>
      </c>
      <c r="J17" s="229">
        <v>4.6635957627522844</v>
      </c>
      <c r="K17" s="229">
        <v>15.710506289524826</v>
      </c>
      <c r="L17" s="229">
        <v>6.3833147640202581</v>
      </c>
      <c r="M17" s="135">
        <f t="shared" si="0"/>
        <v>12</v>
      </c>
      <c r="N17" s="136">
        <f t="shared" si="1"/>
        <v>10.248858898713429</v>
      </c>
      <c r="O17" s="136">
        <f t="shared" si="2"/>
        <v>4.1100340909679174</v>
      </c>
      <c r="P17" s="136">
        <f t="shared" si="3"/>
        <v>15.710506289524826</v>
      </c>
      <c r="Q17" s="136">
        <f t="shared" si="4"/>
        <v>6.1223496023447987</v>
      </c>
    </row>
    <row r="18" spans="1:17">
      <c r="A18" s="382"/>
      <c r="B18" s="118" t="s">
        <v>274</v>
      </c>
      <c r="C18" s="231">
        <v>3</v>
      </c>
      <c r="D18" s="229">
        <v>3.8665080120577504</v>
      </c>
      <c r="E18" s="229">
        <v>4.1624051278881415</v>
      </c>
      <c r="F18" s="229">
        <v>8.0289131399458924</v>
      </c>
      <c r="G18" s="229">
        <v>0</v>
      </c>
      <c r="H18" s="231">
        <v>5</v>
      </c>
      <c r="I18" s="229">
        <v>4.0431598941598939</v>
      </c>
      <c r="J18" s="229">
        <v>1.423410975379001</v>
      </c>
      <c r="K18" s="229">
        <v>5.466570869538895</v>
      </c>
      <c r="L18" s="229">
        <v>2.6197489187808927</v>
      </c>
      <c r="M18" s="135">
        <f t="shared" si="0"/>
        <v>8</v>
      </c>
      <c r="N18" s="136">
        <f t="shared" si="1"/>
        <v>3.9769154383715897</v>
      </c>
      <c r="O18" s="136">
        <f t="shared" si="2"/>
        <v>2.7929080516335714</v>
      </c>
      <c r="P18" s="136">
        <f t="shared" si="3"/>
        <v>8.0289131399458924</v>
      </c>
      <c r="Q18" s="136">
        <f t="shared" si="4"/>
        <v>0</v>
      </c>
    </row>
    <row r="19" spans="1:17">
      <c r="A19" s="382"/>
      <c r="B19" s="118" t="s">
        <v>275</v>
      </c>
      <c r="C19" s="231">
        <v>7</v>
      </c>
      <c r="D19" s="229">
        <v>0.75</v>
      </c>
      <c r="E19" s="229">
        <v>0.5</v>
      </c>
      <c r="F19" s="229">
        <v>1.25</v>
      </c>
      <c r="G19" s="229">
        <v>0.25</v>
      </c>
      <c r="H19" s="231">
        <v>5</v>
      </c>
      <c r="I19" s="229">
        <v>1</v>
      </c>
      <c r="J19" s="229">
        <v>1</v>
      </c>
      <c r="K19" s="229">
        <v>2</v>
      </c>
      <c r="L19" s="229">
        <v>0</v>
      </c>
      <c r="M19" s="135">
        <f t="shared" si="0"/>
        <v>12</v>
      </c>
      <c r="N19" s="136">
        <f t="shared" si="1"/>
        <v>0.85416666666666663</v>
      </c>
      <c r="O19" s="136">
        <f t="shared" si="2"/>
        <v>0.75</v>
      </c>
      <c r="P19" s="136">
        <f t="shared" si="3"/>
        <v>2</v>
      </c>
      <c r="Q19" s="136">
        <f t="shared" si="4"/>
        <v>0</v>
      </c>
    </row>
    <row r="20" spans="1:17">
      <c r="A20" s="382"/>
      <c r="B20" s="118" t="s">
        <v>276</v>
      </c>
      <c r="C20" s="231">
        <v>7</v>
      </c>
      <c r="D20" s="229">
        <v>0.75</v>
      </c>
      <c r="E20" s="229">
        <v>1.5</v>
      </c>
      <c r="F20" s="229">
        <v>2.25</v>
      </c>
      <c r="G20" s="229">
        <v>0</v>
      </c>
      <c r="H20" s="231">
        <v>5</v>
      </c>
      <c r="I20" s="229">
        <v>3</v>
      </c>
      <c r="J20" s="229" t="s">
        <v>87</v>
      </c>
      <c r="K20" s="229" t="s">
        <v>87</v>
      </c>
      <c r="L20" s="229" t="s">
        <v>87</v>
      </c>
      <c r="M20" s="135">
        <f t="shared" si="0"/>
        <v>12</v>
      </c>
      <c r="N20" s="136">
        <f t="shared" si="1"/>
        <v>1.6875</v>
      </c>
      <c r="O20" s="136" t="str">
        <f t="shared" si="2"/>
        <v/>
      </c>
      <c r="P20" s="136">
        <f t="shared" si="3"/>
        <v>2.25</v>
      </c>
      <c r="Q20" s="136">
        <f t="shared" si="4"/>
        <v>0</v>
      </c>
    </row>
    <row r="21" spans="1:17">
      <c r="A21" s="382" t="s">
        <v>277</v>
      </c>
      <c r="B21" s="118" t="s">
        <v>278</v>
      </c>
      <c r="C21" s="231">
        <v>0</v>
      </c>
      <c r="D21" s="229" t="s">
        <v>87</v>
      </c>
      <c r="E21" s="229" t="s">
        <v>87</v>
      </c>
      <c r="F21" s="229" t="s">
        <v>87</v>
      </c>
      <c r="G21" s="229" t="s">
        <v>87</v>
      </c>
      <c r="H21" s="231">
        <v>0</v>
      </c>
      <c r="I21" s="229" t="s">
        <v>87</v>
      </c>
      <c r="J21" s="229" t="s">
        <v>87</v>
      </c>
      <c r="K21" s="229" t="s">
        <v>87</v>
      </c>
      <c r="L21" s="229" t="s">
        <v>87</v>
      </c>
      <c r="M21" s="135">
        <f t="shared" si="0"/>
        <v>0</v>
      </c>
      <c r="N21" s="136" t="str">
        <f t="shared" si="1"/>
        <v/>
      </c>
      <c r="O21" s="136" t="str">
        <f t="shared" si="2"/>
        <v/>
      </c>
      <c r="P21" s="136">
        <f t="shared" si="3"/>
        <v>0</v>
      </c>
      <c r="Q21" s="136">
        <f t="shared" si="4"/>
        <v>0</v>
      </c>
    </row>
    <row r="22" spans="1:17">
      <c r="A22" s="382"/>
      <c r="B22" s="118" t="s">
        <v>279</v>
      </c>
      <c r="C22" s="231">
        <v>0</v>
      </c>
      <c r="D22" s="229" t="s">
        <v>87</v>
      </c>
      <c r="E22" s="229" t="s">
        <v>87</v>
      </c>
      <c r="F22" s="229" t="s">
        <v>87</v>
      </c>
      <c r="G22" s="229" t="s">
        <v>87</v>
      </c>
      <c r="H22" s="231">
        <v>0</v>
      </c>
      <c r="I22" s="229" t="s">
        <v>87</v>
      </c>
      <c r="J22" s="229" t="s">
        <v>87</v>
      </c>
      <c r="K22" s="229" t="s">
        <v>87</v>
      </c>
      <c r="L22" s="229" t="s">
        <v>87</v>
      </c>
      <c r="M22" s="135">
        <f t="shared" si="0"/>
        <v>0</v>
      </c>
      <c r="N22" s="136" t="str">
        <f t="shared" si="1"/>
        <v/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82"/>
      <c r="B23" s="118" t="s">
        <v>280</v>
      </c>
      <c r="C23" s="231">
        <v>0</v>
      </c>
      <c r="D23" s="229" t="s">
        <v>87</v>
      </c>
      <c r="E23" s="229" t="s">
        <v>87</v>
      </c>
      <c r="F23" s="229" t="s">
        <v>87</v>
      </c>
      <c r="G23" s="229" t="s">
        <v>87</v>
      </c>
      <c r="H23" s="231">
        <v>0</v>
      </c>
      <c r="I23" s="229" t="s">
        <v>87</v>
      </c>
      <c r="J23" s="229" t="s">
        <v>87</v>
      </c>
      <c r="K23" s="229" t="s">
        <v>87</v>
      </c>
      <c r="L23" s="229" t="s">
        <v>87</v>
      </c>
      <c r="M23" s="135">
        <f t="shared" si="0"/>
        <v>0</v>
      </c>
      <c r="N23" s="136" t="str">
        <f t="shared" si="1"/>
        <v/>
      </c>
      <c r="O23" s="136" t="str">
        <f t="shared" si="2"/>
        <v/>
      </c>
      <c r="P23" s="136">
        <f t="shared" si="3"/>
        <v>0</v>
      </c>
      <c r="Q23" s="136">
        <f t="shared" si="4"/>
        <v>0</v>
      </c>
    </row>
    <row r="24" spans="1:17">
      <c r="A24" s="382"/>
      <c r="B24" s="118" t="s">
        <v>281</v>
      </c>
      <c r="C24" s="231">
        <v>0</v>
      </c>
      <c r="D24" s="230" t="s">
        <v>87</v>
      </c>
      <c r="E24" s="230" t="s">
        <v>87</v>
      </c>
      <c r="F24" s="230" t="s">
        <v>87</v>
      </c>
      <c r="G24" s="230" t="s">
        <v>87</v>
      </c>
      <c r="H24" s="231">
        <v>0</v>
      </c>
      <c r="I24" s="230" t="s">
        <v>87</v>
      </c>
      <c r="J24" s="230" t="s">
        <v>87</v>
      </c>
      <c r="K24" s="230" t="s">
        <v>87</v>
      </c>
      <c r="L24" s="230" t="s">
        <v>87</v>
      </c>
      <c r="M24" s="135">
        <f t="shared" si="0"/>
        <v>0</v>
      </c>
      <c r="N24" s="230" t="str">
        <f t="shared" si="1"/>
        <v/>
      </c>
      <c r="O24" s="230" t="str">
        <f t="shared" si="2"/>
        <v/>
      </c>
      <c r="P24" s="285">
        <f t="shared" ref="P24" si="6">IFERROR(IF(MAXA(F24,K24)&gt;1,1,MAXA(F24,K24)),"")</f>
        <v>0</v>
      </c>
      <c r="Q24" s="230">
        <f t="shared" si="4"/>
        <v>0</v>
      </c>
    </row>
    <row r="25" spans="1:17">
      <c r="A25" s="382"/>
      <c r="B25" s="118" t="s">
        <v>282</v>
      </c>
      <c r="C25" s="231">
        <v>1</v>
      </c>
      <c r="D25" s="229">
        <v>1.6710526315789473</v>
      </c>
      <c r="E25" s="229" t="s">
        <v>87</v>
      </c>
      <c r="F25" s="229" t="s">
        <v>87</v>
      </c>
      <c r="G25" s="229" t="s">
        <v>87</v>
      </c>
      <c r="H25" s="231">
        <v>3</v>
      </c>
      <c r="I25" s="229">
        <v>1.8931385281385282</v>
      </c>
      <c r="J25" s="229">
        <v>0.3609443859903172</v>
      </c>
      <c r="K25" s="229">
        <v>2.2540829141288454</v>
      </c>
      <c r="L25" s="229">
        <v>1.532194142148211</v>
      </c>
      <c r="M25" s="135">
        <f t="shared" si="0"/>
        <v>4</v>
      </c>
      <c r="N25" s="136">
        <f t="shared" si="1"/>
        <v>1.837617053998633</v>
      </c>
      <c r="O25" s="136" t="str">
        <f t="shared" si="2"/>
        <v/>
      </c>
      <c r="P25" s="136">
        <f t="shared" si="3"/>
        <v>2.2540829141288454</v>
      </c>
      <c r="Q25" s="136">
        <f t="shared" si="4"/>
        <v>0</v>
      </c>
    </row>
    <row r="26" spans="1:17">
      <c r="A26" s="215" t="s">
        <v>283</v>
      </c>
      <c r="B26" s="118" t="s">
        <v>284</v>
      </c>
      <c r="C26" s="231">
        <v>0</v>
      </c>
      <c r="D26" s="229" t="s">
        <v>87</v>
      </c>
      <c r="E26" s="229" t="s">
        <v>87</v>
      </c>
      <c r="F26" s="229" t="s">
        <v>87</v>
      </c>
      <c r="G26" s="229" t="s">
        <v>87</v>
      </c>
      <c r="H26" s="231">
        <v>0</v>
      </c>
      <c r="I26" s="229" t="s">
        <v>87</v>
      </c>
      <c r="J26" s="229" t="s">
        <v>87</v>
      </c>
      <c r="K26" s="229" t="s">
        <v>87</v>
      </c>
      <c r="L26" s="229" t="s">
        <v>87</v>
      </c>
      <c r="M26" s="135">
        <f t="shared" si="0"/>
        <v>0</v>
      </c>
      <c r="N26" s="136" t="str">
        <f t="shared" si="1"/>
        <v/>
      </c>
      <c r="O26" s="136" t="str">
        <f t="shared" si="2"/>
        <v/>
      </c>
      <c r="P26" s="136">
        <f t="shared" si="3"/>
        <v>0</v>
      </c>
      <c r="Q26" s="136">
        <f t="shared" si="4"/>
        <v>0</v>
      </c>
    </row>
    <row r="27" spans="1:17">
      <c r="A27" s="382" t="s">
        <v>285</v>
      </c>
      <c r="B27" s="118" t="s">
        <v>286</v>
      </c>
      <c r="C27" s="231">
        <v>6</v>
      </c>
      <c r="D27" s="229">
        <v>0.91666666666666663</v>
      </c>
      <c r="E27" s="229">
        <v>1.5625833311112296</v>
      </c>
      <c r="F27" s="229">
        <v>2.4792499977778961</v>
      </c>
      <c r="G27" s="229">
        <v>0</v>
      </c>
      <c r="H27" s="231">
        <v>4</v>
      </c>
      <c r="I27" s="229">
        <v>0.25</v>
      </c>
      <c r="J27" s="229">
        <v>0.28867513459481287</v>
      </c>
      <c r="K27" s="229">
        <v>0.53867513459481287</v>
      </c>
      <c r="L27" s="229">
        <v>0</v>
      </c>
      <c r="M27" s="135">
        <f t="shared" si="0"/>
        <v>10</v>
      </c>
      <c r="N27" s="136">
        <f t="shared" si="1"/>
        <v>0.65</v>
      </c>
      <c r="O27" s="136">
        <f t="shared" si="2"/>
        <v>0.92562923285302123</v>
      </c>
      <c r="P27" s="136">
        <f t="shared" si="3"/>
        <v>2.4792499977778961</v>
      </c>
      <c r="Q27" s="136">
        <f t="shared" si="4"/>
        <v>0</v>
      </c>
    </row>
    <row r="28" spans="1:17">
      <c r="A28" s="382"/>
      <c r="B28" s="118" t="s">
        <v>287</v>
      </c>
      <c r="C28" s="231">
        <v>5</v>
      </c>
      <c r="D28" s="229">
        <v>1.5333333333333332</v>
      </c>
      <c r="E28" s="229">
        <v>0.96032401939252909</v>
      </c>
      <c r="F28" s="229">
        <v>2.4936573527258625</v>
      </c>
      <c r="G28" s="229">
        <v>0.57300931394080412</v>
      </c>
      <c r="H28" s="231">
        <v>3</v>
      </c>
      <c r="I28" s="229">
        <v>1</v>
      </c>
      <c r="J28" s="229">
        <v>0</v>
      </c>
      <c r="K28" s="229">
        <v>1</v>
      </c>
      <c r="L28" s="229">
        <v>1</v>
      </c>
      <c r="M28" s="135">
        <f t="shared" si="0"/>
        <v>8</v>
      </c>
      <c r="N28" s="136">
        <f t="shared" si="1"/>
        <v>1.3333333333333333</v>
      </c>
      <c r="O28" s="136">
        <f t="shared" si="2"/>
        <v>0.48016200969626455</v>
      </c>
      <c r="P28" s="136">
        <f t="shared" si="3"/>
        <v>2.4936573527258625</v>
      </c>
      <c r="Q28" s="136">
        <f t="shared" si="4"/>
        <v>0.57300931394080412</v>
      </c>
    </row>
    <row r="29" spans="1:17">
      <c r="A29" s="382" t="s">
        <v>288</v>
      </c>
      <c r="B29" s="118" t="s">
        <v>289</v>
      </c>
      <c r="C29" s="231">
        <v>7</v>
      </c>
      <c r="D29" s="229">
        <v>0.25</v>
      </c>
      <c r="E29" s="229">
        <v>0.5</v>
      </c>
      <c r="F29" s="229">
        <v>0.75</v>
      </c>
      <c r="G29" s="229">
        <v>0</v>
      </c>
      <c r="H29" s="231">
        <v>5</v>
      </c>
      <c r="I29" s="229">
        <v>0</v>
      </c>
      <c r="J29" s="229" t="s">
        <v>87</v>
      </c>
      <c r="K29" s="229" t="s">
        <v>87</v>
      </c>
      <c r="L29" s="229" t="s">
        <v>87</v>
      </c>
      <c r="M29" s="135">
        <f t="shared" si="0"/>
        <v>12</v>
      </c>
      <c r="N29" s="136">
        <f t="shared" si="1"/>
        <v>0.14583333333333334</v>
      </c>
      <c r="O29" s="136" t="str">
        <f t="shared" si="2"/>
        <v/>
      </c>
      <c r="P29" s="136">
        <f t="shared" si="3"/>
        <v>0.75</v>
      </c>
      <c r="Q29" s="136">
        <f t="shared" si="4"/>
        <v>0</v>
      </c>
    </row>
    <row r="30" spans="1:17">
      <c r="A30" s="382"/>
      <c r="B30" s="118" t="s">
        <v>290</v>
      </c>
      <c r="C30" s="231">
        <v>7</v>
      </c>
      <c r="D30" s="229">
        <v>0</v>
      </c>
      <c r="E30" s="229">
        <v>0</v>
      </c>
      <c r="F30" s="229">
        <v>0</v>
      </c>
      <c r="G30" s="229">
        <v>0</v>
      </c>
      <c r="H30" s="231">
        <v>5</v>
      </c>
      <c r="I30" s="229">
        <v>0</v>
      </c>
      <c r="J30" s="229" t="s">
        <v>87</v>
      </c>
      <c r="K30" s="229" t="s">
        <v>87</v>
      </c>
      <c r="L30" s="229" t="s">
        <v>87</v>
      </c>
      <c r="M30" s="135">
        <f t="shared" si="0"/>
        <v>12</v>
      </c>
      <c r="N30" s="136">
        <f t="shared" si="1"/>
        <v>0</v>
      </c>
      <c r="O30" s="136" t="str">
        <f t="shared" si="2"/>
        <v/>
      </c>
      <c r="P30" s="136">
        <f t="shared" si="3"/>
        <v>0</v>
      </c>
      <c r="Q30" s="136">
        <f t="shared" si="4"/>
        <v>0</v>
      </c>
    </row>
    <row r="31" spans="1:17">
      <c r="A31" s="384" t="s">
        <v>291</v>
      </c>
      <c r="B31" s="118" t="s">
        <v>292</v>
      </c>
      <c r="C31" s="231">
        <v>7</v>
      </c>
      <c r="D31" s="230">
        <v>0.97333333333333327</v>
      </c>
      <c r="E31" s="230">
        <v>4.6188021535170036E-2</v>
      </c>
      <c r="F31" s="230">
        <v>1</v>
      </c>
      <c r="G31" s="230">
        <v>0.8347692687278232</v>
      </c>
      <c r="H31" s="231">
        <v>5</v>
      </c>
      <c r="I31" s="230">
        <v>1</v>
      </c>
      <c r="J31" s="230" t="s">
        <v>87</v>
      </c>
      <c r="K31" s="230" t="s">
        <v>87</v>
      </c>
      <c r="L31" s="230" t="s">
        <v>87</v>
      </c>
      <c r="M31" s="135">
        <f t="shared" si="0"/>
        <v>12</v>
      </c>
      <c r="N31" s="230">
        <f t="shared" si="1"/>
        <v>0.98444444444444434</v>
      </c>
      <c r="O31" s="230" t="str">
        <f t="shared" si="2"/>
        <v/>
      </c>
      <c r="P31" s="285">
        <f t="shared" ref="P31" si="7">IFERROR(IF(MAXA(F31,K31)&gt;1,1,MAXA(F31,K31)),"")</f>
        <v>1</v>
      </c>
      <c r="Q31" s="230">
        <f t="shared" si="4"/>
        <v>0</v>
      </c>
    </row>
    <row r="32" spans="1:17">
      <c r="A32" s="385"/>
      <c r="B32" s="118" t="s">
        <v>293</v>
      </c>
      <c r="C32" s="231">
        <v>7</v>
      </c>
      <c r="D32" s="229">
        <v>8</v>
      </c>
      <c r="E32" s="229" t="s">
        <v>87</v>
      </c>
      <c r="F32" s="229" t="s">
        <v>87</v>
      </c>
      <c r="G32" s="229" t="s">
        <v>87</v>
      </c>
      <c r="H32" s="231">
        <v>5</v>
      </c>
      <c r="I32" s="229" t="s">
        <v>87</v>
      </c>
      <c r="J32" s="229" t="s">
        <v>87</v>
      </c>
      <c r="K32" s="229" t="s">
        <v>87</v>
      </c>
      <c r="L32" s="229" t="s">
        <v>87</v>
      </c>
      <c r="M32" s="135">
        <f t="shared" si="0"/>
        <v>12</v>
      </c>
      <c r="N32" s="136" t="str">
        <f t="shared" si="1"/>
        <v/>
      </c>
      <c r="O32" s="136" t="str">
        <f t="shared" si="2"/>
        <v/>
      </c>
      <c r="P32" s="136">
        <f t="shared" si="3"/>
        <v>0</v>
      </c>
      <c r="Q32" s="136">
        <f t="shared" si="4"/>
        <v>0</v>
      </c>
    </row>
    <row r="33" spans="1:17">
      <c r="A33" s="385"/>
      <c r="B33" s="118" t="s">
        <v>294</v>
      </c>
      <c r="C33" s="231">
        <v>7</v>
      </c>
      <c r="D33" s="229">
        <v>15</v>
      </c>
      <c r="E33" s="229" t="s">
        <v>87</v>
      </c>
      <c r="F33" s="229" t="s">
        <v>87</v>
      </c>
      <c r="G33" s="229" t="s">
        <v>87</v>
      </c>
      <c r="H33" s="231">
        <v>5</v>
      </c>
      <c r="I33" s="229" t="s">
        <v>87</v>
      </c>
      <c r="J33" s="229" t="s">
        <v>87</v>
      </c>
      <c r="K33" s="229" t="s">
        <v>87</v>
      </c>
      <c r="L33" s="229" t="s">
        <v>87</v>
      </c>
      <c r="M33" s="135">
        <f t="shared" si="0"/>
        <v>12</v>
      </c>
      <c r="N33" s="136" t="str">
        <f t="shared" si="1"/>
        <v/>
      </c>
      <c r="O33" s="136" t="str">
        <f t="shared" si="2"/>
        <v/>
      </c>
      <c r="P33" s="136">
        <f t="shared" si="3"/>
        <v>0</v>
      </c>
      <c r="Q33" s="136">
        <f t="shared" si="4"/>
        <v>0</v>
      </c>
    </row>
    <row r="34" spans="1:17">
      <c r="A34" s="385"/>
      <c r="B34" s="118" t="s">
        <v>295</v>
      </c>
      <c r="C34" s="231">
        <v>7</v>
      </c>
      <c r="D34" s="229">
        <v>24</v>
      </c>
      <c r="E34" s="229" t="s">
        <v>87</v>
      </c>
      <c r="F34" s="229" t="s">
        <v>87</v>
      </c>
      <c r="G34" s="229" t="s">
        <v>87</v>
      </c>
      <c r="H34" s="231">
        <v>5</v>
      </c>
      <c r="I34" s="229" t="s">
        <v>87</v>
      </c>
      <c r="J34" s="229" t="s">
        <v>87</v>
      </c>
      <c r="K34" s="229" t="s">
        <v>87</v>
      </c>
      <c r="L34" s="229" t="s">
        <v>87</v>
      </c>
      <c r="M34" s="135">
        <f t="shared" si="0"/>
        <v>12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6"/>
      <c r="B35" s="118" t="s">
        <v>296</v>
      </c>
      <c r="C35" s="231">
        <v>7</v>
      </c>
      <c r="D35" s="229">
        <v>2</v>
      </c>
      <c r="E35" s="229" t="s">
        <v>87</v>
      </c>
      <c r="F35" s="229" t="s">
        <v>87</v>
      </c>
      <c r="G35" s="229" t="s">
        <v>87</v>
      </c>
      <c r="H35" s="231">
        <v>5</v>
      </c>
      <c r="I35" s="229" t="s">
        <v>87</v>
      </c>
      <c r="J35" s="229" t="s">
        <v>87</v>
      </c>
      <c r="K35" s="229" t="s">
        <v>87</v>
      </c>
      <c r="L35" s="229" t="s">
        <v>87</v>
      </c>
      <c r="M35" s="135">
        <f t="shared" si="0"/>
        <v>12</v>
      </c>
      <c r="N35" s="136" t="str">
        <f t="shared" si="1"/>
        <v/>
      </c>
      <c r="O35" s="136" t="str">
        <f t="shared" si="2"/>
        <v/>
      </c>
      <c r="P35" s="136">
        <f t="shared" si="3"/>
        <v>0</v>
      </c>
      <c r="Q35" s="136">
        <f t="shared" si="4"/>
        <v>0</v>
      </c>
    </row>
    <row r="36" spans="1:17">
      <c r="A36" s="386"/>
      <c r="B36" s="118" t="s">
        <v>297</v>
      </c>
      <c r="C36" s="231">
        <v>7</v>
      </c>
      <c r="D36" s="229" t="s">
        <v>87</v>
      </c>
      <c r="E36" s="229" t="s">
        <v>87</v>
      </c>
      <c r="F36" s="229" t="s">
        <v>87</v>
      </c>
      <c r="G36" s="229" t="s">
        <v>87</v>
      </c>
      <c r="H36" s="231">
        <v>5</v>
      </c>
      <c r="I36" s="229" t="s">
        <v>87</v>
      </c>
      <c r="J36" s="229" t="s">
        <v>87</v>
      </c>
      <c r="K36" s="229" t="s">
        <v>87</v>
      </c>
      <c r="L36" s="229" t="s">
        <v>87</v>
      </c>
      <c r="M36" s="135">
        <f t="shared" si="0"/>
        <v>12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7"/>
      <c r="B37" s="118" t="s">
        <v>298</v>
      </c>
      <c r="C37" s="231">
        <v>7</v>
      </c>
      <c r="D37" s="229" t="s">
        <v>87</v>
      </c>
      <c r="E37" s="229" t="s">
        <v>87</v>
      </c>
      <c r="F37" s="229" t="s">
        <v>87</v>
      </c>
      <c r="G37" s="229" t="s">
        <v>87</v>
      </c>
      <c r="H37" s="231">
        <v>5</v>
      </c>
      <c r="I37" s="229" t="s">
        <v>87</v>
      </c>
      <c r="J37" s="229" t="s">
        <v>87</v>
      </c>
      <c r="K37" s="229" t="s">
        <v>87</v>
      </c>
      <c r="L37" s="229" t="s">
        <v>87</v>
      </c>
      <c r="M37" s="135">
        <f t="shared" si="0"/>
        <v>12</v>
      </c>
      <c r="N37" s="136" t="str">
        <f t="shared" si="1"/>
        <v/>
      </c>
      <c r="O37" s="136" t="str">
        <f t="shared" si="2"/>
        <v/>
      </c>
      <c r="P37" s="136">
        <f t="shared" si="3"/>
        <v>0</v>
      </c>
      <c r="Q37" s="136">
        <f t="shared" si="4"/>
        <v>0</v>
      </c>
    </row>
    <row r="38" spans="1:17">
      <c r="A38" s="363" t="s">
        <v>299</v>
      </c>
      <c r="B38" s="118" t="s">
        <v>300</v>
      </c>
      <c r="C38" s="231">
        <v>7</v>
      </c>
      <c r="D38" s="229">
        <v>0</v>
      </c>
      <c r="E38" s="229">
        <v>0</v>
      </c>
      <c r="F38" s="229">
        <v>0</v>
      </c>
      <c r="G38" s="229">
        <v>0</v>
      </c>
      <c r="H38" s="231">
        <v>5</v>
      </c>
      <c r="I38" s="229">
        <v>0</v>
      </c>
      <c r="J38" s="229">
        <v>0</v>
      </c>
      <c r="K38" s="229">
        <v>0</v>
      </c>
      <c r="L38" s="229">
        <v>0</v>
      </c>
      <c r="M38" s="135">
        <f t="shared" si="0"/>
        <v>12</v>
      </c>
      <c r="N38" s="136">
        <f t="shared" si="1"/>
        <v>0</v>
      </c>
      <c r="O38" s="136">
        <f t="shared" si="2"/>
        <v>0</v>
      </c>
      <c r="P38" s="136">
        <f t="shared" si="3"/>
        <v>0</v>
      </c>
      <c r="Q38" s="136">
        <f t="shared" si="4"/>
        <v>0</v>
      </c>
    </row>
    <row r="39" spans="1:17">
      <c r="A39" s="363"/>
      <c r="B39" s="118" t="s">
        <v>301</v>
      </c>
      <c r="C39" s="231">
        <v>7</v>
      </c>
      <c r="D39" s="229">
        <v>9</v>
      </c>
      <c r="E39" s="229">
        <v>1.4142135623730951</v>
      </c>
      <c r="F39" s="229">
        <v>10.414213562373096</v>
      </c>
      <c r="G39" s="229">
        <v>7.5857864376269051</v>
      </c>
      <c r="H39" s="231">
        <v>5</v>
      </c>
      <c r="I39" s="229">
        <v>2.1850000000000001</v>
      </c>
      <c r="J39" s="229">
        <v>7.0710678118653244E-3</v>
      </c>
      <c r="K39" s="229">
        <v>2.2062132034355959</v>
      </c>
      <c r="L39" s="229">
        <v>2.1637867965644042</v>
      </c>
      <c r="M39" s="135">
        <f t="shared" si="0"/>
        <v>12</v>
      </c>
      <c r="N39" s="136">
        <f t="shared" si="1"/>
        <v>6.1604166666666664</v>
      </c>
      <c r="O39" s="136">
        <f t="shared" si="2"/>
        <v>0.71064231509248021</v>
      </c>
      <c r="P39" s="136">
        <f t="shared" si="3"/>
        <v>10.414213562373096</v>
      </c>
      <c r="Q39" s="136">
        <f t="shared" si="4"/>
        <v>2.1637867965644042</v>
      </c>
    </row>
    <row r="40" spans="1:17">
      <c r="A40" s="363"/>
      <c r="B40" s="118" t="s">
        <v>302</v>
      </c>
      <c r="C40" s="231">
        <v>7</v>
      </c>
      <c r="D40" s="230">
        <v>3.7499999999999999E-2</v>
      </c>
      <c r="E40" s="230">
        <v>1.0606601717798201E-2</v>
      </c>
      <c r="F40" s="230">
        <v>4.8106601717798202E-2</v>
      </c>
      <c r="G40" s="230">
        <v>2.6893398282201796E-2</v>
      </c>
      <c r="H40" s="231">
        <v>5</v>
      </c>
      <c r="I40" s="230">
        <v>4.3499999999999997E-2</v>
      </c>
      <c r="J40" s="230">
        <v>2.1213203435596394E-3</v>
      </c>
      <c r="K40" s="230">
        <v>4.9863961030678916E-2</v>
      </c>
      <c r="L40" s="230">
        <v>3.7136038969321078E-2</v>
      </c>
      <c r="M40" s="135">
        <f t="shared" si="0"/>
        <v>12</v>
      </c>
      <c r="N40" s="230">
        <f t="shared" si="1"/>
        <v>0.04</v>
      </c>
      <c r="O40" s="230">
        <f t="shared" si="2"/>
        <v>6.3639610306789208E-3</v>
      </c>
      <c r="P40" s="285">
        <f t="shared" ref="P40" si="8">IFERROR(IF(MAXA(F40,K40)&gt;1,1,MAXA(F40,K40)),"")</f>
        <v>4.9863961030678916E-2</v>
      </c>
      <c r="Q40" s="230">
        <f t="shared" si="4"/>
        <v>2.6893398282201796E-2</v>
      </c>
    </row>
    <row r="41" spans="1:17">
      <c r="A41" s="363"/>
      <c r="B41" s="120" t="s">
        <v>303</v>
      </c>
      <c r="C41" s="231">
        <v>7</v>
      </c>
      <c r="D41" s="229">
        <v>0</v>
      </c>
      <c r="E41" s="229">
        <v>0</v>
      </c>
      <c r="F41" s="229">
        <v>0</v>
      </c>
      <c r="G41" s="229">
        <v>0</v>
      </c>
      <c r="H41" s="231">
        <v>5</v>
      </c>
      <c r="I41" s="229">
        <v>0</v>
      </c>
      <c r="J41" s="229">
        <v>0</v>
      </c>
      <c r="K41" s="229">
        <v>0</v>
      </c>
      <c r="L41" s="229">
        <v>0</v>
      </c>
      <c r="M41" s="135">
        <f t="shared" si="0"/>
        <v>12</v>
      </c>
      <c r="N41" s="136">
        <f t="shared" si="1"/>
        <v>0</v>
      </c>
      <c r="O41" s="136">
        <f t="shared" si="2"/>
        <v>0</v>
      </c>
      <c r="P41" s="136">
        <f t="shared" si="3"/>
        <v>0</v>
      </c>
      <c r="Q41" s="136">
        <f t="shared" si="4"/>
        <v>0</v>
      </c>
    </row>
    <row r="42" spans="1:17">
      <c r="A42" s="363"/>
      <c r="B42" s="120" t="s">
        <v>304</v>
      </c>
      <c r="C42" s="231">
        <v>7</v>
      </c>
      <c r="D42" s="229">
        <v>0</v>
      </c>
      <c r="E42" s="229">
        <v>0</v>
      </c>
      <c r="F42" s="229">
        <v>0</v>
      </c>
      <c r="G42" s="229">
        <v>0</v>
      </c>
      <c r="H42" s="231">
        <v>5</v>
      </c>
      <c r="I42" s="229">
        <v>0</v>
      </c>
      <c r="J42" s="229">
        <v>0</v>
      </c>
      <c r="K42" s="229">
        <v>0</v>
      </c>
      <c r="L42" s="229">
        <v>0</v>
      </c>
      <c r="M42" s="135">
        <f t="shared" si="0"/>
        <v>12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3"/>
      <c r="B43" s="120" t="s">
        <v>305</v>
      </c>
      <c r="C43" s="231">
        <v>7</v>
      </c>
      <c r="D43" s="229" t="s">
        <v>87</v>
      </c>
      <c r="E43" s="229" t="s">
        <v>87</v>
      </c>
      <c r="F43" s="229" t="s">
        <v>87</v>
      </c>
      <c r="G43" s="229" t="s">
        <v>87</v>
      </c>
      <c r="H43" s="231">
        <v>5</v>
      </c>
      <c r="I43" s="229">
        <v>0</v>
      </c>
      <c r="J43" s="229">
        <v>0</v>
      </c>
      <c r="K43" s="229">
        <v>0</v>
      </c>
      <c r="L43" s="229">
        <v>0</v>
      </c>
      <c r="M43" s="135">
        <f t="shared" si="0"/>
        <v>12</v>
      </c>
      <c r="N43" s="136" t="str">
        <f t="shared" si="1"/>
        <v/>
      </c>
      <c r="O43" s="136" t="str">
        <f t="shared" si="2"/>
        <v/>
      </c>
      <c r="P43" s="136">
        <f t="shared" si="3"/>
        <v>0</v>
      </c>
      <c r="Q43" s="136">
        <f t="shared" si="4"/>
        <v>0</v>
      </c>
    </row>
  </sheetData>
  <mergeCells count="12">
    <mergeCell ref="A38:A43"/>
    <mergeCell ref="A1:B2"/>
    <mergeCell ref="C1:G1"/>
    <mergeCell ref="H1:L1"/>
    <mergeCell ref="M1:Q1"/>
    <mergeCell ref="A3:A13"/>
    <mergeCell ref="A14:A16"/>
    <mergeCell ref="A17:A20"/>
    <mergeCell ref="A21:A25"/>
    <mergeCell ref="A27:A28"/>
    <mergeCell ref="A29:A30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5"/>
  <sheetViews>
    <sheetView workbookViewId="0">
      <selection activeCell="E19" sqref="E19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77" t="s">
        <v>308</v>
      </c>
      <c r="B3" s="118" t="s">
        <v>309</v>
      </c>
      <c r="C3" s="231">
        <v>0</v>
      </c>
      <c r="D3" s="231" t="s">
        <v>87</v>
      </c>
      <c r="E3" s="231" t="s">
        <v>87</v>
      </c>
      <c r="F3" s="231" t="s">
        <v>87</v>
      </c>
      <c r="G3" s="231" t="s">
        <v>87</v>
      </c>
      <c r="H3" s="231">
        <v>0</v>
      </c>
      <c r="I3" s="231" t="s">
        <v>87</v>
      </c>
      <c r="J3" s="231" t="s">
        <v>87</v>
      </c>
      <c r="K3" s="231" t="s">
        <v>87</v>
      </c>
      <c r="L3" s="231" t="s">
        <v>87</v>
      </c>
      <c r="M3" s="135">
        <f t="shared" ref="M3:M15" si="0">IFERROR(C3+H3,"")</f>
        <v>0</v>
      </c>
      <c r="N3" s="136" t="str">
        <f t="shared" ref="N3:N15" si="1">IFERROR((C3*D3+H3*I3)/M3,"")</f>
        <v/>
      </c>
      <c r="O3" s="136" t="str">
        <f t="shared" ref="O3:O15" si="2">IFERROR((E3+J3)/2,"")</f>
        <v/>
      </c>
      <c r="P3" s="136">
        <f t="shared" ref="P3:P15" si="3">IFERROR(MAXA(F3,K3),"")</f>
        <v>0</v>
      </c>
      <c r="Q3" s="136">
        <f t="shared" ref="Q3:Q15" si="4">IFERROR(MINA(G3,L3),"")</f>
        <v>0</v>
      </c>
    </row>
    <row r="4" spans="1:17">
      <c r="A4" s="378"/>
      <c r="B4" s="118" t="s">
        <v>310</v>
      </c>
      <c r="C4" s="231">
        <v>0</v>
      </c>
      <c r="D4" s="231" t="s">
        <v>87</v>
      </c>
      <c r="E4" s="231" t="s">
        <v>87</v>
      </c>
      <c r="F4" s="231" t="s">
        <v>87</v>
      </c>
      <c r="G4" s="231" t="s">
        <v>87</v>
      </c>
      <c r="H4" s="231">
        <v>0</v>
      </c>
      <c r="I4" s="231" t="s">
        <v>87</v>
      </c>
      <c r="J4" s="231" t="s">
        <v>87</v>
      </c>
      <c r="K4" s="231" t="s">
        <v>87</v>
      </c>
      <c r="L4" s="231" t="s">
        <v>87</v>
      </c>
      <c r="M4" s="135">
        <f t="shared" si="0"/>
        <v>0</v>
      </c>
      <c r="N4" s="136" t="str">
        <f t="shared" si="1"/>
        <v/>
      </c>
      <c r="O4" s="136" t="str">
        <f t="shared" si="2"/>
        <v/>
      </c>
      <c r="P4" s="136">
        <f t="shared" si="3"/>
        <v>0</v>
      </c>
      <c r="Q4" s="136">
        <f t="shared" si="4"/>
        <v>0</v>
      </c>
    </row>
    <row r="5" spans="1:17">
      <c r="A5" s="378"/>
      <c r="B5" s="118" t="s">
        <v>311</v>
      </c>
      <c r="C5" s="231">
        <v>0</v>
      </c>
      <c r="D5" s="231" t="s">
        <v>87</v>
      </c>
      <c r="E5" s="231" t="s">
        <v>87</v>
      </c>
      <c r="F5" s="231" t="s">
        <v>87</v>
      </c>
      <c r="G5" s="231" t="s">
        <v>87</v>
      </c>
      <c r="H5" s="231">
        <v>0</v>
      </c>
      <c r="I5" s="231" t="s">
        <v>87</v>
      </c>
      <c r="J5" s="231" t="s">
        <v>87</v>
      </c>
      <c r="K5" s="231" t="s">
        <v>87</v>
      </c>
      <c r="L5" s="231" t="s">
        <v>87</v>
      </c>
      <c r="M5" s="135">
        <f t="shared" si="0"/>
        <v>0</v>
      </c>
      <c r="N5" s="136" t="str">
        <f t="shared" si="1"/>
        <v/>
      </c>
      <c r="O5" s="136" t="str">
        <f t="shared" si="2"/>
        <v/>
      </c>
      <c r="P5" s="136">
        <f t="shared" si="3"/>
        <v>0</v>
      </c>
      <c r="Q5" s="136">
        <f t="shared" si="4"/>
        <v>0</v>
      </c>
    </row>
    <row r="6" spans="1:17">
      <c r="A6" s="378"/>
      <c r="B6" s="118" t="s">
        <v>312</v>
      </c>
      <c r="C6" s="231">
        <v>0</v>
      </c>
      <c r="D6" s="231" t="s">
        <v>87</v>
      </c>
      <c r="E6" s="231" t="s">
        <v>87</v>
      </c>
      <c r="F6" s="231" t="s">
        <v>87</v>
      </c>
      <c r="G6" s="231" t="s">
        <v>87</v>
      </c>
      <c r="H6" s="231">
        <v>0</v>
      </c>
      <c r="I6" s="231" t="s">
        <v>87</v>
      </c>
      <c r="J6" s="231" t="s">
        <v>87</v>
      </c>
      <c r="K6" s="231" t="s">
        <v>87</v>
      </c>
      <c r="L6" s="231" t="s">
        <v>87</v>
      </c>
      <c r="M6" s="135">
        <f t="shared" si="0"/>
        <v>0</v>
      </c>
      <c r="N6" s="136" t="str">
        <f t="shared" si="1"/>
        <v/>
      </c>
      <c r="O6" s="136" t="str">
        <f t="shared" si="2"/>
        <v/>
      </c>
      <c r="P6" s="136">
        <f t="shared" si="3"/>
        <v>0</v>
      </c>
      <c r="Q6" s="136">
        <f t="shared" si="4"/>
        <v>0</v>
      </c>
    </row>
    <row r="7" spans="1:17">
      <c r="A7" s="379"/>
      <c r="B7" s="118" t="s">
        <v>267</v>
      </c>
      <c r="C7" s="231">
        <v>0</v>
      </c>
      <c r="D7" s="231" t="s">
        <v>87</v>
      </c>
      <c r="E7" s="231" t="s">
        <v>87</v>
      </c>
      <c r="F7" s="231" t="s">
        <v>87</v>
      </c>
      <c r="G7" s="231" t="s">
        <v>87</v>
      </c>
      <c r="H7" s="231">
        <v>0</v>
      </c>
      <c r="I7" s="231" t="s">
        <v>87</v>
      </c>
      <c r="J7" s="231" t="s">
        <v>87</v>
      </c>
      <c r="K7" s="231" t="s">
        <v>87</v>
      </c>
      <c r="L7" s="231" t="s">
        <v>87</v>
      </c>
      <c r="M7" s="135">
        <f t="shared" si="0"/>
        <v>0</v>
      </c>
      <c r="N7" s="285" t="str">
        <f t="shared" si="1"/>
        <v/>
      </c>
      <c r="O7" s="285" t="str">
        <f t="shared" si="2"/>
        <v/>
      </c>
      <c r="P7" s="285">
        <f t="shared" ref="P7:P12" si="5">IFERROR(IF(MAXA(F7,K7)&gt;1,1,MAXA(F7,K7)),"")</f>
        <v>0</v>
      </c>
      <c r="Q7" s="285">
        <f t="shared" si="4"/>
        <v>0</v>
      </c>
    </row>
    <row r="8" spans="1:17">
      <c r="A8" s="377" t="s">
        <v>313</v>
      </c>
      <c r="B8" s="118" t="s">
        <v>314</v>
      </c>
      <c r="C8" s="231">
        <v>1</v>
      </c>
      <c r="D8" s="231">
        <v>3.8820966835300723</v>
      </c>
      <c r="E8" s="231" t="s">
        <v>87</v>
      </c>
      <c r="F8" s="231" t="s">
        <v>87</v>
      </c>
      <c r="G8" s="231" t="s">
        <v>87</v>
      </c>
      <c r="H8" s="231">
        <v>0</v>
      </c>
      <c r="I8" s="231" t="s">
        <v>87</v>
      </c>
      <c r="J8" s="231" t="s">
        <v>87</v>
      </c>
      <c r="K8" s="231" t="s">
        <v>87</v>
      </c>
      <c r="L8" s="231" t="s">
        <v>87</v>
      </c>
      <c r="M8" s="135">
        <f t="shared" si="0"/>
        <v>1</v>
      </c>
      <c r="N8" s="136" t="str">
        <f t="shared" si="1"/>
        <v/>
      </c>
      <c r="O8" s="136" t="str">
        <f t="shared" si="2"/>
        <v/>
      </c>
      <c r="P8" s="136">
        <f t="shared" si="3"/>
        <v>0</v>
      </c>
      <c r="Q8" s="136">
        <f t="shared" si="4"/>
        <v>0</v>
      </c>
    </row>
    <row r="9" spans="1:17">
      <c r="A9" s="378"/>
      <c r="B9" s="118" t="s">
        <v>322</v>
      </c>
      <c r="C9" s="231">
        <v>10</v>
      </c>
      <c r="D9" s="231">
        <v>0.61340807107101591</v>
      </c>
      <c r="E9" s="231">
        <v>0.412063319467385</v>
      </c>
      <c r="F9" s="231">
        <v>1.025471390538401</v>
      </c>
      <c r="G9" s="231">
        <v>0.20134475160363091</v>
      </c>
      <c r="H9" s="231">
        <v>16</v>
      </c>
      <c r="I9" s="231">
        <v>0.43181411500252342</v>
      </c>
      <c r="J9" s="231">
        <v>0.2422974889522998</v>
      </c>
      <c r="K9" s="231">
        <v>0.67411160395482317</v>
      </c>
      <c r="L9" s="231">
        <v>0.18951662605022362</v>
      </c>
      <c r="M9" s="135">
        <f t="shared" si="0"/>
        <v>26</v>
      </c>
      <c r="N9" s="285">
        <f t="shared" si="1"/>
        <v>0.50165794425963584</v>
      </c>
      <c r="O9" s="285">
        <f t="shared" si="2"/>
        <v>0.3271804042098424</v>
      </c>
      <c r="P9" s="285">
        <f t="shared" si="5"/>
        <v>1</v>
      </c>
      <c r="Q9" s="285">
        <f t="shared" si="4"/>
        <v>0.18951662605022362</v>
      </c>
    </row>
    <row r="10" spans="1:17">
      <c r="A10" s="378"/>
      <c r="B10" s="118" t="s">
        <v>315</v>
      </c>
      <c r="C10" s="231">
        <v>2</v>
      </c>
      <c r="D10" s="231">
        <v>0</v>
      </c>
      <c r="E10" s="231">
        <v>0</v>
      </c>
      <c r="F10" s="231">
        <v>0</v>
      </c>
      <c r="G10" s="231">
        <v>0</v>
      </c>
      <c r="H10" s="231">
        <v>0</v>
      </c>
      <c r="I10" s="231" t="s">
        <v>87</v>
      </c>
      <c r="J10" s="231" t="s">
        <v>87</v>
      </c>
      <c r="K10" s="231" t="s">
        <v>87</v>
      </c>
      <c r="L10" s="231" t="s">
        <v>87</v>
      </c>
      <c r="M10" s="135">
        <f t="shared" si="0"/>
        <v>2</v>
      </c>
      <c r="N10" s="285" t="str">
        <f t="shared" si="1"/>
        <v/>
      </c>
      <c r="O10" s="285" t="str">
        <f t="shared" si="2"/>
        <v/>
      </c>
      <c r="P10" s="285">
        <f t="shared" si="5"/>
        <v>0</v>
      </c>
      <c r="Q10" s="285">
        <f t="shared" si="4"/>
        <v>0</v>
      </c>
    </row>
    <row r="11" spans="1:17">
      <c r="A11" s="378"/>
      <c r="B11" s="118" t="s">
        <v>316</v>
      </c>
      <c r="C11" s="231">
        <v>5</v>
      </c>
      <c r="D11" s="231">
        <v>0</v>
      </c>
      <c r="E11" s="231">
        <v>0</v>
      </c>
      <c r="F11" s="231">
        <v>0</v>
      </c>
      <c r="G11" s="231">
        <v>0</v>
      </c>
      <c r="H11" s="231">
        <v>20</v>
      </c>
      <c r="I11" s="231">
        <v>0</v>
      </c>
      <c r="J11" s="231">
        <v>0</v>
      </c>
      <c r="K11" s="231">
        <v>0</v>
      </c>
      <c r="L11" s="231">
        <v>0</v>
      </c>
      <c r="M11" s="135">
        <f t="shared" si="0"/>
        <v>25</v>
      </c>
      <c r="N11" s="285">
        <f t="shared" si="1"/>
        <v>0</v>
      </c>
      <c r="O11" s="285">
        <f t="shared" si="2"/>
        <v>0</v>
      </c>
      <c r="P11" s="285">
        <f t="shared" si="5"/>
        <v>0</v>
      </c>
      <c r="Q11" s="285">
        <f t="shared" si="4"/>
        <v>0</v>
      </c>
    </row>
    <row r="12" spans="1:17">
      <c r="A12" s="378"/>
      <c r="B12" s="120" t="s">
        <v>317</v>
      </c>
      <c r="C12" s="231">
        <v>11</v>
      </c>
      <c r="D12" s="231">
        <v>0.89355154950869242</v>
      </c>
      <c r="E12" s="231">
        <v>0.1748649141534139</v>
      </c>
      <c r="F12" s="231">
        <v>1.0684164636621063</v>
      </c>
      <c r="G12" s="231">
        <v>0.71868663535527855</v>
      </c>
      <c r="H12" s="231">
        <v>20</v>
      </c>
      <c r="I12" s="231" t="s">
        <v>87</v>
      </c>
      <c r="J12" s="231" t="s">
        <v>87</v>
      </c>
      <c r="K12" s="231" t="s">
        <v>87</v>
      </c>
      <c r="L12" s="231" t="s">
        <v>87</v>
      </c>
      <c r="M12" s="135">
        <f t="shared" si="0"/>
        <v>31</v>
      </c>
      <c r="N12" s="285" t="str">
        <f t="shared" si="1"/>
        <v/>
      </c>
      <c r="O12" s="285" t="str">
        <f t="shared" si="2"/>
        <v/>
      </c>
      <c r="P12" s="285">
        <f t="shared" si="5"/>
        <v>1</v>
      </c>
      <c r="Q12" s="285">
        <f t="shared" si="4"/>
        <v>0</v>
      </c>
    </row>
    <row r="13" spans="1:17" ht="16.5">
      <c r="A13" s="378"/>
      <c r="B13" s="121" t="s">
        <v>318</v>
      </c>
      <c r="C13" s="231">
        <v>11</v>
      </c>
      <c r="D13" s="231">
        <v>0.99849999999999994</v>
      </c>
      <c r="E13" s="231">
        <v>3.3541019662496627E-3</v>
      </c>
      <c r="F13" s="231">
        <v>1.008562305898749</v>
      </c>
      <c r="G13" s="231">
        <v>0.98843769410125093</v>
      </c>
      <c r="H13" s="231">
        <v>20</v>
      </c>
      <c r="I13" s="231">
        <v>1</v>
      </c>
      <c r="J13" s="231">
        <v>0</v>
      </c>
      <c r="K13" s="231">
        <v>1</v>
      </c>
      <c r="L13" s="231">
        <v>1</v>
      </c>
      <c r="M13" s="135">
        <f t="shared" si="0"/>
        <v>31</v>
      </c>
      <c r="N13" s="285">
        <f t="shared" si="1"/>
        <v>0.99946774193548382</v>
      </c>
      <c r="O13" s="285">
        <f t="shared" si="2"/>
        <v>1.6770509831248314E-3</v>
      </c>
      <c r="P13" s="285">
        <f t="shared" ref="P13" si="6">IFERROR(IF(MAXA(F13,K13)&gt;1,1,MAXA(F13,K13)),"")</f>
        <v>1</v>
      </c>
      <c r="Q13" s="285">
        <f t="shared" si="4"/>
        <v>0.98843769410125093</v>
      </c>
    </row>
    <row r="14" spans="1:17">
      <c r="A14" s="378"/>
      <c r="B14" s="118" t="s">
        <v>319</v>
      </c>
      <c r="C14" s="231">
        <v>11</v>
      </c>
      <c r="D14" s="231">
        <v>1.6666666666666667</v>
      </c>
      <c r="E14" s="231">
        <v>1.1547005383792515</v>
      </c>
      <c r="F14" s="231">
        <v>2.8213672050459184</v>
      </c>
      <c r="G14" s="231">
        <v>0.51196612828741528</v>
      </c>
      <c r="H14" s="231">
        <v>20</v>
      </c>
      <c r="I14" s="231" t="s">
        <v>87</v>
      </c>
      <c r="J14" s="231" t="s">
        <v>87</v>
      </c>
      <c r="K14" s="231" t="s">
        <v>87</v>
      </c>
      <c r="L14" s="231" t="s">
        <v>87</v>
      </c>
      <c r="M14" s="135">
        <f t="shared" si="0"/>
        <v>31</v>
      </c>
      <c r="N14" s="136" t="str">
        <f t="shared" si="1"/>
        <v/>
      </c>
      <c r="O14" s="136" t="str">
        <f t="shared" si="2"/>
        <v/>
      </c>
      <c r="P14" s="136">
        <f t="shared" si="3"/>
        <v>2.8213672050459184</v>
      </c>
      <c r="Q14" s="136">
        <f t="shared" si="4"/>
        <v>0</v>
      </c>
    </row>
    <row r="15" spans="1:17">
      <c r="A15" s="379"/>
      <c r="B15" s="118" t="s">
        <v>307</v>
      </c>
      <c r="C15" s="231">
        <v>1</v>
      </c>
      <c r="D15" s="231">
        <v>0.93100056211354676</v>
      </c>
      <c r="E15" s="231" t="s">
        <v>87</v>
      </c>
      <c r="F15" s="231" t="s">
        <v>87</v>
      </c>
      <c r="G15" s="231" t="s">
        <v>87</v>
      </c>
      <c r="H15" s="231">
        <v>0</v>
      </c>
      <c r="I15" s="231" t="s">
        <v>87</v>
      </c>
      <c r="J15" s="231" t="s">
        <v>87</v>
      </c>
      <c r="K15" s="231" t="s">
        <v>87</v>
      </c>
      <c r="L15" s="231" t="s">
        <v>87</v>
      </c>
      <c r="M15" s="135">
        <f t="shared" si="0"/>
        <v>1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</sheetData>
  <mergeCells count="6">
    <mergeCell ref="M1:Q1"/>
    <mergeCell ref="A3:A7"/>
    <mergeCell ref="A8:A15"/>
    <mergeCell ref="A1:B2"/>
    <mergeCell ref="C1:G1"/>
    <mergeCell ref="H1:L1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5"/>
  <sheetViews>
    <sheetView workbookViewId="0">
      <selection activeCell="G18" sqref="G18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214" t="s">
        <v>308</v>
      </c>
      <c r="B3" s="118" t="s">
        <v>340</v>
      </c>
      <c r="C3" s="231">
        <v>2</v>
      </c>
      <c r="D3" s="231">
        <v>2.3250000000000002</v>
      </c>
      <c r="E3" s="231">
        <v>0.10606601717798206</v>
      </c>
      <c r="F3" s="231">
        <v>2.6431980515339464</v>
      </c>
      <c r="G3" s="231">
        <v>2.006801948466054</v>
      </c>
      <c r="H3" s="231">
        <v>3</v>
      </c>
      <c r="I3" s="231">
        <v>1.6416733708769107</v>
      </c>
      <c r="J3" s="231">
        <v>0.39693723028993233</v>
      </c>
      <c r="K3" s="231">
        <v>2.0386106011668428</v>
      </c>
      <c r="L3" s="231">
        <v>1.2447361405869783</v>
      </c>
      <c r="M3" s="135">
        <f t="shared" ref="M3:M15" si="0">IFERROR(C3+H3,"")</f>
        <v>5</v>
      </c>
      <c r="N3" s="136">
        <f t="shared" ref="N3:N15" si="1">IFERROR((C3*D3+H3*I3)/M3,"")</f>
        <v>1.9150040225261464</v>
      </c>
      <c r="O3" s="136">
        <f t="shared" ref="O3:O15" si="2">IFERROR((E3+J3)/2,"")</f>
        <v>0.25150162373395718</v>
      </c>
      <c r="P3" s="136">
        <f t="shared" ref="P3:P15" si="3">IFERROR(MAXA(F3,K3),"")</f>
        <v>2.6431980515339464</v>
      </c>
      <c r="Q3" s="136">
        <f t="shared" ref="Q3:Q15" si="4">IFERROR(MINA(G3,L3),"")</f>
        <v>1.2447361405869783</v>
      </c>
    </row>
    <row r="4" spans="1:17">
      <c r="A4" s="214" t="s">
        <v>490</v>
      </c>
      <c r="B4" s="118" t="s">
        <v>491</v>
      </c>
      <c r="C4" s="231">
        <v>2</v>
      </c>
      <c r="D4" s="231">
        <v>0</v>
      </c>
      <c r="E4" s="231">
        <v>0</v>
      </c>
      <c r="F4" s="231">
        <v>0</v>
      </c>
      <c r="G4" s="231">
        <v>0</v>
      </c>
      <c r="H4" s="231">
        <v>3</v>
      </c>
      <c r="I4" s="231">
        <v>0</v>
      </c>
      <c r="J4" s="231">
        <v>0</v>
      </c>
      <c r="K4" s="231">
        <v>0</v>
      </c>
      <c r="L4" s="231">
        <v>0</v>
      </c>
      <c r="M4" s="135">
        <f t="shared" si="0"/>
        <v>5</v>
      </c>
      <c r="N4" s="285">
        <f t="shared" si="1"/>
        <v>0</v>
      </c>
      <c r="O4" s="285">
        <f t="shared" si="2"/>
        <v>0</v>
      </c>
      <c r="P4" s="285">
        <f t="shared" ref="P4:P10" si="5">IFERROR(IF(MAXA(F4,K4)&gt;1,1,MAXA(F4,K4)),"")</f>
        <v>0</v>
      </c>
      <c r="Q4" s="285">
        <f t="shared" si="4"/>
        <v>0</v>
      </c>
    </row>
    <row r="5" spans="1:17">
      <c r="A5" s="214" t="s">
        <v>492</v>
      </c>
      <c r="B5" s="118" t="s">
        <v>493</v>
      </c>
      <c r="C5" s="231">
        <v>2</v>
      </c>
      <c r="D5" s="231">
        <v>0</v>
      </c>
      <c r="E5" s="231">
        <v>0</v>
      </c>
      <c r="F5" s="231">
        <v>0</v>
      </c>
      <c r="G5" s="231">
        <v>0</v>
      </c>
      <c r="H5" s="231">
        <v>0</v>
      </c>
      <c r="I5" s="231" t="s">
        <v>87</v>
      </c>
      <c r="J5" s="231" t="s">
        <v>87</v>
      </c>
      <c r="K5" s="231" t="s">
        <v>87</v>
      </c>
      <c r="L5" s="231" t="s">
        <v>87</v>
      </c>
      <c r="M5" s="135">
        <f t="shared" si="0"/>
        <v>2</v>
      </c>
      <c r="N5" s="285" t="str">
        <f t="shared" si="1"/>
        <v/>
      </c>
      <c r="O5" s="285" t="str">
        <f t="shared" si="2"/>
        <v/>
      </c>
      <c r="P5" s="285">
        <f t="shared" si="5"/>
        <v>0</v>
      </c>
      <c r="Q5" s="285">
        <f t="shared" si="4"/>
        <v>0</v>
      </c>
    </row>
    <row r="6" spans="1:17">
      <c r="A6" s="377" t="s">
        <v>313</v>
      </c>
      <c r="B6" s="118" t="s">
        <v>494</v>
      </c>
      <c r="C6" s="231">
        <v>2</v>
      </c>
      <c r="D6" s="231">
        <v>1</v>
      </c>
      <c r="E6" s="231">
        <v>0</v>
      </c>
      <c r="F6" s="231">
        <v>1</v>
      </c>
      <c r="G6" s="231">
        <v>1</v>
      </c>
      <c r="H6" s="231">
        <v>3</v>
      </c>
      <c r="I6" s="231">
        <v>1</v>
      </c>
      <c r="J6" s="231">
        <v>0</v>
      </c>
      <c r="K6" s="231">
        <v>1</v>
      </c>
      <c r="L6" s="231">
        <v>1</v>
      </c>
      <c r="M6" s="135">
        <f t="shared" si="0"/>
        <v>5</v>
      </c>
      <c r="N6" s="285">
        <f t="shared" si="1"/>
        <v>1</v>
      </c>
      <c r="O6" s="285">
        <f t="shared" si="2"/>
        <v>0</v>
      </c>
      <c r="P6" s="285">
        <f t="shared" si="5"/>
        <v>1</v>
      </c>
      <c r="Q6" s="285">
        <f t="shared" si="4"/>
        <v>1</v>
      </c>
    </row>
    <row r="7" spans="1:17">
      <c r="A7" s="378"/>
      <c r="B7" s="118" t="s">
        <v>495</v>
      </c>
      <c r="C7" s="231">
        <v>2</v>
      </c>
      <c r="D7" s="231">
        <v>1</v>
      </c>
      <c r="E7" s="231">
        <v>0</v>
      </c>
      <c r="F7" s="231">
        <v>1</v>
      </c>
      <c r="G7" s="231">
        <v>1</v>
      </c>
      <c r="H7" s="231">
        <v>3</v>
      </c>
      <c r="I7" s="231">
        <v>1</v>
      </c>
      <c r="J7" s="231">
        <v>0</v>
      </c>
      <c r="K7" s="231">
        <v>1</v>
      </c>
      <c r="L7" s="231">
        <v>1</v>
      </c>
      <c r="M7" s="135">
        <f t="shared" si="0"/>
        <v>5</v>
      </c>
      <c r="N7" s="285">
        <f t="shared" si="1"/>
        <v>1</v>
      </c>
      <c r="O7" s="285">
        <f t="shared" si="2"/>
        <v>0</v>
      </c>
      <c r="P7" s="285">
        <f t="shared" si="5"/>
        <v>1</v>
      </c>
      <c r="Q7" s="285">
        <f t="shared" si="4"/>
        <v>1</v>
      </c>
    </row>
    <row r="8" spans="1:17">
      <c r="A8" s="378"/>
      <c r="B8" s="118" t="s">
        <v>496</v>
      </c>
      <c r="C8" s="231">
        <v>2</v>
      </c>
      <c r="D8" s="231">
        <v>0.28497474747474749</v>
      </c>
      <c r="E8" s="231">
        <v>1.7320544892700799E-2</v>
      </c>
      <c r="F8" s="231">
        <v>0.33693638215284988</v>
      </c>
      <c r="G8" s="231">
        <v>0.23301311279664511</v>
      </c>
      <c r="H8" s="231">
        <v>3</v>
      </c>
      <c r="I8" s="231">
        <v>0.58766107697559311</v>
      </c>
      <c r="J8" s="231">
        <v>0.26298678839500095</v>
      </c>
      <c r="K8" s="231">
        <v>0.850647865370594</v>
      </c>
      <c r="L8" s="231">
        <v>0.32467428858059216</v>
      </c>
      <c r="M8" s="135">
        <f t="shared" si="0"/>
        <v>5</v>
      </c>
      <c r="N8" s="136">
        <f t="shared" si="1"/>
        <v>0.46658654517525483</v>
      </c>
      <c r="O8" s="136">
        <f t="shared" si="2"/>
        <v>0.14015366664385087</v>
      </c>
      <c r="P8" s="136">
        <f t="shared" si="3"/>
        <v>0.850647865370594</v>
      </c>
      <c r="Q8" s="136">
        <f t="shared" si="4"/>
        <v>0.23301311279664511</v>
      </c>
    </row>
    <row r="9" spans="1:17">
      <c r="A9" s="378"/>
      <c r="B9" s="118" t="s">
        <v>497</v>
      </c>
      <c r="C9" s="231">
        <v>2</v>
      </c>
      <c r="D9" s="231">
        <v>1</v>
      </c>
      <c r="E9" s="231">
        <v>0</v>
      </c>
      <c r="F9" s="231">
        <v>1</v>
      </c>
      <c r="G9" s="231">
        <v>1</v>
      </c>
      <c r="H9" s="231">
        <v>3</v>
      </c>
      <c r="I9" s="231">
        <v>1</v>
      </c>
      <c r="J9" s="231">
        <v>0</v>
      </c>
      <c r="K9" s="231">
        <v>1</v>
      </c>
      <c r="L9" s="231">
        <v>1</v>
      </c>
      <c r="M9" s="135">
        <f t="shared" si="0"/>
        <v>5</v>
      </c>
      <c r="N9" s="285">
        <f t="shared" si="1"/>
        <v>1</v>
      </c>
      <c r="O9" s="285">
        <f t="shared" si="2"/>
        <v>0</v>
      </c>
      <c r="P9" s="285">
        <f t="shared" si="5"/>
        <v>1</v>
      </c>
      <c r="Q9" s="285">
        <f t="shared" si="4"/>
        <v>1</v>
      </c>
    </row>
    <row r="10" spans="1:17">
      <c r="A10" s="378"/>
      <c r="B10" s="118" t="s">
        <v>498</v>
      </c>
      <c r="C10" s="231">
        <v>2</v>
      </c>
      <c r="D10" s="231">
        <v>1</v>
      </c>
      <c r="E10" s="231">
        <v>0</v>
      </c>
      <c r="F10" s="231">
        <v>1</v>
      </c>
      <c r="G10" s="231">
        <v>1</v>
      </c>
      <c r="H10" s="231">
        <v>3</v>
      </c>
      <c r="I10" s="231">
        <v>1</v>
      </c>
      <c r="J10" s="231">
        <v>0</v>
      </c>
      <c r="K10" s="231">
        <v>1</v>
      </c>
      <c r="L10" s="231">
        <v>1</v>
      </c>
      <c r="M10" s="135">
        <f t="shared" si="0"/>
        <v>5</v>
      </c>
      <c r="N10" s="285">
        <f t="shared" si="1"/>
        <v>1</v>
      </c>
      <c r="O10" s="285">
        <f t="shared" si="2"/>
        <v>0</v>
      </c>
      <c r="P10" s="285">
        <f t="shared" si="5"/>
        <v>1</v>
      </c>
      <c r="Q10" s="285">
        <f t="shared" si="4"/>
        <v>1</v>
      </c>
    </row>
    <row r="11" spans="1:17">
      <c r="A11" s="378"/>
      <c r="B11" s="118" t="s">
        <v>499</v>
      </c>
      <c r="C11" s="231">
        <v>2</v>
      </c>
      <c r="D11" s="231">
        <v>0.94984999999999997</v>
      </c>
      <c r="E11" s="231">
        <v>4.8719657223753099E-2</v>
      </c>
      <c r="F11" s="231">
        <v>1.0960089716712593</v>
      </c>
      <c r="G11" s="231">
        <v>0.80369102832874062</v>
      </c>
      <c r="H11" s="231">
        <v>3</v>
      </c>
      <c r="I11" s="231" t="s">
        <v>87</v>
      </c>
      <c r="J11" s="231" t="s">
        <v>87</v>
      </c>
      <c r="K11" s="231" t="s">
        <v>87</v>
      </c>
      <c r="L11" s="231" t="s">
        <v>87</v>
      </c>
      <c r="M11" s="135">
        <f t="shared" si="0"/>
        <v>5</v>
      </c>
      <c r="N11" s="285" t="str">
        <f t="shared" si="1"/>
        <v/>
      </c>
      <c r="O11" s="285" t="str">
        <f t="shared" si="2"/>
        <v/>
      </c>
      <c r="P11" s="285">
        <f>IFERROR(IF(MAXA(F11,K11)&gt;1,1,MAXA(F11,K11)),"")</f>
        <v>1</v>
      </c>
      <c r="Q11" s="285">
        <f t="shared" si="4"/>
        <v>0</v>
      </c>
    </row>
    <row r="12" spans="1:17">
      <c r="A12" s="378"/>
      <c r="B12" s="118" t="s">
        <v>500</v>
      </c>
      <c r="C12" s="231">
        <v>2</v>
      </c>
      <c r="D12" s="231">
        <v>0.96550000000000002</v>
      </c>
      <c r="E12" s="231" t="s">
        <v>87</v>
      </c>
      <c r="F12" s="231" t="s">
        <v>87</v>
      </c>
      <c r="G12" s="231" t="s">
        <v>87</v>
      </c>
      <c r="H12" s="231">
        <v>3</v>
      </c>
      <c r="I12" s="231">
        <v>1</v>
      </c>
      <c r="J12" s="231" t="s">
        <v>87</v>
      </c>
      <c r="K12" s="231" t="s">
        <v>87</v>
      </c>
      <c r="L12" s="231" t="s">
        <v>87</v>
      </c>
      <c r="M12" s="135">
        <f t="shared" si="0"/>
        <v>5</v>
      </c>
      <c r="N12" s="285">
        <f t="shared" si="1"/>
        <v>0.98619999999999997</v>
      </c>
      <c r="O12" s="285" t="str">
        <f t="shared" si="2"/>
        <v/>
      </c>
      <c r="P12" s="285">
        <f>IFERROR(IF(MAXA(F12,K12)&gt;1,1,MAXA(F12,K12)),"")</f>
        <v>0</v>
      </c>
      <c r="Q12" s="285">
        <f t="shared" si="4"/>
        <v>0</v>
      </c>
    </row>
    <row r="13" spans="1:17">
      <c r="A13" s="378"/>
      <c r="B13" s="118" t="s">
        <v>501</v>
      </c>
      <c r="C13" s="231">
        <v>2</v>
      </c>
      <c r="D13" s="231" t="s">
        <v>87</v>
      </c>
      <c r="E13" s="231" t="s">
        <v>87</v>
      </c>
      <c r="F13" s="231" t="s">
        <v>87</v>
      </c>
      <c r="G13" s="231" t="s">
        <v>87</v>
      </c>
      <c r="H13" s="231">
        <v>3</v>
      </c>
      <c r="I13" s="231">
        <v>0</v>
      </c>
      <c r="J13" s="231">
        <v>0</v>
      </c>
      <c r="K13" s="231">
        <v>0</v>
      </c>
      <c r="L13" s="231">
        <v>0</v>
      </c>
      <c r="M13" s="135">
        <f t="shared" si="0"/>
        <v>5</v>
      </c>
      <c r="N13" s="136" t="str">
        <f t="shared" si="1"/>
        <v/>
      </c>
      <c r="O13" s="136" t="str">
        <f t="shared" si="2"/>
        <v/>
      </c>
      <c r="P13" s="136">
        <f t="shared" si="3"/>
        <v>0</v>
      </c>
      <c r="Q13" s="136">
        <f t="shared" si="4"/>
        <v>0</v>
      </c>
    </row>
    <row r="14" spans="1:17">
      <c r="A14" s="378"/>
      <c r="B14" s="118" t="s">
        <v>502</v>
      </c>
      <c r="C14" s="231">
        <v>2</v>
      </c>
      <c r="D14" s="231" t="s">
        <v>87</v>
      </c>
      <c r="E14" s="231" t="s">
        <v>87</v>
      </c>
      <c r="F14" s="231" t="s">
        <v>87</v>
      </c>
      <c r="G14" s="231" t="s">
        <v>87</v>
      </c>
      <c r="H14" s="231">
        <v>3</v>
      </c>
      <c r="I14" s="231">
        <v>0</v>
      </c>
      <c r="J14" s="231">
        <v>0</v>
      </c>
      <c r="K14" s="231">
        <v>0</v>
      </c>
      <c r="L14" s="231">
        <v>0</v>
      </c>
      <c r="M14" s="135">
        <f t="shared" si="0"/>
        <v>5</v>
      </c>
      <c r="N14" s="136" t="str">
        <f t="shared" si="1"/>
        <v/>
      </c>
      <c r="O14" s="136" t="str">
        <f t="shared" si="2"/>
        <v/>
      </c>
      <c r="P14" s="136">
        <f t="shared" si="3"/>
        <v>0</v>
      </c>
      <c r="Q14" s="136">
        <f t="shared" si="4"/>
        <v>0</v>
      </c>
    </row>
    <row r="15" spans="1:17">
      <c r="A15" s="379"/>
      <c r="B15" s="118" t="s">
        <v>503</v>
      </c>
      <c r="C15" s="231">
        <v>0</v>
      </c>
      <c r="D15" s="231" t="s">
        <v>87</v>
      </c>
      <c r="E15" s="231" t="s">
        <v>87</v>
      </c>
      <c r="F15" s="231" t="s">
        <v>87</v>
      </c>
      <c r="G15" s="231" t="s">
        <v>87</v>
      </c>
      <c r="H15" s="231">
        <v>0</v>
      </c>
      <c r="I15" s="231" t="s">
        <v>87</v>
      </c>
      <c r="J15" s="231" t="s">
        <v>87</v>
      </c>
      <c r="K15" s="231" t="s">
        <v>87</v>
      </c>
      <c r="L15" s="231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</sheetData>
  <mergeCells count="5">
    <mergeCell ref="A6:A15"/>
    <mergeCell ref="A1:B2"/>
    <mergeCell ref="C1:G1"/>
    <mergeCell ref="H1:L1"/>
    <mergeCell ref="M1:Q1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Q4"/>
  <sheetViews>
    <sheetView workbookViewId="0">
      <selection activeCell="D18" sqref="D18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3" width="9" style="116"/>
    <col min="14" max="15" width="9.5" style="116" bestFit="1" customWidth="1"/>
    <col min="16" max="17" width="9.125" style="116" bestFit="1" customWidth="1"/>
    <col min="18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94" t="s">
        <v>510</v>
      </c>
      <c r="B3" s="309" t="s">
        <v>508</v>
      </c>
      <c r="C3" s="304">
        <v>3</v>
      </c>
      <c r="D3" s="305">
        <v>4103.6625391849529</v>
      </c>
      <c r="E3" s="305">
        <v>6307.3759971839781</v>
      </c>
      <c r="F3" s="305">
        <v>10411.038536368931</v>
      </c>
      <c r="G3" s="305">
        <v>0</v>
      </c>
      <c r="H3" s="304">
        <v>6</v>
      </c>
      <c r="I3" s="305">
        <v>9207.1584607768182</v>
      </c>
      <c r="J3" s="305">
        <v>16288.907634213163</v>
      </c>
      <c r="K3" s="305">
        <v>25496.066094989983</v>
      </c>
      <c r="L3" s="305">
        <v>0</v>
      </c>
      <c r="M3" s="137">
        <f t="shared" ref="M3" si="0">IFERROR(C3+H3,"")</f>
        <v>9</v>
      </c>
      <c r="N3" s="138">
        <f t="shared" ref="N3" si="1">IFERROR((C3*D3+H3*I3)/M3,"")</f>
        <v>7505.9931535795295</v>
      </c>
      <c r="O3" s="138">
        <f t="shared" ref="O3" si="2">IFERROR((E3+J3)/2,"")</f>
        <v>11298.141815698571</v>
      </c>
      <c r="P3" s="138">
        <f t="shared" ref="P3" si="3">IFERROR(MAXA(F3,K3),"")</f>
        <v>25496.066094989983</v>
      </c>
      <c r="Q3" s="138">
        <f t="shared" ref="Q3" si="4">IFERROR(MINA(G3,L3),"")</f>
        <v>0</v>
      </c>
    </row>
    <row r="4" spans="1:17">
      <c r="A4" s="352"/>
      <c r="B4" s="117" t="s">
        <v>509</v>
      </c>
      <c r="C4" s="304">
        <v>3</v>
      </c>
      <c r="D4" s="305">
        <v>75.481904761904772</v>
      </c>
      <c r="E4" s="305">
        <v>67.05805254318345</v>
      </c>
      <c r="F4" s="305">
        <v>142.53995730508822</v>
      </c>
      <c r="G4" s="305">
        <v>8.4238522187213221</v>
      </c>
      <c r="H4" s="304">
        <v>7</v>
      </c>
      <c r="I4" s="305">
        <v>92.08719048201759</v>
      </c>
      <c r="J4" s="305">
        <v>143.89953382413773</v>
      </c>
      <c r="K4" s="305">
        <v>235.98672430615534</v>
      </c>
      <c r="L4" s="305">
        <v>0</v>
      </c>
      <c r="M4" s="137">
        <f t="shared" ref="M4" si="5">IFERROR(C4+H4,"")</f>
        <v>10</v>
      </c>
      <c r="N4" s="138">
        <f t="shared" ref="N4" si="6">IFERROR((C4*D4+H4*I4)/M4,"")</f>
        <v>87.105604765983742</v>
      </c>
      <c r="O4" s="138">
        <f t="shared" ref="O4" si="7">IFERROR((E4+J4)/2,"")</f>
        <v>105.4787931836606</v>
      </c>
      <c r="P4" s="138">
        <f t="shared" ref="P4" si="8">IFERROR(MAXA(F4,K4),"")</f>
        <v>235.98672430615534</v>
      </c>
      <c r="Q4" s="138">
        <f t="shared" ref="Q4" si="9">IFERROR(MINA(G4,L4),"")</f>
        <v>0</v>
      </c>
    </row>
  </sheetData>
  <mergeCells count="5">
    <mergeCell ref="A3:A4"/>
    <mergeCell ref="A1:B2"/>
    <mergeCell ref="C1:G1"/>
    <mergeCell ref="H1:L1"/>
    <mergeCell ref="M1:Q1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"/>
  <sheetViews>
    <sheetView workbookViewId="0">
      <selection activeCell="N16" sqref="N16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52" t="s">
        <v>504</v>
      </c>
      <c r="B3" s="117" t="s">
        <v>505</v>
      </c>
      <c r="C3" s="270">
        <v>2</v>
      </c>
      <c r="D3" s="306">
        <v>1</v>
      </c>
      <c r="E3" s="306">
        <v>0</v>
      </c>
      <c r="F3" s="306">
        <v>1</v>
      </c>
      <c r="G3" s="306">
        <v>1</v>
      </c>
      <c r="H3" s="270">
        <v>1</v>
      </c>
      <c r="I3" s="306">
        <v>0.97478991596638653</v>
      </c>
      <c r="J3" s="306" t="s">
        <v>87</v>
      </c>
      <c r="K3" s="306" t="s">
        <v>87</v>
      </c>
      <c r="L3" s="306" t="s">
        <v>87</v>
      </c>
      <c r="M3" s="137">
        <f t="shared" ref="M3:M10" si="0">IFERROR(C3+H3,"")</f>
        <v>3</v>
      </c>
      <c r="N3" s="308">
        <f t="shared" ref="N3:N10" si="1">IFERROR((C3*D3+H3*I3)/M3,"")</f>
        <v>0.99159663865546221</v>
      </c>
      <c r="O3" s="308" t="str">
        <f t="shared" ref="O3:O10" si="2">IFERROR((E3+J3)/2,"")</f>
        <v/>
      </c>
      <c r="P3" s="308">
        <f t="shared" ref="P3" si="3">IFERROR(IF(MAXA(F3,K3)&gt;1,1,MAXA(F3,K3)),"")</f>
        <v>1</v>
      </c>
      <c r="Q3" s="308">
        <f t="shared" ref="Q3:Q10" si="4">IFERROR(MINA(G3,L3),"")</f>
        <v>0</v>
      </c>
    </row>
    <row r="4" spans="1:17">
      <c r="A4" s="352"/>
      <c r="B4" s="118" t="s">
        <v>506</v>
      </c>
      <c r="C4" s="270">
        <v>2</v>
      </c>
      <c r="D4" s="307">
        <v>0.67045454545454541</v>
      </c>
      <c r="E4" s="307">
        <v>0.1124942606433154</v>
      </c>
      <c r="F4" s="307">
        <v>0.78294880609786077</v>
      </c>
      <c r="G4" s="307">
        <v>0.55796028481123006</v>
      </c>
      <c r="H4" s="270">
        <v>1</v>
      </c>
      <c r="I4" s="307">
        <v>1</v>
      </c>
      <c r="J4" s="307" t="s">
        <v>87</v>
      </c>
      <c r="K4" s="307" t="s">
        <v>87</v>
      </c>
      <c r="L4" s="307" t="s">
        <v>87</v>
      </c>
      <c r="M4" s="137">
        <f t="shared" si="0"/>
        <v>3</v>
      </c>
      <c r="N4" s="138">
        <f t="shared" si="1"/>
        <v>0.78030303030303028</v>
      </c>
      <c r="O4" s="138" t="str">
        <f t="shared" si="2"/>
        <v/>
      </c>
      <c r="P4" s="138">
        <f t="shared" ref="P4:P10" si="5">IFERROR(MAXA(F4,K4),"")</f>
        <v>0.78294880609786077</v>
      </c>
      <c r="Q4" s="138">
        <f t="shared" si="4"/>
        <v>0</v>
      </c>
    </row>
    <row r="5" spans="1:17">
      <c r="A5" s="352"/>
      <c r="B5" s="118" t="s">
        <v>507</v>
      </c>
      <c r="C5" s="270">
        <v>2</v>
      </c>
      <c r="D5" s="307">
        <v>30.75</v>
      </c>
      <c r="E5" s="307">
        <v>41.36574669941303</v>
      </c>
      <c r="F5" s="307">
        <v>72.115746699413023</v>
      </c>
      <c r="G5" s="307">
        <v>0</v>
      </c>
      <c r="H5" s="270">
        <v>2</v>
      </c>
      <c r="I5" s="307">
        <v>60</v>
      </c>
      <c r="J5" s="307" t="s">
        <v>87</v>
      </c>
      <c r="K5" s="307" t="s">
        <v>87</v>
      </c>
      <c r="L5" s="307" t="s">
        <v>87</v>
      </c>
      <c r="M5" s="137">
        <f t="shared" si="0"/>
        <v>4</v>
      </c>
      <c r="N5" s="138">
        <f t="shared" si="1"/>
        <v>45.375</v>
      </c>
      <c r="O5" s="138" t="str">
        <f t="shared" si="2"/>
        <v/>
      </c>
      <c r="P5" s="138">
        <f t="shared" si="5"/>
        <v>72.115746699413023</v>
      </c>
      <c r="Q5" s="138">
        <f t="shared" si="4"/>
        <v>0</v>
      </c>
    </row>
    <row r="6" spans="1:17">
      <c r="A6" s="352"/>
      <c r="B6" s="118" t="s">
        <v>397</v>
      </c>
      <c r="C6" s="270">
        <v>2</v>
      </c>
      <c r="D6" s="307">
        <v>0</v>
      </c>
      <c r="E6" s="307">
        <v>0</v>
      </c>
      <c r="F6" s="307">
        <v>0</v>
      </c>
      <c r="G6" s="307">
        <v>0</v>
      </c>
      <c r="H6" s="270">
        <v>2</v>
      </c>
      <c r="I6" s="307">
        <v>0</v>
      </c>
      <c r="J6" s="307" t="s">
        <v>87</v>
      </c>
      <c r="K6" s="307" t="s">
        <v>87</v>
      </c>
      <c r="L6" s="307" t="s">
        <v>87</v>
      </c>
      <c r="M6" s="137">
        <f t="shared" si="0"/>
        <v>4</v>
      </c>
      <c r="N6" s="138">
        <f t="shared" si="1"/>
        <v>0</v>
      </c>
      <c r="O6" s="138" t="str">
        <f t="shared" si="2"/>
        <v/>
      </c>
      <c r="P6" s="138">
        <f t="shared" si="5"/>
        <v>0</v>
      </c>
      <c r="Q6" s="138">
        <f t="shared" si="4"/>
        <v>0</v>
      </c>
    </row>
    <row r="7" spans="1:17">
      <c r="A7" s="351" t="s">
        <v>392</v>
      </c>
      <c r="B7" s="118" t="s">
        <v>393</v>
      </c>
      <c r="C7" s="270">
        <v>2</v>
      </c>
      <c r="D7" s="307">
        <v>0</v>
      </c>
      <c r="E7" s="307" t="s">
        <v>87</v>
      </c>
      <c r="F7" s="307" t="s">
        <v>87</v>
      </c>
      <c r="G7" s="307" t="s">
        <v>87</v>
      </c>
      <c r="H7" s="270">
        <v>2</v>
      </c>
      <c r="I7" s="307" t="s">
        <v>87</v>
      </c>
      <c r="J7" s="307" t="s">
        <v>87</v>
      </c>
      <c r="K7" s="307" t="s">
        <v>87</v>
      </c>
      <c r="L7" s="307" t="s">
        <v>87</v>
      </c>
      <c r="M7" s="137">
        <f t="shared" si="0"/>
        <v>4</v>
      </c>
      <c r="N7" s="138" t="str">
        <f t="shared" si="1"/>
        <v/>
      </c>
      <c r="O7" s="138" t="str">
        <f t="shared" si="2"/>
        <v/>
      </c>
      <c r="P7" s="138">
        <f t="shared" si="5"/>
        <v>0</v>
      </c>
      <c r="Q7" s="138">
        <f t="shared" si="4"/>
        <v>0</v>
      </c>
    </row>
    <row r="8" spans="1:17">
      <c r="A8" s="351"/>
      <c r="B8" s="118" t="s">
        <v>394</v>
      </c>
      <c r="C8" s="270">
        <v>2</v>
      </c>
      <c r="D8" s="306">
        <v>1</v>
      </c>
      <c r="E8" s="306">
        <v>0</v>
      </c>
      <c r="F8" s="306">
        <v>1</v>
      </c>
      <c r="G8" s="306">
        <v>1</v>
      </c>
      <c r="H8" s="270">
        <v>2</v>
      </c>
      <c r="I8" s="306">
        <v>1</v>
      </c>
      <c r="J8" s="306" t="s">
        <v>87</v>
      </c>
      <c r="K8" s="306" t="s">
        <v>87</v>
      </c>
      <c r="L8" s="306" t="s">
        <v>87</v>
      </c>
      <c r="M8" s="137">
        <f t="shared" si="0"/>
        <v>4</v>
      </c>
      <c r="N8" s="308">
        <f t="shared" si="1"/>
        <v>1</v>
      </c>
      <c r="O8" s="308" t="str">
        <f t="shared" si="2"/>
        <v/>
      </c>
      <c r="P8" s="308">
        <f t="shared" ref="P8" si="6">IFERROR(IF(MAXA(F8,K8)&gt;1,1,MAXA(F8,K8)),"")</f>
        <v>1</v>
      </c>
      <c r="Q8" s="308">
        <f t="shared" si="4"/>
        <v>0</v>
      </c>
    </row>
    <row r="9" spans="1:17">
      <c r="A9" s="351"/>
      <c r="B9" s="118" t="s">
        <v>395</v>
      </c>
      <c r="C9" s="270">
        <v>2</v>
      </c>
      <c r="D9" s="307">
        <v>2</v>
      </c>
      <c r="E9" s="307">
        <v>1.4142135623730951</v>
      </c>
      <c r="F9" s="307">
        <v>3.4142135623730949</v>
      </c>
      <c r="G9" s="307">
        <v>0.58578643762690485</v>
      </c>
      <c r="H9" s="270">
        <v>2</v>
      </c>
      <c r="I9" s="307" t="s">
        <v>87</v>
      </c>
      <c r="J9" s="307" t="s">
        <v>87</v>
      </c>
      <c r="K9" s="307" t="s">
        <v>87</v>
      </c>
      <c r="L9" s="307" t="s">
        <v>87</v>
      </c>
      <c r="M9" s="137">
        <f t="shared" si="0"/>
        <v>4</v>
      </c>
      <c r="N9" s="138" t="str">
        <f t="shared" si="1"/>
        <v/>
      </c>
      <c r="O9" s="138" t="str">
        <f t="shared" si="2"/>
        <v/>
      </c>
      <c r="P9" s="138">
        <f t="shared" si="5"/>
        <v>3.4142135623730949</v>
      </c>
      <c r="Q9" s="138">
        <f t="shared" si="4"/>
        <v>0</v>
      </c>
    </row>
    <row r="10" spans="1:17">
      <c r="A10" s="351"/>
      <c r="B10" s="118" t="s">
        <v>396</v>
      </c>
      <c r="C10" s="270">
        <v>2</v>
      </c>
      <c r="D10" s="307">
        <v>15</v>
      </c>
      <c r="E10" s="307" t="s">
        <v>87</v>
      </c>
      <c r="F10" s="307" t="s">
        <v>87</v>
      </c>
      <c r="G10" s="307" t="s">
        <v>87</v>
      </c>
      <c r="H10" s="270">
        <v>2</v>
      </c>
      <c r="I10" s="307">
        <v>1</v>
      </c>
      <c r="J10" s="307" t="s">
        <v>87</v>
      </c>
      <c r="K10" s="307" t="s">
        <v>87</v>
      </c>
      <c r="L10" s="307" t="s">
        <v>87</v>
      </c>
      <c r="M10" s="137">
        <f t="shared" si="0"/>
        <v>4</v>
      </c>
      <c r="N10" s="138">
        <f t="shared" si="1"/>
        <v>8</v>
      </c>
      <c r="O10" s="138" t="str">
        <f t="shared" si="2"/>
        <v/>
      </c>
      <c r="P10" s="138">
        <f t="shared" si="5"/>
        <v>0</v>
      </c>
      <c r="Q10" s="138">
        <f t="shared" si="4"/>
        <v>0</v>
      </c>
    </row>
  </sheetData>
  <mergeCells count="6">
    <mergeCell ref="M1:Q1"/>
    <mergeCell ref="A3:A6"/>
    <mergeCell ref="A7:A10"/>
    <mergeCell ref="A1:B2"/>
    <mergeCell ref="C1:G1"/>
    <mergeCell ref="H1:L1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7"/>
  <sheetViews>
    <sheetView topLeftCell="A16" workbookViewId="0">
      <selection activeCell="N25" sqref="N25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51" t="s">
        <v>258</v>
      </c>
      <c r="B3" s="117" t="s">
        <v>259</v>
      </c>
      <c r="C3" s="281">
        <v>16</v>
      </c>
      <c r="D3" s="282">
        <v>45.829019440222893</v>
      </c>
      <c r="E3" s="282">
        <v>18.148649856707845</v>
      </c>
      <c r="F3" s="282">
        <v>63.977669296930742</v>
      </c>
      <c r="G3" s="282">
        <v>27.680369583515049</v>
      </c>
      <c r="H3" s="281">
        <v>16</v>
      </c>
      <c r="I3" s="282">
        <v>45.412379134451015</v>
      </c>
      <c r="J3" s="282">
        <v>19.32408714881619</v>
      </c>
      <c r="K3" s="282">
        <v>64.736466283267205</v>
      </c>
      <c r="L3" s="282">
        <v>26.088291985634825</v>
      </c>
      <c r="M3" s="135">
        <f>IFERROR(C3+H3,"")</f>
        <v>32</v>
      </c>
      <c r="N3" s="136">
        <f>IFERROR((C3*D3+H3*I3)/M3,"")</f>
        <v>45.620699287336954</v>
      </c>
      <c r="O3" s="136">
        <f>IFERROR((E3+J3)/2,"")</f>
        <v>18.736368502762019</v>
      </c>
      <c r="P3" s="136">
        <f>IFERROR(MAXA(F3,K3),"")</f>
        <v>64.736466283267205</v>
      </c>
      <c r="Q3" s="136">
        <f>IFERROR(MINA(G3,L3),"")</f>
        <v>26.088291985634825</v>
      </c>
    </row>
    <row r="4" spans="1:17">
      <c r="A4" s="351"/>
      <c r="B4" s="118" t="s">
        <v>333</v>
      </c>
      <c r="C4" s="281">
        <v>18</v>
      </c>
      <c r="D4" s="282">
        <v>53.9989463873397</v>
      </c>
      <c r="E4" s="282">
        <v>16.311426751488867</v>
      </c>
      <c r="F4" s="282">
        <v>70.310373138828567</v>
      </c>
      <c r="G4" s="282">
        <v>37.687519635850833</v>
      </c>
      <c r="H4" s="281">
        <v>21</v>
      </c>
      <c r="I4" s="282">
        <v>54.068812230150073</v>
      </c>
      <c r="J4" s="282">
        <v>14.996303774174796</v>
      </c>
      <c r="K4" s="282">
        <v>69.065116004324864</v>
      </c>
      <c r="L4" s="282">
        <v>39.072508455975274</v>
      </c>
      <c r="M4" s="135">
        <f t="shared" ref="M4:M6" si="0">IFERROR(C4+H4,"")</f>
        <v>39</v>
      </c>
      <c r="N4" s="136">
        <f t="shared" ref="N4:N6" si="1">IFERROR((C4*D4+H4*I4)/M4,"")</f>
        <v>54.03656645654528</v>
      </c>
      <c r="O4" s="136">
        <f t="shared" ref="O4:O6" si="2">IFERROR((E4+J4)/2,"")</f>
        <v>15.653865262831832</v>
      </c>
      <c r="P4" s="136">
        <f t="shared" ref="P4:P6" si="3">IFERROR(MAXA(F4,K4),"")</f>
        <v>70.310373138828567</v>
      </c>
      <c r="Q4" s="136">
        <f t="shared" ref="Q4:Q6" si="4">IFERROR(MINA(G4,L4),"")</f>
        <v>37.687519635850833</v>
      </c>
    </row>
    <row r="5" spans="1:17">
      <c r="A5" s="351"/>
      <c r="B5" s="118" t="s">
        <v>263</v>
      </c>
      <c r="C5" s="281">
        <v>20</v>
      </c>
      <c r="D5" s="282">
        <v>4.0616527481243647</v>
      </c>
      <c r="E5" s="282">
        <v>3.2775113637767666</v>
      </c>
      <c r="F5" s="282">
        <v>7.3391641119011313</v>
      </c>
      <c r="G5" s="282">
        <v>0.78414138434759817</v>
      </c>
      <c r="H5" s="281">
        <v>34</v>
      </c>
      <c r="I5" s="282">
        <v>4.0881382199143017</v>
      </c>
      <c r="J5" s="282">
        <v>3.0543934384218772</v>
      </c>
      <c r="K5" s="282">
        <v>7.1425316583361784</v>
      </c>
      <c r="L5" s="282">
        <v>1.0337447814924245</v>
      </c>
      <c r="M5" s="135">
        <f t="shared" si="0"/>
        <v>54</v>
      </c>
      <c r="N5" s="136">
        <f t="shared" si="1"/>
        <v>4.0783287859180284</v>
      </c>
      <c r="O5" s="136">
        <f t="shared" si="2"/>
        <v>3.1659524010993216</v>
      </c>
      <c r="P5" s="136">
        <f t="shared" si="3"/>
        <v>7.3391641119011313</v>
      </c>
      <c r="Q5" s="136">
        <f t="shared" si="4"/>
        <v>0.78414138434759817</v>
      </c>
    </row>
    <row r="6" spans="1:17">
      <c r="A6" s="351"/>
      <c r="B6" s="118" t="s">
        <v>257</v>
      </c>
      <c r="C6" s="281">
        <v>20</v>
      </c>
      <c r="D6" s="282">
        <v>5.3030755378720205</v>
      </c>
      <c r="E6" s="282">
        <v>3.8093913342538177</v>
      </c>
      <c r="F6" s="282">
        <v>9.1124668721258377</v>
      </c>
      <c r="G6" s="282">
        <v>1.4936842036182028</v>
      </c>
      <c r="H6" s="281">
        <v>34</v>
      </c>
      <c r="I6" s="282">
        <v>5.1151699953775607</v>
      </c>
      <c r="J6" s="282">
        <v>3.3548542582181948</v>
      </c>
      <c r="K6" s="282">
        <v>8.4700242535957564</v>
      </c>
      <c r="L6" s="282">
        <v>1.7603157371593658</v>
      </c>
      <c r="M6" s="135">
        <f t="shared" si="0"/>
        <v>54</v>
      </c>
      <c r="N6" s="136">
        <f t="shared" si="1"/>
        <v>5.1847646407458789</v>
      </c>
      <c r="O6" s="136">
        <f t="shared" si="2"/>
        <v>3.582122796236006</v>
      </c>
      <c r="P6" s="136">
        <f t="shared" si="3"/>
        <v>9.1124668721258377</v>
      </c>
      <c r="Q6" s="136">
        <f t="shared" si="4"/>
        <v>1.4936842036182028</v>
      </c>
    </row>
    <row r="7" spans="1:17">
      <c r="A7" s="351"/>
      <c r="B7" s="118" t="s">
        <v>329</v>
      </c>
      <c r="C7" s="281">
        <v>0</v>
      </c>
      <c r="D7" s="282" t="s">
        <v>87</v>
      </c>
      <c r="E7" s="282" t="s">
        <v>87</v>
      </c>
      <c r="F7" s="282" t="s">
        <v>87</v>
      </c>
      <c r="G7" s="282" t="s">
        <v>87</v>
      </c>
      <c r="H7" s="281">
        <v>0</v>
      </c>
      <c r="I7" s="282" t="s">
        <v>87</v>
      </c>
      <c r="J7" s="282" t="s">
        <v>87</v>
      </c>
      <c r="K7" s="282" t="s">
        <v>87</v>
      </c>
      <c r="L7" s="282" t="s">
        <v>87</v>
      </c>
      <c r="M7" s="135">
        <f t="shared" ref="M7:M47" si="5">IFERROR(C7+H7,"")</f>
        <v>0</v>
      </c>
      <c r="N7" s="136" t="str">
        <f t="shared" ref="N7:N47" si="6">IFERROR((C7*D7+H7*I7)/M7,"")</f>
        <v/>
      </c>
      <c r="O7" s="136" t="str">
        <f t="shared" ref="O7:O47" si="7">IFERROR((E7+J7)/2,"")</f>
        <v/>
      </c>
      <c r="P7" s="136">
        <f t="shared" ref="P7:P47" si="8">IFERROR(MAXA(F7,K7),"")</f>
        <v>0</v>
      </c>
      <c r="Q7" s="136">
        <f t="shared" ref="Q7:Q47" si="9">IFERROR(MINA(G7,L7),"")</f>
        <v>0</v>
      </c>
    </row>
    <row r="8" spans="1:17">
      <c r="A8" s="351"/>
      <c r="B8" s="118" t="s">
        <v>264</v>
      </c>
      <c r="C8" s="281">
        <v>0</v>
      </c>
      <c r="D8" s="282" t="s">
        <v>87</v>
      </c>
      <c r="E8" s="282" t="s">
        <v>87</v>
      </c>
      <c r="F8" s="282" t="s">
        <v>87</v>
      </c>
      <c r="G8" s="282" t="s">
        <v>87</v>
      </c>
      <c r="H8" s="281">
        <v>0</v>
      </c>
      <c r="I8" s="282" t="s">
        <v>87</v>
      </c>
      <c r="J8" s="282" t="s">
        <v>87</v>
      </c>
      <c r="K8" s="282" t="s">
        <v>87</v>
      </c>
      <c r="L8" s="282" t="s">
        <v>87</v>
      </c>
      <c r="M8" s="135">
        <f t="shared" si="5"/>
        <v>0</v>
      </c>
      <c r="N8" s="136" t="str">
        <f t="shared" si="6"/>
        <v/>
      </c>
      <c r="O8" s="136" t="str">
        <f t="shared" si="7"/>
        <v/>
      </c>
      <c r="P8" s="136">
        <f t="shared" si="8"/>
        <v>0</v>
      </c>
      <c r="Q8" s="136">
        <f t="shared" si="9"/>
        <v>0</v>
      </c>
    </row>
    <row r="9" spans="1:17">
      <c r="A9" s="351"/>
      <c r="B9" s="118" t="s">
        <v>265</v>
      </c>
      <c r="C9" s="281">
        <v>28</v>
      </c>
      <c r="D9" s="282">
        <v>221.34824618612009</v>
      </c>
      <c r="E9" s="282">
        <v>100.14084662282873</v>
      </c>
      <c r="F9" s="282">
        <v>321.48909280894884</v>
      </c>
      <c r="G9" s="282">
        <v>121.20739956329136</v>
      </c>
      <c r="H9" s="281">
        <v>38</v>
      </c>
      <c r="I9" s="282">
        <v>269.80896311961118</v>
      </c>
      <c r="J9" s="282">
        <v>137.28305318326133</v>
      </c>
      <c r="K9" s="282">
        <v>407.09201630287248</v>
      </c>
      <c r="L9" s="282">
        <v>132.52590993634985</v>
      </c>
      <c r="M9" s="135">
        <f t="shared" si="5"/>
        <v>66</v>
      </c>
      <c r="N9" s="136">
        <f t="shared" si="6"/>
        <v>249.24987108722101</v>
      </c>
      <c r="O9" s="136">
        <f t="shared" si="7"/>
        <v>118.71194990304502</v>
      </c>
      <c r="P9" s="136">
        <f t="shared" si="8"/>
        <v>407.09201630287248</v>
      </c>
      <c r="Q9" s="136">
        <f t="shared" si="9"/>
        <v>121.20739956329136</v>
      </c>
    </row>
    <row r="10" spans="1:17">
      <c r="A10" s="351"/>
      <c r="B10" s="118" t="s">
        <v>266</v>
      </c>
      <c r="C10" s="281">
        <v>0</v>
      </c>
      <c r="D10" s="282" t="s">
        <v>87</v>
      </c>
      <c r="E10" s="282" t="s">
        <v>87</v>
      </c>
      <c r="F10" s="282" t="s">
        <v>87</v>
      </c>
      <c r="G10" s="282" t="s">
        <v>87</v>
      </c>
      <c r="H10" s="281">
        <v>24</v>
      </c>
      <c r="I10" s="282">
        <v>0</v>
      </c>
      <c r="J10" s="282">
        <v>0</v>
      </c>
      <c r="K10" s="282">
        <v>0</v>
      </c>
      <c r="L10" s="282">
        <v>0</v>
      </c>
      <c r="M10" s="281">
        <v>24</v>
      </c>
      <c r="N10" s="282">
        <v>0</v>
      </c>
      <c r="O10" s="282">
        <v>0</v>
      </c>
      <c r="P10" s="282">
        <v>0</v>
      </c>
      <c r="Q10" s="282">
        <v>0</v>
      </c>
    </row>
    <row r="11" spans="1:17">
      <c r="A11" s="351"/>
      <c r="B11" s="118" t="s">
        <v>267</v>
      </c>
      <c r="C11" s="281">
        <v>54</v>
      </c>
      <c r="D11" s="284">
        <v>8.0655521508577986E-3</v>
      </c>
      <c r="E11" s="284">
        <v>1.5286520712796771E-2</v>
      </c>
      <c r="F11" s="284">
        <v>2.3352072863654569E-2</v>
      </c>
      <c r="G11" s="284">
        <v>0</v>
      </c>
      <c r="H11" s="281">
        <v>78</v>
      </c>
      <c r="I11" s="283">
        <v>8.7316777249204884E-3</v>
      </c>
      <c r="J11" s="283">
        <v>2.1024541821950255E-2</v>
      </c>
      <c r="K11" s="283">
        <v>2.9756219546870744E-2</v>
      </c>
      <c r="L11" s="283">
        <v>0</v>
      </c>
      <c r="M11" s="135">
        <f t="shared" si="5"/>
        <v>132</v>
      </c>
      <c r="N11" s="285">
        <f t="shared" si="6"/>
        <v>8.4591718082584789E-3</v>
      </c>
      <c r="O11" s="285">
        <f t="shared" si="7"/>
        <v>1.8155531267373515E-2</v>
      </c>
      <c r="P11" s="285">
        <f t="shared" si="8"/>
        <v>2.9756219546870744E-2</v>
      </c>
      <c r="Q11" s="285">
        <f t="shared" si="9"/>
        <v>0</v>
      </c>
    </row>
    <row r="12" spans="1:17">
      <c r="A12" s="351"/>
      <c r="B12" s="118" t="s">
        <v>355</v>
      </c>
      <c r="C12" s="281">
        <v>41</v>
      </c>
      <c r="D12" s="284">
        <v>7.1884007964750512E-6</v>
      </c>
      <c r="E12" s="284">
        <v>2.6611856823662787E-2</v>
      </c>
      <c r="F12" s="284">
        <v>2.6619045224459261E-2</v>
      </c>
      <c r="G12" s="284">
        <v>-2.6604668422866313E-2</v>
      </c>
      <c r="H12" s="281">
        <v>42</v>
      </c>
      <c r="I12" s="283">
        <v>-1.7122187653040646E-2</v>
      </c>
      <c r="J12" s="283">
        <v>5.7658311409156983E-2</v>
      </c>
      <c r="K12" s="283">
        <v>4.0536123756116337E-2</v>
      </c>
      <c r="L12" s="283">
        <v>-7.4780499062197636E-2</v>
      </c>
      <c r="M12" s="135">
        <f t="shared" si="5"/>
        <v>83</v>
      </c>
      <c r="N12" s="285">
        <f t="shared" si="6"/>
        <v>-8.6606886384945989E-3</v>
      </c>
      <c r="O12" s="285">
        <f t="shared" si="7"/>
        <v>4.2135084116409885E-2</v>
      </c>
      <c r="P12" s="285">
        <f t="shared" si="8"/>
        <v>4.0536123756116337E-2</v>
      </c>
      <c r="Q12" s="285">
        <f t="shared" si="9"/>
        <v>-7.4780499062197636E-2</v>
      </c>
    </row>
    <row r="13" spans="1:17">
      <c r="A13" s="351"/>
      <c r="B13" s="118" t="s">
        <v>268</v>
      </c>
      <c r="C13" s="281">
        <v>0</v>
      </c>
      <c r="D13" s="284" t="s">
        <v>87</v>
      </c>
      <c r="E13" s="284" t="s">
        <v>87</v>
      </c>
      <c r="F13" s="284" t="s">
        <v>87</v>
      </c>
      <c r="G13" s="284" t="s">
        <v>87</v>
      </c>
      <c r="H13" s="281">
        <v>0</v>
      </c>
      <c r="I13" s="284" t="s">
        <v>87</v>
      </c>
      <c r="J13" s="284" t="s">
        <v>87</v>
      </c>
      <c r="K13" s="284" t="s">
        <v>87</v>
      </c>
      <c r="L13" s="284" t="s">
        <v>87</v>
      </c>
      <c r="M13" s="135">
        <f t="shared" si="5"/>
        <v>0</v>
      </c>
      <c r="N13" s="285" t="str">
        <f t="shared" si="6"/>
        <v/>
      </c>
      <c r="O13" s="285" t="str">
        <f t="shared" si="7"/>
        <v/>
      </c>
      <c r="P13" s="285">
        <f t="shared" si="8"/>
        <v>0</v>
      </c>
      <c r="Q13" s="285">
        <f t="shared" si="9"/>
        <v>0</v>
      </c>
    </row>
    <row r="14" spans="1:17">
      <c r="A14" s="382" t="s">
        <v>269</v>
      </c>
      <c r="B14" s="118" t="s">
        <v>270</v>
      </c>
      <c r="C14" s="281">
        <v>39</v>
      </c>
      <c r="D14" s="284">
        <v>0.99145299145299137</v>
      </c>
      <c r="E14" s="284">
        <v>5.3376051268362361E-2</v>
      </c>
      <c r="F14" s="284">
        <v>1</v>
      </c>
      <c r="G14" s="284">
        <v>0.83132483764790432</v>
      </c>
      <c r="H14" s="281">
        <v>68</v>
      </c>
      <c r="I14" s="284">
        <v>0.98037344930190906</v>
      </c>
      <c r="J14" s="284">
        <v>4.1327063498212448E-2</v>
      </c>
      <c r="K14" s="284">
        <v>1</v>
      </c>
      <c r="L14" s="284">
        <v>0.85639225880727166</v>
      </c>
      <c r="M14" s="135">
        <f t="shared" si="5"/>
        <v>107</v>
      </c>
      <c r="N14" s="285">
        <f t="shared" si="6"/>
        <v>0.9844117870952942</v>
      </c>
      <c r="O14" s="285">
        <f t="shared" si="7"/>
        <v>4.7351557383287404E-2</v>
      </c>
      <c r="P14" s="285">
        <f t="shared" si="8"/>
        <v>1</v>
      </c>
      <c r="Q14" s="285">
        <f t="shared" si="9"/>
        <v>0.83132483764790432</v>
      </c>
    </row>
    <row r="15" spans="1:17">
      <c r="A15" s="382"/>
      <c r="B15" s="118" t="s">
        <v>271</v>
      </c>
      <c r="C15" s="281">
        <v>0</v>
      </c>
      <c r="D15" s="282" t="s">
        <v>87</v>
      </c>
      <c r="E15" s="282" t="s">
        <v>87</v>
      </c>
      <c r="F15" s="282" t="s">
        <v>87</v>
      </c>
      <c r="G15" s="282" t="s">
        <v>87</v>
      </c>
      <c r="H15" s="281">
        <v>0</v>
      </c>
      <c r="I15" s="282" t="s">
        <v>87</v>
      </c>
      <c r="J15" s="282" t="s">
        <v>87</v>
      </c>
      <c r="K15" s="282" t="s">
        <v>87</v>
      </c>
      <c r="L15" s="282" t="s">
        <v>87</v>
      </c>
      <c r="M15" s="135">
        <f t="shared" si="5"/>
        <v>0</v>
      </c>
      <c r="N15" s="136" t="str">
        <f t="shared" si="6"/>
        <v/>
      </c>
      <c r="O15" s="136" t="str">
        <f t="shared" si="7"/>
        <v/>
      </c>
      <c r="P15" s="136">
        <f t="shared" si="8"/>
        <v>0</v>
      </c>
      <c r="Q15" s="136">
        <f t="shared" si="9"/>
        <v>0</v>
      </c>
    </row>
    <row r="16" spans="1:17">
      <c r="A16" s="382"/>
      <c r="B16" s="118" t="s">
        <v>272</v>
      </c>
      <c r="C16" s="281">
        <v>0</v>
      </c>
      <c r="D16" s="282" t="s">
        <v>87</v>
      </c>
      <c r="E16" s="282" t="s">
        <v>87</v>
      </c>
      <c r="F16" s="282" t="s">
        <v>87</v>
      </c>
      <c r="G16" s="282" t="s">
        <v>87</v>
      </c>
      <c r="H16" s="281">
        <v>0</v>
      </c>
      <c r="I16" s="282" t="s">
        <v>87</v>
      </c>
      <c r="J16" s="282" t="s">
        <v>87</v>
      </c>
      <c r="K16" s="282" t="s">
        <v>87</v>
      </c>
      <c r="L16" s="282" t="s">
        <v>87</v>
      </c>
      <c r="M16" s="135">
        <f t="shared" si="5"/>
        <v>0</v>
      </c>
      <c r="N16" s="136" t="str">
        <f t="shared" si="6"/>
        <v/>
      </c>
      <c r="O16" s="136" t="str">
        <f t="shared" si="7"/>
        <v/>
      </c>
      <c r="P16" s="136">
        <f t="shared" si="8"/>
        <v>0</v>
      </c>
      <c r="Q16" s="136">
        <f t="shared" si="9"/>
        <v>0</v>
      </c>
    </row>
    <row r="17" spans="1:17">
      <c r="A17" s="382" t="s">
        <v>273</v>
      </c>
      <c r="B17" s="118" t="s">
        <v>306</v>
      </c>
      <c r="C17" s="281">
        <v>38</v>
      </c>
      <c r="D17" s="282">
        <v>5.4183264331304812</v>
      </c>
      <c r="E17" s="282">
        <v>2.3074753519776072</v>
      </c>
      <c r="F17" s="282">
        <v>7.7258017851080885</v>
      </c>
      <c r="G17" s="282">
        <v>3.110851081152874</v>
      </c>
      <c r="H17" s="281">
        <v>49</v>
      </c>
      <c r="I17" s="282">
        <v>4.939199043783864</v>
      </c>
      <c r="J17" s="282">
        <v>2.77201438275821</v>
      </c>
      <c r="K17" s="282">
        <v>7.7112134265420735</v>
      </c>
      <c r="L17" s="282">
        <v>2.167184661025654</v>
      </c>
      <c r="M17" s="135">
        <f t="shared" si="5"/>
        <v>87</v>
      </c>
      <c r="N17" s="136">
        <f t="shared" si="6"/>
        <v>5.1484730759122712</v>
      </c>
      <c r="O17" s="136">
        <f t="shared" si="7"/>
        <v>2.5397448673679088</v>
      </c>
      <c r="P17" s="136">
        <f t="shared" si="8"/>
        <v>7.7258017851080885</v>
      </c>
      <c r="Q17" s="136">
        <f t="shared" si="9"/>
        <v>2.167184661025654</v>
      </c>
    </row>
    <row r="18" spans="1:17">
      <c r="A18" s="382"/>
      <c r="B18" s="118" t="s">
        <v>274</v>
      </c>
      <c r="C18" s="281">
        <v>31</v>
      </c>
      <c r="D18" s="282">
        <v>0.42555819245987148</v>
      </c>
      <c r="E18" s="282">
        <v>1.0325482302647511</v>
      </c>
      <c r="F18" s="282">
        <v>1.4581064227246225</v>
      </c>
      <c r="G18" s="282">
        <v>0</v>
      </c>
      <c r="H18" s="281">
        <v>65</v>
      </c>
      <c r="I18" s="282">
        <v>0.56316406274896602</v>
      </c>
      <c r="J18" s="282">
        <v>1.8406775518958163</v>
      </c>
      <c r="K18" s="282">
        <v>2.4038416146447821</v>
      </c>
      <c r="L18" s="282">
        <v>0</v>
      </c>
      <c r="M18" s="135">
        <f t="shared" si="5"/>
        <v>96</v>
      </c>
      <c r="N18" s="136">
        <f t="shared" si="6"/>
        <v>0.51872883380144597</v>
      </c>
      <c r="O18" s="136">
        <f t="shared" si="7"/>
        <v>1.4366128910802836</v>
      </c>
      <c r="P18" s="136">
        <f t="shared" si="8"/>
        <v>2.4038416146447821</v>
      </c>
      <c r="Q18" s="136">
        <f t="shared" si="9"/>
        <v>0</v>
      </c>
    </row>
    <row r="19" spans="1:17">
      <c r="A19" s="382"/>
      <c r="B19" s="118" t="s">
        <v>275</v>
      </c>
      <c r="C19" s="281">
        <v>49</v>
      </c>
      <c r="D19" s="282">
        <v>4.0816326530612242E-2</v>
      </c>
      <c r="E19" s="282">
        <v>0.2857142857142857</v>
      </c>
      <c r="F19" s="282">
        <v>0.32653061224489793</v>
      </c>
      <c r="G19" s="282">
        <v>0</v>
      </c>
      <c r="H19" s="281">
        <v>67</v>
      </c>
      <c r="I19" s="282">
        <v>0</v>
      </c>
      <c r="J19" s="282">
        <v>0</v>
      </c>
      <c r="K19" s="282">
        <v>0</v>
      </c>
      <c r="L19" s="282">
        <v>0</v>
      </c>
      <c r="M19" s="135">
        <f t="shared" si="5"/>
        <v>116</v>
      </c>
      <c r="N19" s="136">
        <f t="shared" si="6"/>
        <v>1.7241379310344827E-2</v>
      </c>
      <c r="O19" s="136">
        <f t="shared" si="7"/>
        <v>0.14285714285714285</v>
      </c>
      <c r="P19" s="136">
        <f t="shared" si="8"/>
        <v>0.32653061224489793</v>
      </c>
      <c r="Q19" s="136">
        <f t="shared" si="9"/>
        <v>0</v>
      </c>
    </row>
    <row r="20" spans="1:17">
      <c r="A20" s="382"/>
      <c r="B20" s="118" t="s">
        <v>276</v>
      </c>
      <c r="C20" s="281">
        <v>45</v>
      </c>
      <c r="D20" s="282">
        <v>0</v>
      </c>
      <c r="E20" s="282">
        <v>0</v>
      </c>
      <c r="F20" s="282">
        <v>0</v>
      </c>
      <c r="G20" s="282">
        <v>0</v>
      </c>
      <c r="H20" s="281">
        <v>67</v>
      </c>
      <c r="I20" s="282">
        <v>0</v>
      </c>
      <c r="J20" s="282">
        <v>0</v>
      </c>
      <c r="K20" s="282">
        <v>0</v>
      </c>
      <c r="L20" s="282">
        <v>0</v>
      </c>
      <c r="M20" s="135">
        <f t="shared" si="5"/>
        <v>112</v>
      </c>
      <c r="N20" s="136">
        <f t="shared" si="6"/>
        <v>0</v>
      </c>
      <c r="O20" s="136">
        <f t="shared" si="7"/>
        <v>0</v>
      </c>
      <c r="P20" s="136">
        <f t="shared" si="8"/>
        <v>0</v>
      </c>
      <c r="Q20" s="136">
        <f t="shared" si="9"/>
        <v>0</v>
      </c>
    </row>
    <row r="21" spans="1:17">
      <c r="A21" s="382" t="s">
        <v>277</v>
      </c>
      <c r="B21" s="118" t="s">
        <v>278</v>
      </c>
      <c r="C21" s="281">
        <v>0</v>
      </c>
      <c r="D21" s="282" t="s">
        <v>87</v>
      </c>
      <c r="E21" s="282" t="s">
        <v>87</v>
      </c>
      <c r="F21" s="282" t="s">
        <v>87</v>
      </c>
      <c r="G21" s="282" t="s">
        <v>87</v>
      </c>
      <c r="H21" s="281">
        <v>0</v>
      </c>
      <c r="I21" s="282" t="s">
        <v>87</v>
      </c>
      <c r="J21" s="282" t="s">
        <v>87</v>
      </c>
      <c r="K21" s="282" t="s">
        <v>87</v>
      </c>
      <c r="L21" s="282" t="s">
        <v>87</v>
      </c>
      <c r="M21" s="135">
        <f t="shared" si="5"/>
        <v>0</v>
      </c>
      <c r="N21" s="136" t="str">
        <f t="shared" si="6"/>
        <v/>
      </c>
      <c r="O21" s="136" t="str">
        <f t="shared" si="7"/>
        <v/>
      </c>
      <c r="P21" s="136">
        <f t="shared" si="8"/>
        <v>0</v>
      </c>
      <c r="Q21" s="136">
        <f t="shared" si="9"/>
        <v>0</v>
      </c>
    </row>
    <row r="22" spans="1:17">
      <c r="A22" s="382"/>
      <c r="B22" s="118" t="s">
        <v>279</v>
      </c>
      <c r="C22" s="281">
        <v>21</v>
      </c>
      <c r="D22" s="282">
        <v>4.4109529549817214E-2</v>
      </c>
      <c r="E22" s="282">
        <v>4.3008565460182453E-2</v>
      </c>
      <c r="F22" s="282">
        <v>8.7118095009999674E-2</v>
      </c>
      <c r="G22" s="282">
        <v>1.1009640896347608E-3</v>
      </c>
      <c r="H22" s="281">
        <v>30</v>
      </c>
      <c r="I22" s="282">
        <v>7.8281194277518271E-2</v>
      </c>
      <c r="J22" s="282">
        <v>0.18723635379189002</v>
      </c>
      <c r="K22" s="282">
        <v>0.2655175480694083</v>
      </c>
      <c r="L22" s="282">
        <v>0</v>
      </c>
      <c r="M22" s="135">
        <f t="shared" si="5"/>
        <v>51</v>
      </c>
      <c r="N22" s="136">
        <f t="shared" si="6"/>
        <v>6.4210508801406066E-2</v>
      </c>
      <c r="O22" s="136">
        <f t="shared" si="7"/>
        <v>0.11512245962603623</v>
      </c>
      <c r="P22" s="136">
        <f t="shared" si="8"/>
        <v>0.2655175480694083</v>
      </c>
      <c r="Q22" s="136">
        <f t="shared" si="9"/>
        <v>0</v>
      </c>
    </row>
    <row r="23" spans="1:17">
      <c r="A23" s="382"/>
      <c r="B23" s="118" t="s">
        <v>280</v>
      </c>
      <c r="C23" s="281">
        <v>47</v>
      </c>
      <c r="D23" s="282">
        <v>8.091863303333664</v>
      </c>
      <c r="E23" s="282">
        <v>16.24308747329464</v>
      </c>
      <c r="F23" s="282">
        <v>24.334950776628304</v>
      </c>
      <c r="G23" s="282">
        <v>0</v>
      </c>
      <c r="H23" s="281">
        <v>65</v>
      </c>
      <c r="I23" s="282">
        <v>4.5790397353879069</v>
      </c>
      <c r="J23" s="282">
        <v>9.6408783945594223</v>
      </c>
      <c r="K23" s="282">
        <v>14.219918129947329</v>
      </c>
      <c r="L23" s="282">
        <v>0</v>
      </c>
      <c r="M23" s="135">
        <f t="shared" si="5"/>
        <v>112</v>
      </c>
      <c r="N23" s="136">
        <f t="shared" si="6"/>
        <v>6.0531710540794297</v>
      </c>
      <c r="O23" s="136">
        <f t="shared" si="7"/>
        <v>12.941982933927031</v>
      </c>
      <c r="P23" s="136">
        <f t="shared" si="8"/>
        <v>24.334950776628304</v>
      </c>
      <c r="Q23" s="136">
        <f t="shared" si="9"/>
        <v>0</v>
      </c>
    </row>
    <row r="24" spans="1:17">
      <c r="A24" s="382"/>
      <c r="B24" s="118" t="s">
        <v>281</v>
      </c>
      <c r="C24" s="281">
        <v>24</v>
      </c>
      <c r="D24" s="284">
        <v>4.8732943469785572E-2</v>
      </c>
      <c r="E24" s="284">
        <v>0.2055494642241148</v>
      </c>
      <c r="F24" s="284">
        <v>0.25428240769390037</v>
      </c>
      <c r="G24" s="284">
        <v>0</v>
      </c>
      <c r="H24" s="281">
        <v>0</v>
      </c>
      <c r="I24" s="284" t="s">
        <v>87</v>
      </c>
      <c r="J24" s="284" t="s">
        <v>87</v>
      </c>
      <c r="K24" s="284" t="s">
        <v>87</v>
      </c>
      <c r="L24" s="284" t="s">
        <v>87</v>
      </c>
      <c r="M24" s="281">
        <v>24</v>
      </c>
      <c r="N24" s="284">
        <v>4.8732943469785572E-2</v>
      </c>
      <c r="O24" s="284">
        <v>0.2055494642241148</v>
      </c>
      <c r="P24" s="284">
        <v>0.25428240769390037</v>
      </c>
      <c r="Q24" s="284">
        <v>0</v>
      </c>
    </row>
    <row r="25" spans="1:17">
      <c r="A25" s="382"/>
      <c r="B25" s="118" t="s">
        <v>282</v>
      </c>
      <c r="C25" s="281">
        <v>31</v>
      </c>
      <c r="D25" s="282">
        <v>2.2723151633657848</v>
      </c>
      <c r="E25" s="282">
        <v>1.7806833706667538</v>
      </c>
      <c r="F25" s="282">
        <v>4.0529985340325387</v>
      </c>
      <c r="G25" s="282">
        <v>0.49163179269903101</v>
      </c>
      <c r="H25" s="281">
        <v>70</v>
      </c>
      <c r="I25" s="282">
        <v>1.4349447707953338</v>
      </c>
      <c r="J25" s="282">
        <v>2.0841668591891747</v>
      </c>
      <c r="K25" s="282">
        <v>3.5191116299845087</v>
      </c>
      <c r="L25" s="282">
        <v>0</v>
      </c>
      <c r="M25" s="135">
        <f t="shared" si="5"/>
        <v>101</v>
      </c>
      <c r="N25" s="136">
        <f t="shared" si="6"/>
        <v>1.6919594457426999</v>
      </c>
      <c r="O25" s="136">
        <f t="shared" si="7"/>
        <v>1.9324251149279643</v>
      </c>
      <c r="P25" s="136">
        <f t="shared" si="8"/>
        <v>4.0529985340325387</v>
      </c>
      <c r="Q25" s="136">
        <f t="shared" si="9"/>
        <v>0</v>
      </c>
    </row>
    <row r="26" spans="1:17">
      <c r="A26" s="215" t="s">
        <v>283</v>
      </c>
      <c r="B26" s="118" t="s">
        <v>284</v>
      </c>
      <c r="C26" s="281">
        <v>0</v>
      </c>
      <c r="D26" s="282" t="s">
        <v>87</v>
      </c>
      <c r="E26" s="282" t="s">
        <v>87</v>
      </c>
      <c r="F26" s="282" t="s">
        <v>87</v>
      </c>
      <c r="G26" s="282" t="s">
        <v>87</v>
      </c>
      <c r="H26" s="281">
        <v>0</v>
      </c>
      <c r="I26" s="282" t="s">
        <v>87</v>
      </c>
      <c r="J26" s="282" t="s">
        <v>87</v>
      </c>
      <c r="K26" s="282" t="s">
        <v>87</v>
      </c>
      <c r="L26" s="282" t="s">
        <v>87</v>
      </c>
      <c r="M26" s="135">
        <f t="shared" si="5"/>
        <v>0</v>
      </c>
      <c r="N26" s="136" t="str">
        <f t="shared" si="6"/>
        <v/>
      </c>
      <c r="O26" s="136" t="str">
        <f t="shared" si="7"/>
        <v/>
      </c>
      <c r="P26" s="136">
        <f t="shared" si="8"/>
        <v>0</v>
      </c>
      <c r="Q26" s="136">
        <f t="shared" si="9"/>
        <v>0</v>
      </c>
    </row>
    <row r="27" spans="1:17">
      <c r="A27" s="382" t="s">
        <v>285</v>
      </c>
      <c r="B27" s="118" t="s">
        <v>286</v>
      </c>
      <c r="C27" s="281">
        <v>0</v>
      </c>
      <c r="D27" s="282" t="s">
        <v>87</v>
      </c>
      <c r="E27" s="282" t="s">
        <v>87</v>
      </c>
      <c r="F27" s="282" t="s">
        <v>87</v>
      </c>
      <c r="G27" s="282" t="s">
        <v>87</v>
      </c>
      <c r="H27" s="281">
        <v>0</v>
      </c>
      <c r="I27" s="282" t="s">
        <v>87</v>
      </c>
      <c r="J27" s="282" t="s">
        <v>87</v>
      </c>
      <c r="K27" s="282" t="s">
        <v>87</v>
      </c>
      <c r="L27" s="282" t="s">
        <v>87</v>
      </c>
      <c r="M27" s="135">
        <f t="shared" si="5"/>
        <v>0</v>
      </c>
      <c r="N27" s="136" t="str">
        <f t="shared" si="6"/>
        <v/>
      </c>
      <c r="O27" s="136" t="str">
        <f t="shared" si="7"/>
        <v/>
      </c>
      <c r="P27" s="136">
        <f t="shared" si="8"/>
        <v>0</v>
      </c>
      <c r="Q27" s="136">
        <f t="shared" si="9"/>
        <v>0</v>
      </c>
    </row>
    <row r="28" spans="1:17">
      <c r="A28" s="382"/>
      <c r="B28" s="118" t="s">
        <v>287</v>
      </c>
      <c r="C28" s="281">
        <v>48</v>
      </c>
      <c r="D28" s="282">
        <v>0</v>
      </c>
      <c r="E28" s="282">
        <v>0</v>
      </c>
      <c r="F28" s="282">
        <v>0</v>
      </c>
      <c r="G28" s="282">
        <v>0</v>
      </c>
      <c r="H28" s="281">
        <v>70</v>
      </c>
      <c r="I28" s="282">
        <v>0</v>
      </c>
      <c r="J28" s="282">
        <v>0</v>
      </c>
      <c r="K28" s="282">
        <v>0</v>
      </c>
      <c r="L28" s="282">
        <v>0</v>
      </c>
      <c r="M28" s="135">
        <f t="shared" si="5"/>
        <v>118</v>
      </c>
      <c r="N28" s="136">
        <f t="shared" si="6"/>
        <v>0</v>
      </c>
      <c r="O28" s="136">
        <f t="shared" si="7"/>
        <v>0</v>
      </c>
      <c r="P28" s="136">
        <f t="shared" si="8"/>
        <v>0</v>
      </c>
      <c r="Q28" s="136">
        <f t="shared" si="9"/>
        <v>0</v>
      </c>
    </row>
    <row r="29" spans="1:17">
      <c r="A29" s="382" t="s">
        <v>288</v>
      </c>
      <c r="B29" s="118" t="s">
        <v>289</v>
      </c>
      <c r="C29" s="281">
        <v>45</v>
      </c>
      <c r="D29" s="282">
        <v>1.7288888888888889</v>
      </c>
      <c r="E29" s="282">
        <v>2.8511259516056446</v>
      </c>
      <c r="F29" s="282">
        <v>4.5800148404945338</v>
      </c>
      <c r="G29" s="282">
        <v>0</v>
      </c>
      <c r="H29" s="281">
        <v>63</v>
      </c>
      <c r="I29" s="282">
        <v>0.36031746031746031</v>
      </c>
      <c r="J29" s="282">
        <v>1.6819285860467406</v>
      </c>
      <c r="K29" s="282">
        <v>2.0422460463642009</v>
      </c>
      <c r="L29" s="282">
        <v>0</v>
      </c>
      <c r="M29" s="135">
        <f t="shared" si="5"/>
        <v>108</v>
      </c>
      <c r="N29" s="136">
        <f t="shared" si="6"/>
        <v>0.93055555555555558</v>
      </c>
      <c r="O29" s="136">
        <f t="shared" si="7"/>
        <v>2.2665272688261924</v>
      </c>
      <c r="P29" s="136">
        <f t="shared" si="8"/>
        <v>4.5800148404945338</v>
      </c>
      <c r="Q29" s="136">
        <f t="shared" si="9"/>
        <v>0</v>
      </c>
    </row>
    <row r="30" spans="1:17">
      <c r="A30" s="382"/>
      <c r="B30" s="118" t="s">
        <v>290</v>
      </c>
      <c r="C30" s="281">
        <v>0</v>
      </c>
      <c r="D30" s="282" t="s">
        <v>87</v>
      </c>
      <c r="E30" s="282" t="s">
        <v>87</v>
      </c>
      <c r="F30" s="282" t="s">
        <v>87</v>
      </c>
      <c r="G30" s="282" t="s">
        <v>87</v>
      </c>
      <c r="H30" s="281">
        <v>0</v>
      </c>
      <c r="I30" s="282" t="s">
        <v>87</v>
      </c>
      <c r="J30" s="282" t="s">
        <v>87</v>
      </c>
      <c r="K30" s="282" t="s">
        <v>87</v>
      </c>
      <c r="L30" s="282" t="s">
        <v>87</v>
      </c>
      <c r="M30" s="135">
        <f t="shared" si="5"/>
        <v>0</v>
      </c>
      <c r="N30" s="136" t="str">
        <f t="shared" si="6"/>
        <v/>
      </c>
      <c r="O30" s="136" t="str">
        <f t="shared" si="7"/>
        <v/>
      </c>
      <c r="P30" s="136">
        <f t="shared" si="8"/>
        <v>0</v>
      </c>
      <c r="Q30" s="136">
        <f t="shared" si="9"/>
        <v>0</v>
      </c>
    </row>
    <row r="31" spans="1:17">
      <c r="A31" s="384" t="s">
        <v>291</v>
      </c>
      <c r="B31" s="118" t="s">
        <v>292</v>
      </c>
      <c r="C31" s="281">
        <v>30</v>
      </c>
      <c r="D31" s="284">
        <v>0.99269333333333332</v>
      </c>
      <c r="E31" s="284">
        <v>1.5618886298177674E-2</v>
      </c>
      <c r="F31" s="284">
        <v>1</v>
      </c>
      <c r="G31" s="284">
        <v>0.94583667443880026</v>
      </c>
      <c r="H31" s="281">
        <v>48</v>
      </c>
      <c r="I31" s="284">
        <v>0.99410833333333326</v>
      </c>
      <c r="J31" s="284">
        <v>2.9236699709937787E-2</v>
      </c>
      <c r="K31" s="284">
        <v>1</v>
      </c>
      <c r="L31" s="284">
        <v>0.90639823420351995</v>
      </c>
      <c r="M31" s="135">
        <f t="shared" si="5"/>
        <v>78</v>
      </c>
      <c r="N31" s="285">
        <f t="shared" si="6"/>
        <v>0.99356410256410244</v>
      </c>
      <c r="O31" s="285">
        <f t="shared" si="7"/>
        <v>2.2427793004057731E-2</v>
      </c>
      <c r="P31" s="285">
        <f t="shared" si="8"/>
        <v>1</v>
      </c>
      <c r="Q31" s="285">
        <f t="shared" si="9"/>
        <v>0.90639823420351995</v>
      </c>
    </row>
    <row r="32" spans="1:17">
      <c r="A32" s="385"/>
      <c r="B32" s="118" t="s">
        <v>293</v>
      </c>
      <c r="C32" s="281">
        <v>26</v>
      </c>
      <c r="D32" s="282">
        <v>2.8703846153846153</v>
      </c>
      <c r="E32" s="282">
        <v>3.7495359507749551</v>
      </c>
      <c r="F32" s="282">
        <v>6.6199205661595704</v>
      </c>
      <c r="G32" s="282">
        <v>0</v>
      </c>
      <c r="H32" s="281">
        <v>34</v>
      </c>
      <c r="I32" s="282">
        <v>2.6088235294117648</v>
      </c>
      <c r="J32" s="282">
        <v>1.8993200772363847</v>
      </c>
      <c r="K32" s="282">
        <v>4.5081436066481491</v>
      </c>
      <c r="L32" s="282">
        <v>0.70950345217538002</v>
      </c>
      <c r="M32" s="135">
        <f t="shared" si="5"/>
        <v>60</v>
      </c>
      <c r="N32" s="136">
        <f t="shared" si="6"/>
        <v>2.7221666666666664</v>
      </c>
      <c r="O32" s="136">
        <f t="shared" si="7"/>
        <v>2.8244280140056697</v>
      </c>
      <c r="P32" s="136">
        <f t="shared" si="8"/>
        <v>6.6199205661595704</v>
      </c>
      <c r="Q32" s="136">
        <f t="shared" si="9"/>
        <v>0</v>
      </c>
    </row>
    <row r="33" spans="1:17">
      <c r="A33" s="385"/>
      <c r="B33" s="118" t="s">
        <v>294</v>
      </c>
      <c r="C33" s="281">
        <v>25</v>
      </c>
      <c r="D33" s="282">
        <v>10.022399999999999</v>
      </c>
      <c r="E33" s="282">
        <v>4.337185416065739</v>
      </c>
      <c r="F33" s="282">
        <v>14.359585416065737</v>
      </c>
      <c r="G33" s="282">
        <v>5.6852145839342603</v>
      </c>
      <c r="H33" s="281">
        <v>34</v>
      </c>
      <c r="I33" s="282">
        <v>8.2379411764705885</v>
      </c>
      <c r="J33" s="282">
        <v>4.210254997972223</v>
      </c>
      <c r="K33" s="282">
        <v>12.448196174442812</v>
      </c>
      <c r="L33" s="282">
        <v>4.0276861784983655</v>
      </c>
      <c r="M33" s="135">
        <f t="shared" si="5"/>
        <v>59</v>
      </c>
      <c r="N33" s="136">
        <f t="shared" si="6"/>
        <v>8.9940677966101692</v>
      </c>
      <c r="O33" s="136">
        <f t="shared" si="7"/>
        <v>4.2737202070189806</v>
      </c>
      <c r="P33" s="136">
        <f t="shared" si="8"/>
        <v>14.359585416065737</v>
      </c>
      <c r="Q33" s="136">
        <f t="shared" si="9"/>
        <v>4.0276861784983655</v>
      </c>
    </row>
    <row r="34" spans="1:17">
      <c r="A34" s="385"/>
      <c r="B34" s="118" t="s">
        <v>295</v>
      </c>
      <c r="C34" s="281">
        <v>18</v>
      </c>
      <c r="D34" s="282">
        <v>1.4166666666666667</v>
      </c>
      <c r="E34" s="282">
        <v>0.54906337360571966</v>
      </c>
      <c r="F34" s="282">
        <v>1.9657300402723865</v>
      </c>
      <c r="G34" s="282">
        <v>0.86760329306094708</v>
      </c>
      <c r="H34" s="281">
        <v>13</v>
      </c>
      <c r="I34" s="282">
        <v>1.6384615384615384</v>
      </c>
      <c r="J34" s="282">
        <v>0.48224900473106402</v>
      </c>
      <c r="K34" s="282">
        <v>2.1207105431926023</v>
      </c>
      <c r="L34" s="282">
        <v>1.1562125337304745</v>
      </c>
      <c r="M34" s="135">
        <f t="shared" si="5"/>
        <v>31</v>
      </c>
      <c r="N34" s="136">
        <f t="shared" si="6"/>
        <v>1.5096774193548386</v>
      </c>
      <c r="O34" s="136">
        <f t="shared" si="7"/>
        <v>0.51565618916839184</v>
      </c>
      <c r="P34" s="136">
        <f t="shared" si="8"/>
        <v>2.1207105431926023</v>
      </c>
      <c r="Q34" s="136">
        <f t="shared" si="9"/>
        <v>0.86760329306094708</v>
      </c>
    </row>
    <row r="35" spans="1:17">
      <c r="A35" s="386"/>
      <c r="B35" s="118" t="s">
        <v>296</v>
      </c>
      <c r="C35" s="281">
        <v>0</v>
      </c>
      <c r="D35" s="282" t="s">
        <v>87</v>
      </c>
      <c r="E35" s="282" t="s">
        <v>87</v>
      </c>
      <c r="F35" s="282" t="s">
        <v>87</v>
      </c>
      <c r="G35" s="282" t="s">
        <v>87</v>
      </c>
      <c r="H35" s="281">
        <v>2</v>
      </c>
      <c r="I35" s="282">
        <v>0</v>
      </c>
      <c r="J35" s="282">
        <v>0</v>
      </c>
      <c r="K35" s="282">
        <v>0</v>
      </c>
      <c r="L35" s="282">
        <v>0</v>
      </c>
      <c r="M35" s="281">
        <v>2</v>
      </c>
      <c r="N35" s="282">
        <v>0</v>
      </c>
      <c r="O35" s="282">
        <v>0</v>
      </c>
      <c r="P35" s="282">
        <v>0</v>
      </c>
      <c r="Q35" s="282">
        <v>0</v>
      </c>
    </row>
    <row r="36" spans="1:17">
      <c r="A36" s="386"/>
      <c r="B36" s="118" t="s">
        <v>297</v>
      </c>
      <c r="C36" s="281">
        <v>0</v>
      </c>
      <c r="D36" s="282" t="s">
        <v>87</v>
      </c>
      <c r="E36" s="282" t="s">
        <v>87</v>
      </c>
      <c r="F36" s="282" t="s">
        <v>87</v>
      </c>
      <c r="G36" s="282" t="s">
        <v>87</v>
      </c>
      <c r="H36" s="281">
        <v>2</v>
      </c>
      <c r="I36" s="282">
        <v>0</v>
      </c>
      <c r="J36" s="282">
        <v>0</v>
      </c>
      <c r="K36" s="282">
        <v>0</v>
      </c>
      <c r="L36" s="282">
        <v>0</v>
      </c>
      <c r="M36" s="281">
        <v>2</v>
      </c>
      <c r="N36" s="282">
        <v>0</v>
      </c>
      <c r="O36" s="282">
        <v>0</v>
      </c>
      <c r="P36" s="282">
        <v>0</v>
      </c>
      <c r="Q36" s="282">
        <v>0</v>
      </c>
    </row>
    <row r="37" spans="1:17">
      <c r="A37" s="387"/>
      <c r="B37" s="118" t="s">
        <v>298</v>
      </c>
      <c r="C37" s="281">
        <v>0</v>
      </c>
      <c r="D37" s="282" t="s">
        <v>87</v>
      </c>
      <c r="E37" s="282" t="s">
        <v>87</v>
      </c>
      <c r="F37" s="282" t="s">
        <v>87</v>
      </c>
      <c r="G37" s="282" t="s">
        <v>87</v>
      </c>
      <c r="H37" s="281">
        <v>2</v>
      </c>
      <c r="I37" s="282">
        <v>0</v>
      </c>
      <c r="J37" s="282">
        <v>0</v>
      </c>
      <c r="K37" s="282">
        <v>0</v>
      </c>
      <c r="L37" s="282">
        <v>0</v>
      </c>
      <c r="M37" s="281">
        <v>2</v>
      </c>
      <c r="N37" s="282">
        <v>0</v>
      </c>
      <c r="O37" s="282">
        <v>0</v>
      </c>
      <c r="P37" s="282">
        <v>0</v>
      </c>
      <c r="Q37" s="282">
        <v>0</v>
      </c>
    </row>
    <row r="38" spans="1:17">
      <c r="A38" s="363" t="s">
        <v>299</v>
      </c>
      <c r="B38" s="118" t="s">
        <v>300</v>
      </c>
      <c r="C38" s="281">
        <v>36</v>
      </c>
      <c r="D38" s="282">
        <v>9.8611111111111107</v>
      </c>
      <c r="E38" s="282">
        <v>24.980166736007391</v>
      </c>
      <c r="F38" s="282">
        <v>34.841277847118505</v>
      </c>
      <c r="G38" s="282">
        <v>0</v>
      </c>
      <c r="H38" s="281">
        <v>45</v>
      </c>
      <c r="I38" s="282">
        <v>1.4222222222222223</v>
      </c>
      <c r="J38" s="282">
        <v>9.540556703999103</v>
      </c>
      <c r="K38" s="282">
        <v>10.962778926221326</v>
      </c>
      <c r="L38" s="282">
        <v>0</v>
      </c>
      <c r="M38" s="135">
        <f t="shared" si="5"/>
        <v>81</v>
      </c>
      <c r="N38" s="136">
        <f t="shared" si="6"/>
        <v>5.1728395061728394</v>
      </c>
      <c r="O38" s="136">
        <f t="shared" si="7"/>
        <v>17.260361720003246</v>
      </c>
      <c r="P38" s="136">
        <f t="shared" si="8"/>
        <v>34.841277847118505</v>
      </c>
      <c r="Q38" s="136">
        <f t="shared" si="9"/>
        <v>0</v>
      </c>
    </row>
    <row r="39" spans="1:17">
      <c r="A39" s="363"/>
      <c r="B39" s="118" t="s">
        <v>301</v>
      </c>
      <c r="C39" s="281">
        <v>40</v>
      </c>
      <c r="D39" s="282">
        <v>5.2417499999999997</v>
      </c>
      <c r="E39" s="282">
        <v>2.7101810777804087</v>
      </c>
      <c r="F39" s="282">
        <v>7.951931077780408</v>
      </c>
      <c r="G39" s="282">
        <v>2.531568922219591</v>
      </c>
      <c r="H39" s="281">
        <v>59</v>
      </c>
      <c r="I39" s="282">
        <v>3.7255932203389839</v>
      </c>
      <c r="J39" s="282">
        <v>1.8030101948441271</v>
      </c>
      <c r="K39" s="282">
        <v>5.5286034151831114</v>
      </c>
      <c r="L39" s="282">
        <v>1.9225830254948568</v>
      </c>
      <c r="M39" s="135">
        <f t="shared" si="5"/>
        <v>99</v>
      </c>
      <c r="N39" s="136">
        <f t="shared" si="6"/>
        <v>4.3381818181818188</v>
      </c>
      <c r="O39" s="136">
        <f t="shared" si="7"/>
        <v>2.2565956363122677</v>
      </c>
      <c r="P39" s="136">
        <f t="shared" si="8"/>
        <v>7.951931077780408</v>
      </c>
      <c r="Q39" s="136">
        <f t="shared" si="9"/>
        <v>1.9225830254948568</v>
      </c>
    </row>
    <row r="40" spans="1:17">
      <c r="A40" s="363"/>
      <c r="B40" s="118" t="s">
        <v>302</v>
      </c>
      <c r="C40" s="281">
        <v>22</v>
      </c>
      <c r="D40" s="284">
        <v>5.6759090909090919E-2</v>
      </c>
      <c r="E40" s="284">
        <v>1.8341591017110803E-2</v>
      </c>
      <c r="F40" s="284">
        <v>7.5100681926201729E-2</v>
      </c>
      <c r="G40" s="284">
        <v>3.8417499891980116E-2</v>
      </c>
      <c r="H40" s="281">
        <v>56</v>
      </c>
      <c r="I40" s="283">
        <v>6.896964285714284E-2</v>
      </c>
      <c r="J40" s="283">
        <v>5.5094398064158508E-2</v>
      </c>
      <c r="K40" s="283">
        <v>0.12406404092130136</v>
      </c>
      <c r="L40" s="283">
        <v>1.3875244792984333E-2</v>
      </c>
      <c r="M40" s="135">
        <f t="shared" si="5"/>
        <v>78</v>
      </c>
      <c r="N40" s="285">
        <f t="shared" si="6"/>
        <v>6.5525641025641013E-2</v>
      </c>
      <c r="O40" s="285">
        <f t="shared" si="7"/>
        <v>3.6717994540634652E-2</v>
      </c>
      <c r="P40" s="285">
        <f t="shared" si="8"/>
        <v>0.12406404092130136</v>
      </c>
      <c r="Q40" s="285">
        <f t="shared" si="9"/>
        <v>1.3875244792984333E-2</v>
      </c>
    </row>
    <row r="41" spans="1:17">
      <c r="A41" s="363"/>
      <c r="B41" s="120" t="s">
        <v>303</v>
      </c>
      <c r="C41" s="281">
        <v>0</v>
      </c>
      <c r="D41" s="282" t="s">
        <v>87</v>
      </c>
      <c r="E41" s="282" t="s">
        <v>87</v>
      </c>
      <c r="F41" s="282" t="s">
        <v>87</v>
      </c>
      <c r="G41" s="282" t="s">
        <v>87</v>
      </c>
      <c r="H41" s="281">
        <v>10</v>
      </c>
      <c r="I41" s="282">
        <v>0</v>
      </c>
      <c r="J41" s="282">
        <v>0</v>
      </c>
      <c r="K41" s="282">
        <v>0</v>
      </c>
      <c r="L41" s="282">
        <v>0</v>
      </c>
      <c r="M41" s="281">
        <v>10</v>
      </c>
      <c r="N41" s="282">
        <v>0</v>
      </c>
      <c r="O41" s="282">
        <v>0</v>
      </c>
      <c r="P41" s="282">
        <v>0</v>
      </c>
      <c r="Q41" s="282">
        <v>0</v>
      </c>
    </row>
    <row r="42" spans="1:17">
      <c r="A42" s="363"/>
      <c r="B42" s="120" t="s">
        <v>304</v>
      </c>
      <c r="C42" s="281">
        <v>0</v>
      </c>
      <c r="D42" s="282" t="s">
        <v>87</v>
      </c>
      <c r="E42" s="282" t="s">
        <v>87</v>
      </c>
      <c r="F42" s="282" t="s">
        <v>87</v>
      </c>
      <c r="G42" s="282" t="s">
        <v>87</v>
      </c>
      <c r="H42" s="281">
        <v>10</v>
      </c>
      <c r="I42" s="282">
        <v>0</v>
      </c>
      <c r="J42" s="282">
        <v>0</v>
      </c>
      <c r="K42" s="282">
        <v>0</v>
      </c>
      <c r="L42" s="282">
        <v>0</v>
      </c>
      <c r="M42" s="281">
        <v>10</v>
      </c>
      <c r="N42" s="282">
        <v>0</v>
      </c>
      <c r="O42" s="282">
        <v>0</v>
      </c>
      <c r="P42" s="282">
        <v>0</v>
      </c>
      <c r="Q42" s="282">
        <v>0</v>
      </c>
    </row>
    <row r="43" spans="1:17">
      <c r="A43" s="363"/>
      <c r="B43" s="120" t="s">
        <v>305</v>
      </c>
      <c r="C43" s="281">
        <v>0</v>
      </c>
      <c r="D43" s="282" t="s">
        <v>87</v>
      </c>
      <c r="E43" s="282" t="s">
        <v>87</v>
      </c>
      <c r="F43" s="282" t="s">
        <v>87</v>
      </c>
      <c r="G43" s="282" t="s">
        <v>87</v>
      </c>
      <c r="H43" s="281">
        <v>2</v>
      </c>
      <c r="I43" s="282">
        <v>0</v>
      </c>
      <c r="J43" s="282">
        <v>0</v>
      </c>
      <c r="K43" s="282">
        <v>0</v>
      </c>
      <c r="L43" s="282">
        <v>0</v>
      </c>
      <c r="M43" s="281">
        <v>2</v>
      </c>
      <c r="N43" s="282">
        <v>0</v>
      </c>
      <c r="O43" s="282">
        <v>0</v>
      </c>
      <c r="P43" s="282">
        <v>0</v>
      </c>
      <c r="Q43" s="282">
        <v>0</v>
      </c>
    </row>
    <row r="44" spans="1:17" ht="22.5">
      <c r="A44" s="395" t="s">
        <v>464</v>
      </c>
      <c r="B44" s="125" t="s">
        <v>465</v>
      </c>
      <c r="C44" s="281">
        <v>8</v>
      </c>
      <c r="D44" s="282">
        <v>57.770985248664033</v>
      </c>
      <c r="E44" s="282">
        <v>25.142444551010691</v>
      </c>
      <c r="F44" s="282">
        <v>82.913429799674731</v>
      </c>
      <c r="G44" s="282">
        <v>32.628540697653342</v>
      </c>
      <c r="H44" s="281">
        <v>20</v>
      </c>
      <c r="I44" s="282">
        <v>59.101463565326085</v>
      </c>
      <c r="J44" s="282">
        <v>21.677073496867184</v>
      </c>
      <c r="K44" s="282">
        <v>80.778537062193266</v>
      </c>
      <c r="L44" s="282">
        <v>37.424390068458905</v>
      </c>
      <c r="M44" s="135">
        <f t="shared" si="5"/>
        <v>28</v>
      </c>
      <c r="N44" s="136">
        <f t="shared" si="6"/>
        <v>58.721326903422643</v>
      </c>
      <c r="O44" s="136">
        <f t="shared" si="7"/>
        <v>23.409759023938939</v>
      </c>
      <c r="P44" s="136">
        <f t="shared" si="8"/>
        <v>82.913429799674731</v>
      </c>
      <c r="Q44" s="136">
        <f t="shared" si="9"/>
        <v>32.628540697653342</v>
      </c>
    </row>
    <row r="45" spans="1:17" ht="22.5">
      <c r="A45" s="396"/>
      <c r="B45" s="125" t="s">
        <v>330</v>
      </c>
      <c r="C45" s="281">
        <v>7</v>
      </c>
      <c r="D45" s="282">
        <v>67.305613086382422</v>
      </c>
      <c r="E45" s="282">
        <v>30.686894474865468</v>
      </c>
      <c r="F45" s="282">
        <v>97.992507561247891</v>
      </c>
      <c r="G45" s="282">
        <v>36.618718611516954</v>
      </c>
      <c r="H45" s="281">
        <v>20</v>
      </c>
      <c r="I45" s="282">
        <v>68.199191458895541</v>
      </c>
      <c r="J45" s="282">
        <v>22.191637683088338</v>
      </c>
      <c r="K45" s="282">
        <v>90.390829141983886</v>
      </c>
      <c r="L45" s="282">
        <v>46.007553775807203</v>
      </c>
      <c r="M45" s="135">
        <f t="shared" si="5"/>
        <v>27</v>
      </c>
      <c r="N45" s="136">
        <f t="shared" si="6"/>
        <v>67.967522991947689</v>
      </c>
      <c r="O45" s="136">
        <f t="shared" si="7"/>
        <v>26.439266078976903</v>
      </c>
      <c r="P45" s="136">
        <f t="shared" si="8"/>
        <v>97.992507561247891</v>
      </c>
      <c r="Q45" s="136">
        <f t="shared" si="9"/>
        <v>36.618718611516954</v>
      </c>
    </row>
    <row r="46" spans="1:17" ht="22.5">
      <c r="A46" s="396"/>
      <c r="B46" s="125" t="s">
        <v>331</v>
      </c>
      <c r="C46" s="281">
        <v>24</v>
      </c>
      <c r="D46" s="282">
        <v>49.170448068914943</v>
      </c>
      <c r="E46" s="282">
        <v>11.721450492270019</v>
      </c>
      <c r="F46" s="282">
        <v>60.891898561184959</v>
      </c>
      <c r="G46" s="282">
        <v>37.448997576644928</v>
      </c>
      <c r="H46" s="281">
        <v>31</v>
      </c>
      <c r="I46" s="282">
        <v>48.323708939064602</v>
      </c>
      <c r="J46" s="282">
        <v>20.585512060593732</v>
      </c>
      <c r="K46" s="282">
        <v>68.909220999658331</v>
      </c>
      <c r="L46" s="282">
        <v>27.73819687847087</v>
      </c>
      <c r="M46" s="135">
        <f t="shared" si="5"/>
        <v>55</v>
      </c>
      <c r="N46" s="136">
        <f t="shared" si="6"/>
        <v>48.693195104817477</v>
      </c>
      <c r="O46" s="136">
        <f t="shared" si="7"/>
        <v>16.153481276431876</v>
      </c>
      <c r="P46" s="136">
        <f t="shared" si="8"/>
        <v>68.909220999658331</v>
      </c>
      <c r="Q46" s="136">
        <f t="shared" si="9"/>
        <v>27.73819687847087</v>
      </c>
    </row>
    <row r="47" spans="1:17" ht="22.5">
      <c r="A47" s="397"/>
      <c r="B47" s="125" t="s">
        <v>332</v>
      </c>
      <c r="C47" s="281">
        <v>25</v>
      </c>
      <c r="D47" s="282">
        <v>68.724866729981642</v>
      </c>
      <c r="E47" s="282">
        <v>15.625970697594971</v>
      </c>
      <c r="F47" s="282">
        <v>84.350837427576607</v>
      </c>
      <c r="G47" s="282">
        <v>53.098896032386669</v>
      </c>
      <c r="H47" s="281">
        <v>31</v>
      </c>
      <c r="I47" s="282">
        <v>68.539628011624032</v>
      </c>
      <c r="J47" s="282">
        <v>23.189228296956731</v>
      </c>
      <c r="K47" s="282">
        <v>91.72885630858076</v>
      </c>
      <c r="L47" s="282">
        <v>45.350399714667304</v>
      </c>
      <c r="M47" s="135">
        <f t="shared" si="5"/>
        <v>56</v>
      </c>
      <c r="N47" s="136">
        <f t="shared" si="6"/>
        <v>68.622323868033675</v>
      </c>
      <c r="O47" s="136">
        <f t="shared" si="7"/>
        <v>19.40759949727585</v>
      </c>
      <c r="P47" s="136">
        <f t="shared" si="8"/>
        <v>91.72885630858076</v>
      </c>
      <c r="Q47" s="136">
        <f t="shared" si="9"/>
        <v>45.350399714667304</v>
      </c>
    </row>
  </sheetData>
  <mergeCells count="13">
    <mergeCell ref="A14:A16"/>
    <mergeCell ref="A1:B2"/>
    <mergeCell ref="C1:G1"/>
    <mergeCell ref="H1:L1"/>
    <mergeCell ref="M1:Q1"/>
    <mergeCell ref="A3:A13"/>
    <mergeCell ref="A44:A47"/>
    <mergeCell ref="A31:A37"/>
    <mergeCell ref="A17:A20"/>
    <mergeCell ref="A21:A25"/>
    <mergeCell ref="A27:A28"/>
    <mergeCell ref="A29:A30"/>
    <mergeCell ref="A38:A43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5"/>
  <sheetViews>
    <sheetView topLeftCell="A37" workbookViewId="0">
      <selection activeCell="I21" sqref="I21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6" width="7.25" style="116" customWidth="1"/>
    <col min="7" max="7" width="7" style="128" customWidth="1"/>
    <col min="8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88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51" t="s">
        <v>258</v>
      </c>
      <c r="B3" s="117" t="s">
        <v>259</v>
      </c>
      <c r="C3" s="231"/>
      <c r="D3" s="229"/>
      <c r="E3" s="229"/>
      <c r="F3" s="229"/>
      <c r="G3" s="289"/>
      <c r="H3" s="286">
        <v>32</v>
      </c>
      <c r="I3" s="287">
        <v>75.975672251464985</v>
      </c>
      <c r="J3" s="287">
        <v>40.9459299514115</v>
      </c>
      <c r="K3" s="287">
        <v>116.92160220287649</v>
      </c>
      <c r="L3" s="287">
        <v>35.029742300053485</v>
      </c>
      <c r="M3" s="135">
        <f>IFERROR(C3+H3,"")</f>
        <v>32</v>
      </c>
      <c r="N3" s="136">
        <f>IFERROR((C3*D3+H3*I3)/M3,"")</f>
        <v>75.975672251464985</v>
      </c>
      <c r="O3" s="136">
        <f>IFERROR((E3+J3)/2,"")</f>
        <v>20.47296497570575</v>
      </c>
      <c r="P3" s="136">
        <f>IFERROR(MAXA(F3,K3),"")</f>
        <v>116.92160220287649</v>
      </c>
      <c r="Q3" s="136">
        <f>IFERROR(MINA(G3,L3),"")</f>
        <v>35.029742300053485</v>
      </c>
    </row>
    <row r="4" spans="1:17">
      <c r="A4" s="351"/>
      <c r="B4" s="118" t="s">
        <v>333</v>
      </c>
      <c r="C4" s="231"/>
      <c r="D4" s="229"/>
      <c r="E4" s="229"/>
      <c r="F4" s="229"/>
      <c r="G4" s="290"/>
      <c r="H4" s="286">
        <v>16</v>
      </c>
      <c r="I4" s="287">
        <v>105.78329679833402</v>
      </c>
      <c r="J4" s="287">
        <v>61.273607926144095</v>
      </c>
      <c r="K4" s="287">
        <v>167.0569047244781</v>
      </c>
      <c r="L4" s="287">
        <v>44.509688872189926</v>
      </c>
      <c r="M4" s="135">
        <f t="shared" ref="M4:M43" si="0">IFERROR(C4+H4,"")</f>
        <v>16</v>
      </c>
      <c r="N4" s="136">
        <f t="shared" ref="N4:N43" si="1">IFERROR((C4*D4+H4*I4)/M4,"")</f>
        <v>105.78329679833402</v>
      </c>
      <c r="O4" s="136">
        <f t="shared" ref="O4:O43" si="2">IFERROR((E4+J4)/2,"")</f>
        <v>30.636803963072047</v>
      </c>
      <c r="P4" s="136">
        <f t="shared" ref="P4:P43" si="3">IFERROR(MAXA(F4,K4),"")</f>
        <v>167.0569047244781</v>
      </c>
      <c r="Q4" s="136">
        <f t="shared" ref="Q4:Q43" si="4">IFERROR(MINA(G4,L4),"")</f>
        <v>44.509688872189926</v>
      </c>
    </row>
    <row r="5" spans="1:17">
      <c r="A5" s="351"/>
      <c r="B5" s="118" t="s">
        <v>263</v>
      </c>
      <c r="C5" s="231"/>
      <c r="D5" s="229"/>
      <c r="E5" s="229"/>
      <c r="F5" s="229"/>
      <c r="G5" s="290"/>
      <c r="H5" s="286">
        <v>0</v>
      </c>
      <c r="I5" s="287" t="s">
        <v>87</v>
      </c>
      <c r="J5" s="287" t="s">
        <v>87</v>
      </c>
      <c r="K5" s="287" t="s">
        <v>87</v>
      </c>
      <c r="L5" s="287" t="s">
        <v>87</v>
      </c>
      <c r="M5" s="135">
        <f t="shared" si="0"/>
        <v>0</v>
      </c>
      <c r="N5" s="136" t="str">
        <f t="shared" si="1"/>
        <v/>
      </c>
      <c r="O5" s="136" t="str">
        <f t="shared" si="2"/>
        <v/>
      </c>
      <c r="P5" s="136">
        <f t="shared" si="3"/>
        <v>0</v>
      </c>
      <c r="Q5" s="136">
        <f t="shared" si="4"/>
        <v>0</v>
      </c>
    </row>
    <row r="6" spans="1:17">
      <c r="A6" s="351"/>
      <c r="B6" s="118" t="s">
        <v>257</v>
      </c>
      <c r="C6" s="231"/>
      <c r="D6" s="229"/>
      <c r="E6" s="229"/>
      <c r="F6" s="229"/>
      <c r="G6" s="290"/>
      <c r="H6" s="286">
        <v>0</v>
      </c>
      <c r="I6" s="287" t="s">
        <v>87</v>
      </c>
      <c r="J6" s="287" t="s">
        <v>87</v>
      </c>
      <c r="K6" s="287" t="s">
        <v>87</v>
      </c>
      <c r="L6" s="287" t="s">
        <v>87</v>
      </c>
      <c r="M6" s="135">
        <f t="shared" si="0"/>
        <v>0</v>
      </c>
      <c r="N6" s="136" t="str">
        <f t="shared" si="1"/>
        <v/>
      </c>
      <c r="O6" s="136" t="str">
        <f t="shared" si="2"/>
        <v/>
      </c>
      <c r="P6" s="136">
        <f t="shared" si="3"/>
        <v>0</v>
      </c>
      <c r="Q6" s="136">
        <f t="shared" si="4"/>
        <v>0</v>
      </c>
    </row>
    <row r="7" spans="1:17">
      <c r="A7" s="351"/>
      <c r="B7" s="118" t="s">
        <v>329</v>
      </c>
      <c r="C7" s="231"/>
      <c r="D7" s="229"/>
      <c r="E7" s="229"/>
      <c r="F7" s="229"/>
      <c r="G7" s="290"/>
      <c r="H7" s="286">
        <v>0</v>
      </c>
      <c r="I7" s="287" t="s">
        <v>87</v>
      </c>
      <c r="J7" s="287" t="s">
        <v>87</v>
      </c>
      <c r="K7" s="287" t="s">
        <v>87</v>
      </c>
      <c r="L7" s="287" t="s">
        <v>87</v>
      </c>
      <c r="M7" s="135">
        <f t="shared" si="0"/>
        <v>0</v>
      </c>
      <c r="N7" s="136" t="str">
        <f t="shared" si="1"/>
        <v/>
      </c>
      <c r="O7" s="136" t="str">
        <f t="shared" si="2"/>
        <v/>
      </c>
      <c r="P7" s="136">
        <f t="shared" si="3"/>
        <v>0</v>
      </c>
      <c r="Q7" s="136">
        <f t="shared" si="4"/>
        <v>0</v>
      </c>
    </row>
    <row r="8" spans="1:17">
      <c r="A8" s="351"/>
      <c r="B8" s="118" t="s">
        <v>264</v>
      </c>
      <c r="C8" s="231"/>
      <c r="D8" s="229"/>
      <c r="E8" s="229"/>
      <c r="F8" s="229"/>
      <c r="G8" s="290"/>
      <c r="H8" s="286">
        <v>12</v>
      </c>
      <c r="I8" s="287">
        <v>79.866526525172361</v>
      </c>
      <c r="J8" s="287">
        <v>75.449591319076305</v>
      </c>
      <c r="K8" s="287">
        <v>155.31611784424865</v>
      </c>
      <c r="L8" s="287">
        <v>4.4169352060960563</v>
      </c>
      <c r="M8" s="135">
        <f t="shared" si="0"/>
        <v>12</v>
      </c>
      <c r="N8" s="136">
        <f t="shared" si="1"/>
        <v>79.866526525172361</v>
      </c>
      <c r="O8" s="136">
        <f t="shared" si="2"/>
        <v>37.724795659538152</v>
      </c>
      <c r="P8" s="136">
        <f t="shared" si="3"/>
        <v>155.31611784424865</v>
      </c>
      <c r="Q8" s="136">
        <f t="shared" si="4"/>
        <v>4.4169352060960563</v>
      </c>
    </row>
    <row r="9" spans="1:17">
      <c r="A9" s="351"/>
      <c r="B9" s="118" t="s">
        <v>265</v>
      </c>
      <c r="C9" s="231"/>
      <c r="D9" s="229"/>
      <c r="E9" s="229"/>
      <c r="F9" s="229"/>
      <c r="G9" s="290"/>
      <c r="H9" s="286">
        <v>0</v>
      </c>
      <c r="I9" s="287" t="s">
        <v>87</v>
      </c>
      <c r="J9" s="287" t="s">
        <v>87</v>
      </c>
      <c r="K9" s="287" t="s">
        <v>87</v>
      </c>
      <c r="L9" s="287" t="s">
        <v>87</v>
      </c>
      <c r="M9" s="135">
        <f t="shared" si="0"/>
        <v>0</v>
      </c>
      <c r="N9" s="136" t="str">
        <f t="shared" si="1"/>
        <v/>
      </c>
      <c r="O9" s="136" t="str">
        <f t="shared" si="2"/>
        <v/>
      </c>
      <c r="P9" s="136">
        <f t="shared" si="3"/>
        <v>0</v>
      </c>
      <c r="Q9" s="136">
        <f t="shared" si="4"/>
        <v>0</v>
      </c>
    </row>
    <row r="10" spans="1:17">
      <c r="A10" s="351"/>
      <c r="B10" s="118" t="s">
        <v>266</v>
      </c>
      <c r="C10" s="231"/>
      <c r="D10" s="229"/>
      <c r="E10" s="229"/>
      <c r="F10" s="229"/>
      <c r="G10" s="290"/>
      <c r="H10" s="286">
        <v>0</v>
      </c>
      <c r="I10" s="287" t="s">
        <v>87</v>
      </c>
      <c r="J10" s="287" t="s">
        <v>87</v>
      </c>
      <c r="K10" s="287" t="s">
        <v>87</v>
      </c>
      <c r="L10" s="287" t="s">
        <v>87</v>
      </c>
      <c r="M10" s="135">
        <f t="shared" si="0"/>
        <v>0</v>
      </c>
      <c r="N10" s="136" t="str">
        <f t="shared" si="1"/>
        <v/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31"/>
      <c r="D11" s="230"/>
      <c r="E11" s="230"/>
      <c r="F11" s="230"/>
      <c r="G11" s="290"/>
      <c r="H11" s="286">
        <v>0</v>
      </c>
      <c r="I11" s="230" t="s">
        <v>87</v>
      </c>
      <c r="J11" s="230" t="s">
        <v>87</v>
      </c>
      <c r="K11" s="230" t="s">
        <v>87</v>
      </c>
      <c r="L11" s="230" t="s">
        <v>87</v>
      </c>
      <c r="M11" s="135">
        <f t="shared" si="0"/>
        <v>0</v>
      </c>
      <c r="N11" s="230" t="str">
        <f t="shared" si="1"/>
        <v/>
      </c>
      <c r="O11" s="230" t="str">
        <f t="shared" si="2"/>
        <v/>
      </c>
      <c r="P11" s="230">
        <f t="shared" si="3"/>
        <v>0</v>
      </c>
      <c r="Q11" s="230">
        <f t="shared" si="4"/>
        <v>0</v>
      </c>
    </row>
    <row r="12" spans="1:17">
      <c r="A12" s="351"/>
      <c r="B12" s="118" t="s">
        <v>355</v>
      </c>
      <c r="C12" s="231"/>
      <c r="D12" s="230"/>
      <c r="E12" s="230"/>
      <c r="F12" s="230"/>
      <c r="G12" s="290"/>
      <c r="H12" s="286">
        <v>0</v>
      </c>
      <c r="I12" s="230" t="s">
        <v>87</v>
      </c>
      <c r="J12" s="230" t="s">
        <v>87</v>
      </c>
      <c r="K12" s="230" t="s">
        <v>87</v>
      </c>
      <c r="L12" s="230" t="s">
        <v>87</v>
      </c>
      <c r="M12" s="135">
        <f t="shared" si="0"/>
        <v>0</v>
      </c>
      <c r="N12" s="230" t="str">
        <f t="shared" si="1"/>
        <v/>
      </c>
      <c r="O12" s="230" t="str">
        <f t="shared" si="2"/>
        <v/>
      </c>
      <c r="P12" s="230">
        <f t="shared" si="3"/>
        <v>0</v>
      </c>
      <c r="Q12" s="230">
        <f t="shared" si="4"/>
        <v>0</v>
      </c>
    </row>
    <row r="13" spans="1:17">
      <c r="A13" s="351"/>
      <c r="B13" s="118" t="s">
        <v>268</v>
      </c>
      <c r="C13" s="231"/>
      <c r="D13" s="230"/>
      <c r="E13" s="230"/>
      <c r="F13" s="230"/>
      <c r="G13" s="290"/>
      <c r="H13" s="286">
        <v>0</v>
      </c>
      <c r="I13" s="230" t="s">
        <v>87</v>
      </c>
      <c r="J13" s="230" t="s">
        <v>87</v>
      </c>
      <c r="K13" s="230" t="s">
        <v>87</v>
      </c>
      <c r="L13" s="230" t="s">
        <v>87</v>
      </c>
      <c r="M13" s="135">
        <f t="shared" si="0"/>
        <v>0</v>
      </c>
      <c r="N13" s="230" t="str">
        <f t="shared" si="1"/>
        <v/>
      </c>
      <c r="O13" s="230" t="str">
        <f t="shared" si="2"/>
        <v/>
      </c>
      <c r="P13" s="230">
        <f t="shared" si="3"/>
        <v>0</v>
      </c>
      <c r="Q13" s="230">
        <f t="shared" si="4"/>
        <v>0</v>
      </c>
    </row>
    <row r="14" spans="1:17">
      <c r="A14" s="382" t="s">
        <v>269</v>
      </c>
      <c r="B14" s="118" t="s">
        <v>270</v>
      </c>
      <c r="C14" s="231"/>
      <c r="D14" s="230"/>
      <c r="E14" s="230"/>
      <c r="F14" s="230"/>
      <c r="G14" s="290"/>
      <c r="H14" s="286">
        <v>0</v>
      </c>
      <c r="I14" s="230" t="s">
        <v>87</v>
      </c>
      <c r="J14" s="230" t="s">
        <v>87</v>
      </c>
      <c r="K14" s="230" t="s">
        <v>87</v>
      </c>
      <c r="L14" s="230" t="s">
        <v>87</v>
      </c>
      <c r="M14" s="135">
        <f t="shared" si="0"/>
        <v>0</v>
      </c>
      <c r="N14" s="230" t="str">
        <f t="shared" si="1"/>
        <v/>
      </c>
      <c r="O14" s="230" t="str">
        <f t="shared" si="2"/>
        <v/>
      </c>
      <c r="P14" s="230">
        <f t="shared" si="3"/>
        <v>0</v>
      </c>
      <c r="Q14" s="230">
        <f t="shared" si="4"/>
        <v>0</v>
      </c>
    </row>
    <row r="15" spans="1:17">
      <c r="A15" s="382"/>
      <c r="B15" s="118" t="s">
        <v>271</v>
      </c>
      <c r="C15" s="231"/>
      <c r="D15" s="229"/>
      <c r="E15" s="229"/>
      <c r="F15" s="229"/>
      <c r="G15" s="290"/>
      <c r="H15" s="286">
        <v>0</v>
      </c>
      <c r="I15" s="287" t="s">
        <v>87</v>
      </c>
      <c r="J15" s="287" t="s">
        <v>87</v>
      </c>
      <c r="K15" s="287" t="s">
        <v>87</v>
      </c>
      <c r="L15" s="287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82"/>
      <c r="B16" s="118" t="s">
        <v>272</v>
      </c>
      <c r="C16" s="231"/>
      <c r="D16" s="229"/>
      <c r="E16" s="229"/>
      <c r="F16" s="229"/>
      <c r="G16" s="290"/>
      <c r="H16" s="286">
        <v>0</v>
      </c>
      <c r="I16" s="287" t="s">
        <v>87</v>
      </c>
      <c r="J16" s="287" t="s">
        <v>87</v>
      </c>
      <c r="K16" s="287" t="s">
        <v>87</v>
      </c>
      <c r="L16" s="287" t="s">
        <v>87</v>
      </c>
      <c r="M16" s="135">
        <f t="shared" si="0"/>
        <v>0</v>
      </c>
      <c r="N16" s="136" t="str">
        <f t="shared" si="1"/>
        <v/>
      </c>
      <c r="O16" s="136" t="str">
        <f t="shared" si="2"/>
        <v/>
      </c>
      <c r="P16" s="136">
        <f t="shared" si="3"/>
        <v>0</v>
      </c>
      <c r="Q16" s="136">
        <f t="shared" si="4"/>
        <v>0</v>
      </c>
    </row>
    <row r="17" spans="1:17">
      <c r="A17" s="382" t="s">
        <v>273</v>
      </c>
      <c r="B17" s="118" t="s">
        <v>306</v>
      </c>
      <c r="C17" s="231"/>
      <c r="D17" s="229"/>
      <c r="E17" s="229"/>
      <c r="F17" s="229"/>
      <c r="G17" s="290"/>
      <c r="H17" s="286">
        <v>16</v>
      </c>
      <c r="I17" s="287">
        <v>3.1453974427101818</v>
      </c>
      <c r="J17" s="287">
        <v>4.9131818693784908</v>
      </c>
      <c r="K17" s="287">
        <v>8.0585793120886731</v>
      </c>
      <c r="L17" s="287">
        <v>0</v>
      </c>
      <c r="M17" s="135">
        <f t="shared" si="0"/>
        <v>16</v>
      </c>
      <c r="N17" s="136">
        <f t="shared" si="1"/>
        <v>3.1453974427101818</v>
      </c>
      <c r="O17" s="136">
        <f t="shared" si="2"/>
        <v>2.4565909346892454</v>
      </c>
      <c r="P17" s="136">
        <f t="shared" si="3"/>
        <v>8.0585793120886731</v>
      </c>
      <c r="Q17" s="136">
        <f t="shared" si="4"/>
        <v>0</v>
      </c>
    </row>
    <row r="18" spans="1:17">
      <c r="A18" s="382"/>
      <c r="B18" s="118" t="s">
        <v>274</v>
      </c>
      <c r="C18" s="231"/>
      <c r="D18" s="229"/>
      <c r="E18" s="229"/>
      <c r="F18" s="229"/>
      <c r="G18" s="290"/>
      <c r="H18" s="286">
        <v>0</v>
      </c>
      <c r="I18" s="287" t="s">
        <v>87</v>
      </c>
      <c r="J18" s="287" t="s">
        <v>87</v>
      </c>
      <c r="K18" s="287" t="s">
        <v>87</v>
      </c>
      <c r="L18" s="287" t="s">
        <v>87</v>
      </c>
      <c r="M18" s="135">
        <f t="shared" si="0"/>
        <v>0</v>
      </c>
      <c r="N18" s="136" t="str">
        <f t="shared" si="1"/>
        <v/>
      </c>
      <c r="O18" s="136" t="str">
        <f t="shared" si="2"/>
        <v/>
      </c>
      <c r="P18" s="136">
        <f t="shared" si="3"/>
        <v>0</v>
      </c>
      <c r="Q18" s="136">
        <f t="shared" si="4"/>
        <v>0</v>
      </c>
    </row>
    <row r="19" spans="1:17">
      <c r="A19" s="382"/>
      <c r="B19" s="118" t="s">
        <v>275</v>
      </c>
      <c r="C19" s="231"/>
      <c r="D19" s="229"/>
      <c r="E19" s="229"/>
      <c r="F19" s="229"/>
      <c r="G19" s="290"/>
      <c r="H19" s="286">
        <v>0</v>
      </c>
      <c r="I19" s="287" t="s">
        <v>87</v>
      </c>
      <c r="J19" s="287" t="s">
        <v>87</v>
      </c>
      <c r="K19" s="287" t="s">
        <v>87</v>
      </c>
      <c r="L19" s="287" t="s">
        <v>87</v>
      </c>
      <c r="M19" s="135">
        <f t="shared" si="0"/>
        <v>0</v>
      </c>
      <c r="N19" s="136" t="str">
        <f t="shared" si="1"/>
        <v/>
      </c>
      <c r="O19" s="136" t="str">
        <f t="shared" si="2"/>
        <v/>
      </c>
      <c r="P19" s="136">
        <f t="shared" si="3"/>
        <v>0</v>
      </c>
      <c r="Q19" s="136">
        <f t="shared" si="4"/>
        <v>0</v>
      </c>
    </row>
    <row r="20" spans="1:17">
      <c r="A20" s="382"/>
      <c r="B20" s="118" t="s">
        <v>276</v>
      </c>
      <c r="C20" s="231"/>
      <c r="D20" s="229"/>
      <c r="E20" s="229"/>
      <c r="F20" s="229"/>
      <c r="G20" s="290"/>
      <c r="H20" s="286">
        <v>0</v>
      </c>
      <c r="I20" s="287" t="s">
        <v>87</v>
      </c>
      <c r="J20" s="287" t="s">
        <v>87</v>
      </c>
      <c r="K20" s="287" t="s">
        <v>87</v>
      </c>
      <c r="L20" s="287" t="s">
        <v>87</v>
      </c>
      <c r="M20" s="135">
        <f t="shared" si="0"/>
        <v>0</v>
      </c>
      <c r="N20" s="136" t="str">
        <f t="shared" si="1"/>
        <v/>
      </c>
      <c r="O20" s="136" t="str">
        <f t="shared" si="2"/>
        <v/>
      </c>
      <c r="P20" s="136">
        <f t="shared" si="3"/>
        <v>0</v>
      </c>
      <c r="Q20" s="136">
        <f t="shared" si="4"/>
        <v>0</v>
      </c>
    </row>
    <row r="21" spans="1:17">
      <c r="A21" s="382" t="s">
        <v>277</v>
      </c>
      <c r="B21" s="118" t="s">
        <v>278</v>
      </c>
      <c r="C21" s="231"/>
      <c r="D21" s="229"/>
      <c r="E21" s="229"/>
      <c r="F21" s="229"/>
      <c r="G21" s="290"/>
      <c r="H21" s="286">
        <v>0</v>
      </c>
      <c r="I21" s="287" t="s">
        <v>87</v>
      </c>
      <c r="J21" s="287" t="s">
        <v>87</v>
      </c>
      <c r="K21" s="287" t="s">
        <v>87</v>
      </c>
      <c r="L21" s="287" t="s">
        <v>87</v>
      </c>
      <c r="M21" s="135">
        <f t="shared" si="0"/>
        <v>0</v>
      </c>
      <c r="N21" s="136" t="str">
        <f t="shared" si="1"/>
        <v/>
      </c>
      <c r="O21" s="136" t="str">
        <f t="shared" si="2"/>
        <v/>
      </c>
      <c r="P21" s="136">
        <f t="shared" si="3"/>
        <v>0</v>
      </c>
      <c r="Q21" s="136">
        <f t="shared" si="4"/>
        <v>0</v>
      </c>
    </row>
    <row r="22" spans="1:17">
      <c r="A22" s="382"/>
      <c r="B22" s="118" t="s">
        <v>279</v>
      </c>
      <c r="C22" s="231"/>
      <c r="D22" s="229"/>
      <c r="E22" s="229"/>
      <c r="F22" s="229"/>
      <c r="G22" s="290"/>
      <c r="H22" s="286">
        <v>0</v>
      </c>
      <c r="I22" s="287" t="s">
        <v>87</v>
      </c>
      <c r="J22" s="287" t="s">
        <v>87</v>
      </c>
      <c r="K22" s="287" t="s">
        <v>87</v>
      </c>
      <c r="L22" s="287" t="s">
        <v>87</v>
      </c>
      <c r="M22" s="135">
        <f t="shared" si="0"/>
        <v>0</v>
      </c>
      <c r="N22" s="136" t="str">
        <f t="shared" si="1"/>
        <v/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82"/>
      <c r="B23" s="118" t="s">
        <v>280</v>
      </c>
      <c r="C23" s="231"/>
      <c r="D23" s="229"/>
      <c r="E23" s="229"/>
      <c r="F23" s="229"/>
      <c r="G23" s="290"/>
      <c r="H23" s="286">
        <v>0</v>
      </c>
      <c r="I23" s="287" t="s">
        <v>87</v>
      </c>
      <c r="J23" s="287" t="s">
        <v>87</v>
      </c>
      <c r="K23" s="287" t="s">
        <v>87</v>
      </c>
      <c r="L23" s="287" t="s">
        <v>87</v>
      </c>
      <c r="M23" s="135">
        <f t="shared" si="0"/>
        <v>0</v>
      </c>
      <c r="N23" s="136" t="str">
        <f t="shared" si="1"/>
        <v/>
      </c>
      <c r="O23" s="136" t="str">
        <f t="shared" si="2"/>
        <v/>
      </c>
      <c r="P23" s="136">
        <f t="shared" si="3"/>
        <v>0</v>
      </c>
      <c r="Q23" s="136">
        <f t="shared" si="4"/>
        <v>0</v>
      </c>
    </row>
    <row r="24" spans="1:17">
      <c r="A24" s="382"/>
      <c r="B24" s="118" t="s">
        <v>281</v>
      </c>
      <c r="C24" s="231"/>
      <c r="D24" s="230"/>
      <c r="E24" s="230"/>
      <c r="F24" s="230"/>
      <c r="G24" s="290"/>
      <c r="H24" s="286">
        <v>0</v>
      </c>
      <c r="I24" s="230" t="s">
        <v>87</v>
      </c>
      <c r="J24" s="230" t="s">
        <v>87</v>
      </c>
      <c r="K24" s="230" t="s">
        <v>87</v>
      </c>
      <c r="L24" s="230" t="s">
        <v>87</v>
      </c>
      <c r="M24" s="135">
        <f t="shared" si="0"/>
        <v>0</v>
      </c>
      <c r="N24" s="230" t="str">
        <f t="shared" si="1"/>
        <v/>
      </c>
      <c r="O24" s="230" t="str">
        <f t="shared" si="2"/>
        <v/>
      </c>
      <c r="P24" s="230">
        <f t="shared" si="3"/>
        <v>0</v>
      </c>
      <c r="Q24" s="230">
        <f t="shared" si="4"/>
        <v>0</v>
      </c>
    </row>
    <row r="25" spans="1:17">
      <c r="A25" s="382"/>
      <c r="B25" s="118" t="s">
        <v>282</v>
      </c>
      <c r="C25" s="231"/>
      <c r="D25" s="229"/>
      <c r="E25" s="229"/>
      <c r="F25" s="229"/>
      <c r="G25" s="290"/>
      <c r="H25" s="286">
        <v>0</v>
      </c>
      <c r="I25" s="287" t="s">
        <v>87</v>
      </c>
      <c r="J25" s="287" t="s">
        <v>87</v>
      </c>
      <c r="K25" s="287" t="s">
        <v>87</v>
      </c>
      <c r="L25" s="287" t="s">
        <v>87</v>
      </c>
      <c r="M25" s="135">
        <f t="shared" si="0"/>
        <v>0</v>
      </c>
      <c r="N25" s="136" t="str">
        <f t="shared" si="1"/>
        <v/>
      </c>
      <c r="O25" s="136" t="str">
        <f t="shared" si="2"/>
        <v/>
      </c>
      <c r="P25" s="136">
        <f t="shared" si="3"/>
        <v>0</v>
      </c>
      <c r="Q25" s="136">
        <f t="shared" si="4"/>
        <v>0</v>
      </c>
    </row>
    <row r="26" spans="1:17">
      <c r="A26" s="215" t="s">
        <v>283</v>
      </c>
      <c r="B26" s="118" t="s">
        <v>284</v>
      </c>
      <c r="C26" s="231"/>
      <c r="D26" s="229"/>
      <c r="E26" s="229"/>
      <c r="F26" s="229"/>
      <c r="G26" s="290"/>
      <c r="H26" s="286">
        <v>0</v>
      </c>
      <c r="I26" s="287" t="s">
        <v>87</v>
      </c>
      <c r="J26" s="287" t="s">
        <v>87</v>
      </c>
      <c r="K26" s="287" t="s">
        <v>87</v>
      </c>
      <c r="L26" s="287" t="s">
        <v>87</v>
      </c>
      <c r="M26" s="135">
        <f t="shared" si="0"/>
        <v>0</v>
      </c>
      <c r="N26" s="136" t="str">
        <f t="shared" si="1"/>
        <v/>
      </c>
      <c r="O26" s="136" t="str">
        <f t="shared" si="2"/>
        <v/>
      </c>
      <c r="P26" s="136">
        <f t="shared" si="3"/>
        <v>0</v>
      </c>
      <c r="Q26" s="136">
        <f t="shared" si="4"/>
        <v>0</v>
      </c>
    </row>
    <row r="27" spans="1:17">
      <c r="A27" s="382" t="s">
        <v>285</v>
      </c>
      <c r="B27" s="118" t="s">
        <v>286</v>
      </c>
      <c r="C27" s="231"/>
      <c r="D27" s="229"/>
      <c r="E27" s="229"/>
      <c r="F27" s="229"/>
      <c r="G27" s="290"/>
      <c r="H27" s="286">
        <v>0</v>
      </c>
      <c r="I27" s="287" t="s">
        <v>87</v>
      </c>
      <c r="J27" s="287" t="s">
        <v>87</v>
      </c>
      <c r="K27" s="287" t="s">
        <v>87</v>
      </c>
      <c r="L27" s="287" t="s">
        <v>87</v>
      </c>
      <c r="M27" s="135">
        <f t="shared" si="0"/>
        <v>0</v>
      </c>
      <c r="N27" s="136" t="str">
        <f t="shared" si="1"/>
        <v/>
      </c>
      <c r="O27" s="136" t="str">
        <f t="shared" si="2"/>
        <v/>
      </c>
      <c r="P27" s="136">
        <f t="shared" si="3"/>
        <v>0</v>
      </c>
      <c r="Q27" s="136">
        <f t="shared" si="4"/>
        <v>0</v>
      </c>
    </row>
    <row r="28" spans="1:17">
      <c r="A28" s="382"/>
      <c r="B28" s="118" t="s">
        <v>287</v>
      </c>
      <c r="C28" s="231"/>
      <c r="D28" s="229"/>
      <c r="E28" s="229"/>
      <c r="F28" s="229"/>
      <c r="G28" s="290"/>
      <c r="H28" s="286">
        <v>0</v>
      </c>
      <c r="I28" s="287" t="s">
        <v>87</v>
      </c>
      <c r="J28" s="287" t="s">
        <v>87</v>
      </c>
      <c r="K28" s="287" t="s">
        <v>87</v>
      </c>
      <c r="L28" s="287" t="s">
        <v>87</v>
      </c>
      <c r="M28" s="135">
        <f t="shared" si="0"/>
        <v>0</v>
      </c>
      <c r="N28" s="136" t="str">
        <f t="shared" si="1"/>
        <v/>
      </c>
      <c r="O28" s="136" t="str">
        <f t="shared" si="2"/>
        <v/>
      </c>
      <c r="P28" s="136">
        <f t="shared" si="3"/>
        <v>0</v>
      </c>
      <c r="Q28" s="136">
        <f t="shared" si="4"/>
        <v>0</v>
      </c>
    </row>
    <row r="29" spans="1:17">
      <c r="A29" s="382" t="s">
        <v>288</v>
      </c>
      <c r="B29" s="118" t="s">
        <v>289</v>
      </c>
      <c r="C29" s="231"/>
      <c r="D29" s="229"/>
      <c r="E29" s="229"/>
      <c r="F29" s="229"/>
      <c r="G29" s="290"/>
      <c r="H29" s="286">
        <v>0</v>
      </c>
      <c r="I29" s="287" t="s">
        <v>87</v>
      </c>
      <c r="J29" s="287" t="s">
        <v>87</v>
      </c>
      <c r="K29" s="287" t="s">
        <v>87</v>
      </c>
      <c r="L29" s="287" t="s">
        <v>87</v>
      </c>
      <c r="M29" s="135">
        <f t="shared" si="0"/>
        <v>0</v>
      </c>
      <c r="N29" s="136" t="str">
        <f t="shared" si="1"/>
        <v/>
      </c>
      <c r="O29" s="136" t="str">
        <f t="shared" si="2"/>
        <v/>
      </c>
      <c r="P29" s="136">
        <f t="shared" si="3"/>
        <v>0</v>
      </c>
      <c r="Q29" s="136">
        <f t="shared" si="4"/>
        <v>0</v>
      </c>
    </row>
    <row r="30" spans="1:17">
      <c r="A30" s="382"/>
      <c r="B30" s="118" t="s">
        <v>290</v>
      </c>
      <c r="C30" s="231"/>
      <c r="D30" s="229"/>
      <c r="E30" s="229"/>
      <c r="F30" s="229"/>
      <c r="G30" s="290"/>
      <c r="H30" s="286">
        <v>0</v>
      </c>
      <c r="I30" s="287" t="s">
        <v>87</v>
      </c>
      <c r="J30" s="287" t="s">
        <v>87</v>
      </c>
      <c r="K30" s="287" t="s">
        <v>87</v>
      </c>
      <c r="L30" s="287" t="s">
        <v>87</v>
      </c>
      <c r="M30" s="135">
        <f t="shared" si="0"/>
        <v>0</v>
      </c>
      <c r="N30" s="136" t="str">
        <f t="shared" si="1"/>
        <v/>
      </c>
      <c r="O30" s="136" t="str">
        <f t="shared" si="2"/>
        <v/>
      </c>
      <c r="P30" s="136">
        <f t="shared" si="3"/>
        <v>0</v>
      </c>
      <c r="Q30" s="136">
        <f t="shared" si="4"/>
        <v>0</v>
      </c>
    </row>
    <row r="31" spans="1:17">
      <c r="A31" s="384" t="s">
        <v>291</v>
      </c>
      <c r="B31" s="118" t="s">
        <v>292</v>
      </c>
      <c r="C31" s="231"/>
      <c r="D31" s="230"/>
      <c r="E31" s="230"/>
      <c r="F31" s="230"/>
      <c r="G31" s="290"/>
      <c r="H31" s="286">
        <v>0</v>
      </c>
      <c r="I31" s="230" t="s">
        <v>87</v>
      </c>
      <c r="J31" s="230" t="s">
        <v>87</v>
      </c>
      <c r="K31" s="230" t="s">
        <v>87</v>
      </c>
      <c r="L31" s="230" t="s">
        <v>87</v>
      </c>
      <c r="M31" s="135">
        <f t="shared" si="0"/>
        <v>0</v>
      </c>
      <c r="N31" s="230" t="str">
        <f t="shared" si="1"/>
        <v/>
      </c>
      <c r="O31" s="230" t="str">
        <f t="shared" si="2"/>
        <v/>
      </c>
      <c r="P31" s="230">
        <f t="shared" si="3"/>
        <v>0</v>
      </c>
      <c r="Q31" s="230">
        <f t="shared" si="4"/>
        <v>0</v>
      </c>
    </row>
    <row r="32" spans="1:17">
      <c r="A32" s="385"/>
      <c r="B32" s="118" t="s">
        <v>293</v>
      </c>
      <c r="C32" s="231"/>
      <c r="D32" s="229"/>
      <c r="E32" s="229"/>
      <c r="F32" s="229"/>
      <c r="G32" s="290"/>
      <c r="H32" s="286">
        <v>0</v>
      </c>
      <c r="I32" s="287" t="s">
        <v>87</v>
      </c>
      <c r="J32" s="287" t="s">
        <v>87</v>
      </c>
      <c r="K32" s="287" t="s">
        <v>87</v>
      </c>
      <c r="L32" s="287" t="s">
        <v>87</v>
      </c>
      <c r="M32" s="135">
        <f t="shared" si="0"/>
        <v>0</v>
      </c>
      <c r="N32" s="136" t="str">
        <f t="shared" si="1"/>
        <v/>
      </c>
      <c r="O32" s="136" t="str">
        <f t="shared" si="2"/>
        <v/>
      </c>
      <c r="P32" s="136">
        <f t="shared" si="3"/>
        <v>0</v>
      </c>
      <c r="Q32" s="136">
        <f t="shared" si="4"/>
        <v>0</v>
      </c>
    </row>
    <row r="33" spans="1:17">
      <c r="A33" s="385"/>
      <c r="B33" s="118" t="s">
        <v>294</v>
      </c>
      <c r="C33" s="231"/>
      <c r="D33" s="229"/>
      <c r="E33" s="229"/>
      <c r="F33" s="229"/>
      <c r="G33" s="290"/>
      <c r="H33" s="286">
        <v>0</v>
      </c>
      <c r="I33" s="287" t="s">
        <v>87</v>
      </c>
      <c r="J33" s="287" t="s">
        <v>87</v>
      </c>
      <c r="K33" s="287" t="s">
        <v>87</v>
      </c>
      <c r="L33" s="287" t="s">
        <v>87</v>
      </c>
      <c r="M33" s="135">
        <f t="shared" si="0"/>
        <v>0</v>
      </c>
      <c r="N33" s="136" t="str">
        <f t="shared" si="1"/>
        <v/>
      </c>
      <c r="O33" s="136" t="str">
        <f t="shared" si="2"/>
        <v/>
      </c>
      <c r="P33" s="136">
        <f t="shared" si="3"/>
        <v>0</v>
      </c>
      <c r="Q33" s="136">
        <f t="shared" si="4"/>
        <v>0</v>
      </c>
    </row>
    <row r="34" spans="1:17">
      <c r="A34" s="385"/>
      <c r="B34" s="118" t="s">
        <v>295</v>
      </c>
      <c r="C34" s="231"/>
      <c r="D34" s="229"/>
      <c r="E34" s="229"/>
      <c r="F34" s="229"/>
      <c r="G34" s="290"/>
      <c r="H34" s="286">
        <v>0</v>
      </c>
      <c r="I34" s="287" t="s">
        <v>87</v>
      </c>
      <c r="J34" s="287" t="s">
        <v>87</v>
      </c>
      <c r="K34" s="287" t="s">
        <v>87</v>
      </c>
      <c r="L34" s="287" t="s">
        <v>87</v>
      </c>
      <c r="M34" s="135">
        <f t="shared" si="0"/>
        <v>0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6"/>
      <c r="B35" s="118" t="s">
        <v>296</v>
      </c>
      <c r="C35" s="231"/>
      <c r="D35" s="229"/>
      <c r="E35" s="229"/>
      <c r="F35" s="229"/>
      <c r="G35" s="290"/>
      <c r="H35" s="286">
        <v>0</v>
      </c>
      <c r="I35" s="287" t="s">
        <v>87</v>
      </c>
      <c r="J35" s="287" t="s">
        <v>87</v>
      </c>
      <c r="K35" s="287" t="s">
        <v>87</v>
      </c>
      <c r="L35" s="287" t="s">
        <v>87</v>
      </c>
      <c r="M35" s="135">
        <f t="shared" si="0"/>
        <v>0</v>
      </c>
      <c r="N35" s="136" t="str">
        <f t="shared" si="1"/>
        <v/>
      </c>
      <c r="O35" s="136" t="str">
        <f t="shared" si="2"/>
        <v/>
      </c>
      <c r="P35" s="136">
        <f t="shared" si="3"/>
        <v>0</v>
      </c>
      <c r="Q35" s="136">
        <f t="shared" si="4"/>
        <v>0</v>
      </c>
    </row>
    <row r="36" spans="1:17">
      <c r="A36" s="386"/>
      <c r="B36" s="118" t="s">
        <v>297</v>
      </c>
      <c r="C36" s="231"/>
      <c r="D36" s="229"/>
      <c r="E36" s="229"/>
      <c r="F36" s="229"/>
      <c r="G36" s="290"/>
      <c r="H36" s="286">
        <v>0</v>
      </c>
      <c r="I36" s="287" t="s">
        <v>87</v>
      </c>
      <c r="J36" s="287" t="s">
        <v>87</v>
      </c>
      <c r="K36" s="287" t="s">
        <v>87</v>
      </c>
      <c r="L36" s="287" t="s">
        <v>87</v>
      </c>
      <c r="M36" s="135">
        <f t="shared" si="0"/>
        <v>0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7"/>
      <c r="B37" s="118" t="s">
        <v>298</v>
      </c>
      <c r="C37" s="231"/>
      <c r="D37" s="229"/>
      <c r="E37" s="229"/>
      <c r="F37" s="229"/>
      <c r="G37" s="290"/>
      <c r="H37" s="286">
        <v>0</v>
      </c>
      <c r="I37" s="287" t="s">
        <v>87</v>
      </c>
      <c r="J37" s="287" t="s">
        <v>87</v>
      </c>
      <c r="K37" s="287" t="s">
        <v>87</v>
      </c>
      <c r="L37" s="287" t="s">
        <v>87</v>
      </c>
      <c r="M37" s="135">
        <f t="shared" si="0"/>
        <v>0</v>
      </c>
      <c r="N37" s="136" t="str">
        <f t="shared" si="1"/>
        <v/>
      </c>
      <c r="O37" s="136" t="str">
        <f t="shared" si="2"/>
        <v/>
      </c>
      <c r="P37" s="136">
        <f t="shared" si="3"/>
        <v>0</v>
      </c>
      <c r="Q37" s="136">
        <f t="shared" si="4"/>
        <v>0</v>
      </c>
    </row>
    <row r="38" spans="1:17">
      <c r="A38" s="363" t="s">
        <v>299</v>
      </c>
      <c r="B38" s="118" t="s">
        <v>300</v>
      </c>
      <c r="C38" s="231"/>
      <c r="D38" s="229"/>
      <c r="E38" s="229"/>
      <c r="F38" s="229"/>
      <c r="G38" s="290"/>
      <c r="H38" s="286">
        <v>0</v>
      </c>
      <c r="I38" s="287" t="s">
        <v>87</v>
      </c>
      <c r="J38" s="287" t="s">
        <v>87</v>
      </c>
      <c r="K38" s="287" t="s">
        <v>87</v>
      </c>
      <c r="L38" s="287" t="s">
        <v>87</v>
      </c>
      <c r="M38" s="135">
        <f t="shared" si="0"/>
        <v>0</v>
      </c>
      <c r="N38" s="136" t="str">
        <f t="shared" si="1"/>
        <v/>
      </c>
      <c r="O38" s="136" t="str">
        <f t="shared" si="2"/>
        <v/>
      </c>
      <c r="P38" s="136">
        <f t="shared" si="3"/>
        <v>0</v>
      </c>
      <c r="Q38" s="136">
        <f t="shared" si="4"/>
        <v>0</v>
      </c>
    </row>
    <row r="39" spans="1:17">
      <c r="A39" s="363"/>
      <c r="B39" s="118" t="s">
        <v>301</v>
      </c>
      <c r="C39" s="231"/>
      <c r="D39" s="229"/>
      <c r="E39" s="229"/>
      <c r="F39" s="229"/>
      <c r="G39" s="290"/>
      <c r="H39" s="286">
        <v>0</v>
      </c>
      <c r="I39" s="287" t="s">
        <v>87</v>
      </c>
      <c r="J39" s="287" t="s">
        <v>87</v>
      </c>
      <c r="K39" s="287" t="s">
        <v>87</v>
      </c>
      <c r="L39" s="287" t="s">
        <v>87</v>
      </c>
      <c r="M39" s="135">
        <f t="shared" si="0"/>
        <v>0</v>
      </c>
      <c r="N39" s="136" t="str">
        <f t="shared" si="1"/>
        <v/>
      </c>
      <c r="O39" s="136" t="str">
        <f t="shared" si="2"/>
        <v/>
      </c>
      <c r="P39" s="136">
        <f t="shared" si="3"/>
        <v>0</v>
      </c>
      <c r="Q39" s="136">
        <f t="shared" si="4"/>
        <v>0</v>
      </c>
    </row>
    <row r="40" spans="1:17">
      <c r="A40" s="363"/>
      <c r="B40" s="118" t="s">
        <v>302</v>
      </c>
      <c r="C40" s="231"/>
      <c r="D40" s="230"/>
      <c r="E40" s="230"/>
      <c r="F40" s="230"/>
      <c r="G40" s="290"/>
      <c r="H40" s="286">
        <v>0</v>
      </c>
      <c r="I40" s="230" t="s">
        <v>87</v>
      </c>
      <c r="J40" s="230" t="s">
        <v>87</v>
      </c>
      <c r="K40" s="230" t="s">
        <v>87</v>
      </c>
      <c r="L40" s="230" t="s">
        <v>87</v>
      </c>
      <c r="M40" s="135">
        <f t="shared" si="0"/>
        <v>0</v>
      </c>
      <c r="N40" s="230" t="str">
        <f t="shared" si="1"/>
        <v/>
      </c>
      <c r="O40" s="230" t="str">
        <f t="shared" si="2"/>
        <v/>
      </c>
      <c r="P40" s="230">
        <f t="shared" si="3"/>
        <v>0</v>
      </c>
      <c r="Q40" s="230">
        <f t="shared" si="4"/>
        <v>0</v>
      </c>
    </row>
    <row r="41" spans="1:17">
      <c r="A41" s="363"/>
      <c r="B41" s="120" t="s">
        <v>303</v>
      </c>
      <c r="C41" s="231"/>
      <c r="D41" s="229"/>
      <c r="E41" s="229"/>
      <c r="F41" s="229"/>
      <c r="G41" s="291"/>
      <c r="H41" s="286">
        <v>0</v>
      </c>
      <c r="I41" s="287" t="s">
        <v>87</v>
      </c>
      <c r="J41" s="287" t="s">
        <v>87</v>
      </c>
      <c r="K41" s="287" t="s">
        <v>87</v>
      </c>
      <c r="L41" s="287" t="s">
        <v>87</v>
      </c>
      <c r="M41" s="135">
        <f t="shared" si="0"/>
        <v>0</v>
      </c>
      <c r="N41" s="136" t="str">
        <f t="shared" si="1"/>
        <v/>
      </c>
      <c r="O41" s="136" t="str">
        <f t="shared" si="2"/>
        <v/>
      </c>
      <c r="P41" s="136">
        <f t="shared" si="3"/>
        <v>0</v>
      </c>
      <c r="Q41" s="136">
        <f t="shared" si="4"/>
        <v>0</v>
      </c>
    </row>
    <row r="42" spans="1:17">
      <c r="A42" s="363"/>
      <c r="B42" s="120" t="s">
        <v>304</v>
      </c>
      <c r="C42" s="231"/>
      <c r="D42" s="229"/>
      <c r="E42" s="229"/>
      <c r="F42" s="229"/>
      <c r="G42" s="291"/>
      <c r="H42" s="286">
        <v>0</v>
      </c>
      <c r="I42" s="287" t="s">
        <v>87</v>
      </c>
      <c r="J42" s="287" t="s">
        <v>87</v>
      </c>
      <c r="K42" s="287" t="s">
        <v>87</v>
      </c>
      <c r="L42" s="287" t="s">
        <v>87</v>
      </c>
      <c r="M42" s="135">
        <f t="shared" si="0"/>
        <v>0</v>
      </c>
      <c r="N42" s="136" t="str">
        <f t="shared" si="1"/>
        <v/>
      </c>
      <c r="O42" s="136" t="str">
        <f t="shared" si="2"/>
        <v/>
      </c>
      <c r="P42" s="136">
        <f t="shared" si="3"/>
        <v>0</v>
      </c>
      <c r="Q42" s="136">
        <f t="shared" si="4"/>
        <v>0</v>
      </c>
    </row>
    <row r="43" spans="1:17">
      <c r="A43" s="363"/>
      <c r="B43" s="120" t="s">
        <v>305</v>
      </c>
      <c r="C43" s="231"/>
      <c r="D43" s="229"/>
      <c r="E43" s="229"/>
      <c r="F43" s="229"/>
      <c r="G43" s="291"/>
      <c r="H43" s="286">
        <v>0</v>
      </c>
      <c r="I43" s="287" t="s">
        <v>87</v>
      </c>
      <c r="J43" s="287" t="s">
        <v>87</v>
      </c>
      <c r="K43" s="287" t="s">
        <v>87</v>
      </c>
      <c r="L43" s="287" t="s">
        <v>87</v>
      </c>
      <c r="M43" s="135">
        <f t="shared" si="0"/>
        <v>0</v>
      </c>
      <c r="N43" s="136" t="str">
        <f t="shared" si="1"/>
        <v/>
      </c>
      <c r="O43" s="136" t="str">
        <f t="shared" si="2"/>
        <v/>
      </c>
      <c r="P43" s="136">
        <f t="shared" si="3"/>
        <v>0</v>
      </c>
      <c r="Q43" s="136">
        <f t="shared" si="4"/>
        <v>0</v>
      </c>
    </row>
    <row r="44" spans="1:17">
      <c r="A44" s="398" t="s">
        <v>477</v>
      </c>
      <c r="B44" s="292" t="s">
        <v>466</v>
      </c>
      <c r="C44" s="136"/>
      <c r="D44" s="136"/>
      <c r="E44" s="136"/>
      <c r="F44" s="136"/>
      <c r="G44" s="296"/>
      <c r="H44" s="286">
        <v>16</v>
      </c>
      <c r="I44" s="287">
        <v>27.9375</v>
      </c>
      <c r="J44" s="287">
        <v>8.233822522579251</v>
      </c>
      <c r="K44" s="287">
        <v>36.171322522579253</v>
      </c>
      <c r="L44" s="287">
        <v>19.703677477420747</v>
      </c>
      <c r="M44" s="135">
        <f t="shared" ref="M44:M55" si="5">IFERROR(C44+H44,"")</f>
        <v>16</v>
      </c>
      <c r="N44" s="136">
        <f t="shared" ref="N44:N55" si="6">IFERROR((C44*D44+H44*I44)/M44,"")</f>
        <v>27.9375</v>
      </c>
      <c r="O44" s="136">
        <f t="shared" ref="O44:O55" si="7">IFERROR((E44+J44)/2,"")</f>
        <v>4.1169112612896255</v>
      </c>
      <c r="P44" s="136">
        <f t="shared" ref="P44:P55" si="8">IFERROR(MAXA(F44,K44),"")</f>
        <v>36.171322522579253</v>
      </c>
      <c r="Q44" s="136">
        <f t="shared" ref="Q44:Q55" si="9">IFERROR(MINA(G44,L44),"")</f>
        <v>19.703677477420747</v>
      </c>
    </row>
    <row r="45" spans="1:17" ht="16.5">
      <c r="A45" s="399"/>
      <c r="B45" s="293" t="s">
        <v>467</v>
      </c>
      <c r="C45" s="136"/>
      <c r="D45" s="136"/>
      <c r="E45" s="136"/>
      <c r="F45" s="136"/>
      <c r="G45" s="295"/>
      <c r="H45" s="286">
        <v>16</v>
      </c>
      <c r="I45" s="287">
        <v>30.135000000000002</v>
      </c>
      <c r="J45" s="287">
        <v>6.4059857425171698</v>
      </c>
      <c r="K45" s="287">
        <v>36.540985742517172</v>
      </c>
      <c r="L45" s="287">
        <v>23.729014257482831</v>
      </c>
      <c r="M45" s="135">
        <f t="shared" si="5"/>
        <v>16</v>
      </c>
      <c r="N45" s="136">
        <f t="shared" si="6"/>
        <v>30.135000000000002</v>
      </c>
      <c r="O45" s="136">
        <f t="shared" si="7"/>
        <v>3.2029928712585849</v>
      </c>
      <c r="P45" s="136">
        <f t="shared" si="8"/>
        <v>36.540985742517172</v>
      </c>
      <c r="Q45" s="136">
        <f t="shared" si="9"/>
        <v>23.729014257482831</v>
      </c>
    </row>
    <row r="46" spans="1:17" ht="16.5">
      <c r="A46" s="399"/>
      <c r="B46" s="294" t="s">
        <v>468</v>
      </c>
      <c r="C46" s="136"/>
      <c r="D46" s="136"/>
      <c r="E46" s="136"/>
      <c r="F46" s="136"/>
      <c r="G46" s="297"/>
      <c r="H46" s="286">
        <v>16</v>
      </c>
      <c r="I46" s="287">
        <v>0</v>
      </c>
      <c r="J46" s="287">
        <v>0</v>
      </c>
      <c r="K46" s="287">
        <v>0</v>
      </c>
      <c r="L46" s="287">
        <v>0</v>
      </c>
      <c r="M46" s="135">
        <f t="shared" si="5"/>
        <v>16</v>
      </c>
      <c r="N46" s="136">
        <f t="shared" si="6"/>
        <v>0</v>
      </c>
      <c r="O46" s="136">
        <f t="shared" si="7"/>
        <v>0</v>
      </c>
      <c r="P46" s="136">
        <f t="shared" si="8"/>
        <v>0</v>
      </c>
      <c r="Q46" s="136">
        <f t="shared" si="9"/>
        <v>0</v>
      </c>
    </row>
    <row r="47" spans="1:17" ht="16.5">
      <c r="A47" s="399"/>
      <c r="B47" s="294" t="s">
        <v>469</v>
      </c>
      <c r="C47" s="136"/>
      <c r="D47" s="136"/>
      <c r="E47" s="136"/>
      <c r="F47" s="136"/>
      <c r="G47" s="297"/>
      <c r="H47" s="286">
        <v>44</v>
      </c>
      <c r="I47" s="287">
        <v>4.6074359547244423</v>
      </c>
      <c r="J47" s="287">
        <v>2.7866793335219171</v>
      </c>
      <c r="K47" s="287">
        <v>7.3941152882463594</v>
      </c>
      <c r="L47" s="287">
        <v>1.8207566212025252</v>
      </c>
      <c r="M47" s="135">
        <f t="shared" si="5"/>
        <v>44</v>
      </c>
      <c r="N47" s="136">
        <f t="shared" si="6"/>
        <v>4.6074359547244423</v>
      </c>
      <c r="O47" s="136">
        <f t="shared" si="7"/>
        <v>1.3933396667609586</v>
      </c>
      <c r="P47" s="136">
        <f t="shared" si="8"/>
        <v>7.3941152882463594</v>
      </c>
      <c r="Q47" s="136">
        <f t="shared" si="9"/>
        <v>1.8207566212025252</v>
      </c>
    </row>
    <row r="48" spans="1:17" ht="16.5">
      <c r="A48" s="399"/>
      <c r="B48" s="294" t="s">
        <v>470</v>
      </c>
      <c r="C48" s="136"/>
      <c r="D48" s="136"/>
      <c r="E48" s="136"/>
      <c r="F48" s="136"/>
      <c r="G48" s="297"/>
      <c r="H48" s="286">
        <v>45</v>
      </c>
      <c r="I48" s="287">
        <v>0.68888888888888888</v>
      </c>
      <c r="J48" s="287">
        <v>1.5641178492890637</v>
      </c>
      <c r="K48" s="287">
        <v>2.2530067381779526</v>
      </c>
      <c r="L48" s="287">
        <v>0</v>
      </c>
      <c r="M48" s="135">
        <f t="shared" si="5"/>
        <v>45</v>
      </c>
      <c r="N48" s="136">
        <f t="shared" si="6"/>
        <v>0.68888888888888888</v>
      </c>
      <c r="O48" s="136">
        <f t="shared" si="7"/>
        <v>0.78205892464453186</v>
      </c>
      <c r="P48" s="136">
        <f t="shared" si="8"/>
        <v>2.2530067381779526</v>
      </c>
      <c r="Q48" s="136">
        <f t="shared" si="9"/>
        <v>0</v>
      </c>
    </row>
    <row r="49" spans="1:17" ht="16.5">
      <c r="A49" s="399"/>
      <c r="B49" s="294" t="s">
        <v>471</v>
      </c>
      <c r="C49" s="136"/>
      <c r="D49" s="136"/>
      <c r="E49" s="136"/>
      <c r="F49" s="136"/>
      <c r="G49" s="297"/>
      <c r="H49" s="286">
        <v>16</v>
      </c>
      <c r="I49" s="287">
        <v>0.125</v>
      </c>
      <c r="J49" s="287">
        <v>0.34156502553198659</v>
      </c>
      <c r="K49" s="287">
        <v>0.46656502553198659</v>
      </c>
      <c r="L49" s="287">
        <v>0</v>
      </c>
      <c r="M49" s="135">
        <f t="shared" si="5"/>
        <v>16</v>
      </c>
      <c r="N49" s="136">
        <f t="shared" si="6"/>
        <v>0.125</v>
      </c>
      <c r="O49" s="136">
        <f t="shared" si="7"/>
        <v>0.17078251276599329</v>
      </c>
      <c r="P49" s="136">
        <f t="shared" si="8"/>
        <v>0.46656502553198659</v>
      </c>
      <c r="Q49" s="136">
        <f t="shared" si="9"/>
        <v>0</v>
      </c>
    </row>
    <row r="50" spans="1:17" ht="16.5">
      <c r="A50" s="399"/>
      <c r="B50" s="294" t="s">
        <v>472</v>
      </c>
      <c r="C50" s="136"/>
      <c r="D50" s="136"/>
      <c r="E50" s="136"/>
      <c r="F50" s="136"/>
      <c r="G50" s="297"/>
      <c r="H50" s="286">
        <v>32</v>
      </c>
      <c r="I50" s="287">
        <v>0.625</v>
      </c>
      <c r="J50" s="287">
        <v>1.4312187452567107</v>
      </c>
      <c r="K50" s="287">
        <v>2.0562187452567109</v>
      </c>
      <c r="L50" s="287">
        <v>0</v>
      </c>
      <c r="M50" s="135">
        <f t="shared" si="5"/>
        <v>32</v>
      </c>
      <c r="N50" s="136">
        <f t="shared" si="6"/>
        <v>0.625</v>
      </c>
      <c r="O50" s="136">
        <f t="shared" si="7"/>
        <v>0.71560937262835533</v>
      </c>
      <c r="P50" s="136">
        <f t="shared" si="8"/>
        <v>2.0562187452567109</v>
      </c>
      <c r="Q50" s="136">
        <f t="shared" si="9"/>
        <v>0</v>
      </c>
    </row>
    <row r="51" spans="1:17" ht="16.5">
      <c r="A51" s="399"/>
      <c r="B51" s="294" t="s">
        <v>473</v>
      </c>
      <c r="C51" s="136"/>
      <c r="D51" s="136"/>
      <c r="E51" s="136"/>
      <c r="F51" s="136"/>
      <c r="G51" s="297"/>
      <c r="H51" s="286">
        <v>16</v>
      </c>
      <c r="I51" s="287">
        <v>0</v>
      </c>
      <c r="J51" s="287">
        <v>0</v>
      </c>
      <c r="K51" s="287">
        <v>0</v>
      </c>
      <c r="L51" s="287">
        <v>0</v>
      </c>
      <c r="M51" s="135">
        <f t="shared" si="5"/>
        <v>16</v>
      </c>
      <c r="N51" s="136">
        <f t="shared" si="6"/>
        <v>0</v>
      </c>
      <c r="O51" s="136">
        <f t="shared" si="7"/>
        <v>0</v>
      </c>
      <c r="P51" s="136">
        <f t="shared" si="8"/>
        <v>0</v>
      </c>
      <c r="Q51" s="136">
        <f t="shared" si="9"/>
        <v>0</v>
      </c>
    </row>
    <row r="52" spans="1:17" ht="16.5">
      <c r="A52" s="399"/>
      <c r="B52" s="294" t="s">
        <v>474</v>
      </c>
      <c r="C52" s="136"/>
      <c r="D52" s="136"/>
      <c r="E52" s="136"/>
      <c r="F52" s="136"/>
      <c r="G52" s="297"/>
      <c r="H52" s="286">
        <v>27</v>
      </c>
      <c r="I52" s="287">
        <v>0.8210662031644036</v>
      </c>
      <c r="J52" s="287">
        <v>0.18884767834182051</v>
      </c>
      <c r="K52" s="287">
        <v>1.0099138815062241</v>
      </c>
      <c r="L52" s="287">
        <v>0.63221852482258312</v>
      </c>
      <c r="M52" s="135">
        <f t="shared" si="5"/>
        <v>27</v>
      </c>
      <c r="N52" s="136">
        <f t="shared" si="6"/>
        <v>0.8210662031644036</v>
      </c>
      <c r="O52" s="136">
        <f t="shared" si="7"/>
        <v>9.4423839170910254E-2</v>
      </c>
      <c r="P52" s="136">
        <f t="shared" si="8"/>
        <v>1.0099138815062241</v>
      </c>
      <c r="Q52" s="136">
        <f t="shared" si="9"/>
        <v>0.63221852482258312</v>
      </c>
    </row>
    <row r="53" spans="1:17" ht="16.5">
      <c r="A53" s="399"/>
      <c r="B53" s="293" t="s">
        <v>475</v>
      </c>
      <c r="C53" s="136"/>
      <c r="D53" s="136"/>
      <c r="E53" s="136"/>
      <c r="F53" s="136"/>
      <c r="G53" s="295"/>
      <c r="H53" s="286">
        <v>27</v>
      </c>
      <c r="I53" s="287">
        <v>6.8859259259259256</v>
      </c>
      <c r="J53" s="287">
        <v>2.3804253971139442</v>
      </c>
      <c r="K53" s="287">
        <v>9.2663513230398706</v>
      </c>
      <c r="L53" s="287">
        <v>4.5055005288119814</v>
      </c>
      <c r="M53" s="135">
        <f t="shared" si="5"/>
        <v>27</v>
      </c>
      <c r="N53" s="136">
        <f t="shared" si="6"/>
        <v>6.8859259259259256</v>
      </c>
      <c r="O53" s="136">
        <f t="shared" si="7"/>
        <v>1.1902126985569721</v>
      </c>
      <c r="P53" s="136">
        <f t="shared" si="8"/>
        <v>9.2663513230398706</v>
      </c>
      <c r="Q53" s="136">
        <f t="shared" si="9"/>
        <v>4.5055005288119814</v>
      </c>
    </row>
    <row r="54" spans="1:17" ht="16.5">
      <c r="A54" s="399"/>
      <c r="B54" s="293" t="s">
        <v>336</v>
      </c>
      <c r="C54" s="136"/>
      <c r="D54" s="136"/>
      <c r="E54" s="136"/>
      <c r="F54" s="136"/>
      <c r="G54" s="295"/>
      <c r="H54" s="286">
        <v>16</v>
      </c>
      <c r="I54" s="287">
        <v>0.90990000000000004</v>
      </c>
      <c r="J54" s="287">
        <v>7.5092476320867171E-2</v>
      </c>
      <c r="K54" s="287">
        <v>1.1351774289626015</v>
      </c>
      <c r="L54" s="287">
        <v>0.68462257103739854</v>
      </c>
      <c r="M54" s="135">
        <f t="shared" si="5"/>
        <v>16</v>
      </c>
      <c r="N54" s="136">
        <f t="shared" si="6"/>
        <v>0.90990000000000004</v>
      </c>
      <c r="O54" s="136">
        <f t="shared" si="7"/>
        <v>3.7546238160433586E-2</v>
      </c>
      <c r="P54" s="136">
        <f t="shared" si="8"/>
        <v>1.1351774289626015</v>
      </c>
      <c r="Q54" s="136">
        <f t="shared" si="9"/>
        <v>0.68462257103739854</v>
      </c>
    </row>
    <row r="55" spans="1:17" ht="16.5">
      <c r="A55" s="399"/>
      <c r="B55" s="295" t="s">
        <v>476</v>
      </c>
      <c r="C55" s="136"/>
      <c r="D55" s="136"/>
      <c r="E55" s="136"/>
      <c r="F55" s="136"/>
      <c r="G55" s="295"/>
      <c r="H55" s="286">
        <v>15</v>
      </c>
      <c r="I55" s="287">
        <v>0.97892666666666661</v>
      </c>
      <c r="J55" s="287">
        <v>3.692978795085667E-2</v>
      </c>
      <c r="K55" s="287">
        <v>1.0897160305192366</v>
      </c>
      <c r="L55" s="287">
        <v>0.86813730281409662</v>
      </c>
      <c r="M55" s="135">
        <f t="shared" si="5"/>
        <v>15</v>
      </c>
      <c r="N55" s="136">
        <f t="shared" si="6"/>
        <v>0.97892666666666661</v>
      </c>
      <c r="O55" s="136">
        <f t="shared" si="7"/>
        <v>1.8464893975428335E-2</v>
      </c>
      <c r="P55" s="136">
        <f t="shared" si="8"/>
        <v>1.0897160305192366</v>
      </c>
      <c r="Q55" s="136">
        <f t="shared" si="9"/>
        <v>0.86813730281409662</v>
      </c>
    </row>
  </sheetData>
  <mergeCells count="13">
    <mergeCell ref="A14:A16"/>
    <mergeCell ref="A1:B2"/>
    <mergeCell ref="C1:G1"/>
    <mergeCell ref="H1:L1"/>
    <mergeCell ref="M1:Q1"/>
    <mergeCell ref="A3:A13"/>
    <mergeCell ref="A44:A55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6"/>
  <sheetViews>
    <sheetView workbookViewId="0">
      <selection activeCell="B5" sqref="B5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1" width="7.625" style="116" customWidth="1"/>
    <col min="12" max="12" width="7.25" style="116" customWidth="1"/>
    <col min="13" max="16384" width="9" style="116"/>
  </cols>
  <sheetData>
    <row r="1" spans="1:17" ht="14.25" customHeight="1">
      <c r="A1" s="383" t="s">
        <v>342</v>
      </c>
      <c r="B1" s="383"/>
      <c r="C1" s="380" t="s">
        <v>456</v>
      </c>
      <c r="D1" s="381"/>
      <c r="E1" s="381"/>
      <c r="F1" s="381"/>
      <c r="G1" s="381"/>
      <c r="H1" s="380" t="s">
        <v>457</v>
      </c>
      <c r="I1" s="381"/>
      <c r="J1" s="381"/>
      <c r="K1" s="381"/>
      <c r="L1" s="381"/>
      <c r="M1" s="380" t="s">
        <v>458</v>
      </c>
      <c r="N1" s="381"/>
      <c r="O1" s="381"/>
      <c r="P1" s="381"/>
      <c r="Q1" s="381"/>
    </row>
    <row r="2" spans="1:17">
      <c r="A2" s="383"/>
      <c r="B2" s="383"/>
      <c r="C2" s="216" t="s">
        <v>343</v>
      </c>
      <c r="D2" s="216" t="s">
        <v>321</v>
      </c>
      <c r="E2" s="216" t="s">
        <v>260</v>
      </c>
      <c r="F2" s="216" t="s">
        <v>261</v>
      </c>
      <c r="G2" s="216" t="s">
        <v>262</v>
      </c>
      <c r="H2" s="216" t="s">
        <v>320</v>
      </c>
      <c r="I2" s="216" t="s">
        <v>321</v>
      </c>
      <c r="J2" s="216" t="s">
        <v>260</v>
      </c>
      <c r="K2" s="216" t="s">
        <v>328</v>
      </c>
      <c r="L2" s="216" t="s">
        <v>262</v>
      </c>
      <c r="M2" s="216" t="s">
        <v>320</v>
      </c>
      <c r="N2" s="216" t="s">
        <v>321</v>
      </c>
      <c r="O2" s="216" t="s">
        <v>260</v>
      </c>
      <c r="P2" s="216" t="s">
        <v>328</v>
      </c>
      <c r="Q2" s="216" t="s">
        <v>262</v>
      </c>
    </row>
    <row r="3" spans="1:17">
      <c r="A3" s="351" t="s">
        <v>258</v>
      </c>
      <c r="B3" s="117" t="s">
        <v>521</v>
      </c>
      <c r="C3" s="231"/>
      <c r="D3" s="229"/>
      <c r="E3" s="229"/>
      <c r="F3" s="229"/>
      <c r="G3" s="229"/>
      <c r="H3" s="231">
        <v>24</v>
      </c>
      <c r="I3" s="229">
        <v>31.380416666666672</v>
      </c>
      <c r="J3" s="229">
        <v>3.9296227047197561</v>
      </c>
      <c r="K3" s="229">
        <v>35.310039371386431</v>
      </c>
      <c r="L3" s="229">
        <v>27.450793961946918</v>
      </c>
      <c r="M3" s="135">
        <f>IFERROR(C3+H3,"")</f>
        <v>24</v>
      </c>
      <c r="N3" s="136">
        <f>IFERROR((C3*D3+H3*I3)/M3,"")</f>
        <v>31.380416666666672</v>
      </c>
      <c r="O3" s="136">
        <f>IFERROR((E3+J3)/2,"")</f>
        <v>1.964811352359878</v>
      </c>
      <c r="P3" s="136">
        <f>IFERROR(MAXA(F3,K3),"")</f>
        <v>35.310039371386431</v>
      </c>
      <c r="Q3" s="136">
        <f>IFERROR(MINA(G3,L3),"")</f>
        <v>27.450793961946918</v>
      </c>
    </row>
    <row r="4" spans="1:17">
      <c r="A4" s="351"/>
      <c r="B4" s="118" t="s">
        <v>522</v>
      </c>
      <c r="C4" s="231"/>
      <c r="D4" s="229"/>
      <c r="E4" s="229"/>
      <c r="F4" s="229"/>
      <c r="G4" s="229"/>
      <c r="H4" s="231">
        <v>49</v>
      </c>
      <c r="I4" s="229">
        <v>46.94959183673469</v>
      </c>
      <c r="J4" s="229">
        <v>9.9018710267268588</v>
      </c>
      <c r="K4" s="229">
        <v>56.851462863461549</v>
      </c>
      <c r="L4" s="229">
        <v>37.047720810007831</v>
      </c>
      <c r="M4" s="135">
        <f t="shared" ref="M4:M43" si="0">IFERROR(C4+H4,"")</f>
        <v>49</v>
      </c>
      <c r="N4" s="136">
        <f t="shared" ref="N4:N43" si="1">IFERROR((C4*D4+H4*I4)/M4,"")</f>
        <v>46.94959183673469</v>
      </c>
      <c r="O4" s="136">
        <f t="shared" ref="O4:O43" si="2">IFERROR((E4+J4)/2,"")</f>
        <v>4.9509355133634294</v>
      </c>
      <c r="P4" s="136">
        <f t="shared" ref="P4:P43" si="3">IFERROR(MAXA(F4,K4),"")</f>
        <v>56.851462863461549</v>
      </c>
      <c r="Q4" s="136">
        <f t="shared" ref="Q4:Q43" si="4">IFERROR(MINA(G4,L4),"")</f>
        <v>37.047720810007831</v>
      </c>
    </row>
    <row r="5" spans="1:17">
      <c r="A5" s="351"/>
      <c r="B5" s="118" t="s">
        <v>523</v>
      </c>
      <c r="C5" s="231"/>
      <c r="D5" s="229"/>
      <c r="E5" s="229"/>
      <c r="F5" s="229"/>
      <c r="G5" s="229"/>
      <c r="H5" s="231"/>
      <c r="I5" s="229"/>
      <c r="J5" s="229"/>
      <c r="K5" s="229"/>
      <c r="L5" s="229"/>
      <c r="M5" s="135">
        <f t="shared" si="0"/>
        <v>0</v>
      </c>
      <c r="N5" s="136" t="str">
        <f t="shared" si="1"/>
        <v/>
      </c>
      <c r="O5" s="136">
        <f t="shared" si="2"/>
        <v>0</v>
      </c>
      <c r="P5" s="136">
        <f t="shared" si="3"/>
        <v>0</v>
      </c>
      <c r="Q5" s="136">
        <f t="shared" si="4"/>
        <v>0</v>
      </c>
    </row>
    <row r="6" spans="1:17">
      <c r="A6" s="351"/>
      <c r="B6" s="118" t="s">
        <v>257</v>
      </c>
      <c r="C6" s="231"/>
      <c r="D6" s="229"/>
      <c r="E6" s="229"/>
      <c r="F6" s="229"/>
      <c r="G6" s="229"/>
      <c r="H6" s="231"/>
      <c r="I6" s="229"/>
      <c r="J6" s="229"/>
      <c r="K6" s="229"/>
      <c r="L6" s="229"/>
      <c r="M6" s="135">
        <f t="shared" si="0"/>
        <v>0</v>
      </c>
      <c r="N6" s="136" t="str">
        <f t="shared" si="1"/>
        <v/>
      </c>
      <c r="O6" s="136">
        <f t="shared" si="2"/>
        <v>0</v>
      </c>
      <c r="P6" s="136">
        <f t="shared" si="3"/>
        <v>0</v>
      </c>
      <c r="Q6" s="136">
        <f t="shared" si="4"/>
        <v>0</v>
      </c>
    </row>
    <row r="7" spans="1:17">
      <c r="A7" s="351"/>
      <c r="B7" s="118" t="s">
        <v>329</v>
      </c>
      <c r="C7" s="231"/>
      <c r="D7" s="229"/>
      <c r="E7" s="229"/>
      <c r="F7" s="229"/>
      <c r="G7" s="229"/>
      <c r="H7" s="231">
        <v>14</v>
      </c>
      <c r="I7" s="229">
        <v>23.945</v>
      </c>
      <c r="J7" s="229">
        <v>7.01309407191565</v>
      </c>
      <c r="K7" s="229">
        <v>30.958094071915649</v>
      </c>
      <c r="L7" s="229">
        <v>16.931905928084351</v>
      </c>
      <c r="M7" s="135">
        <f t="shared" si="0"/>
        <v>14</v>
      </c>
      <c r="N7" s="136">
        <f t="shared" si="1"/>
        <v>23.945</v>
      </c>
      <c r="O7" s="136">
        <f t="shared" si="2"/>
        <v>3.506547035957825</v>
      </c>
      <c r="P7" s="136">
        <f t="shared" si="3"/>
        <v>30.958094071915649</v>
      </c>
      <c r="Q7" s="136">
        <f t="shared" si="4"/>
        <v>16.931905928084351</v>
      </c>
    </row>
    <row r="8" spans="1:17">
      <c r="A8" s="351"/>
      <c r="B8" s="118" t="s">
        <v>264</v>
      </c>
      <c r="C8" s="231"/>
      <c r="D8" s="229"/>
      <c r="E8" s="229"/>
      <c r="F8" s="229"/>
      <c r="G8" s="229"/>
      <c r="H8" s="231">
        <v>14</v>
      </c>
      <c r="I8" s="229">
        <v>25.789285714285715</v>
      </c>
      <c r="J8" s="229">
        <v>10.643335556029498</v>
      </c>
      <c r="K8" s="229">
        <v>36.432621270315209</v>
      </c>
      <c r="L8" s="229">
        <v>15.145950158256216</v>
      </c>
      <c r="M8" s="135">
        <f t="shared" si="0"/>
        <v>14</v>
      </c>
      <c r="N8" s="136">
        <f t="shared" si="1"/>
        <v>25.789285714285715</v>
      </c>
      <c r="O8" s="136">
        <f t="shared" si="2"/>
        <v>5.3216677780147492</v>
      </c>
      <c r="P8" s="136">
        <f t="shared" si="3"/>
        <v>36.432621270315209</v>
      </c>
      <c r="Q8" s="136">
        <f t="shared" si="4"/>
        <v>15.145950158256216</v>
      </c>
    </row>
    <row r="9" spans="1:17">
      <c r="A9" s="351"/>
      <c r="B9" s="118" t="s">
        <v>265</v>
      </c>
      <c r="C9" s="231"/>
      <c r="D9" s="229"/>
      <c r="E9" s="229"/>
      <c r="F9" s="229"/>
      <c r="G9" s="229"/>
      <c r="H9" s="231">
        <v>6</v>
      </c>
      <c r="I9" s="229">
        <v>14.718333333333334</v>
      </c>
      <c r="J9" s="229">
        <v>3.0702339758830526</v>
      </c>
      <c r="K9" s="229">
        <v>17.788567309216386</v>
      </c>
      <c r="L9" s="229">
        <v>11.648099357450281</v>
      </c>
      <c r="M9" s="135">
        <f t="shared" si="0"/>
        <v>6</v>
      </c>
      <c r="N9" s="136">
        <f t="shared" si="1"/>
        <v>14.718333333333334</v>
      </c>
      <c r="O9" s="136">
        <f t="shared" si="2"/>
        <v>1.5351169879415263</v>
      </c>
      <c r="P9" s="136">
        <f t="shared" si="3"/>
        <v>17.788567309216386</v>
      </c>
      <c r="Q9" s="136">
        <f t="shared" si="4"/>
        <v>11.648099357450281</v>
      </c>
    </row>
    <row r="10" spans="1:17">
      <c r="A10" s="351"/>
      <c r="B10" s="118" t="s">
        <v>266</v>
      </c>
      <c r="C10" s="231"/>
      <c r="D10" s="229"/>
      <c r="E10" s="229"/>
      <c r="F10" s="229"/>
      <c r="G10" s="229"/>
      <c r="H10" s="231">
        <v>0</v>
      </c>
      <c r="I10" s="229" t="s">
        <v>87</v>
      </c>
      <c r="J10" s="229" t="s">
        <v>87</v>
      </c>
      <c r="K10" s="229" t="s">
        <v>87</v>
      </c>
      <c r="L10" s="229" t="s">
        <v>87</v>
      </c>
      <c r="M10" s="135">
        <f t="shared" si="0"/>
        <v>0</v>
      </c>
      <c r="N10" s="136" t="str">
        <f t="shared" si="1"/>
        <v/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31"/>
      <c r="D11" s="230"/>
      <c r="E11" s="230"/>
      <c r="F11" s="230"/>
      <c r="G11" s="230"/>
      <c r="H11" s="231">
        <v>0</v>
      </c>
      <c r="I11" s="230" t="s">
        <v>87</v>
      </c>
      <c r="J11" s="230" t="s">
        <v>87</v>
      </c>
      <c r="K11" s="230" t="s">
        <v>87</v>
      </c>
      <c r="L11" s="230" t="s">
        <v>87</v>
      </c>
      <c r="M11" s="135">
        <f t="shared" si="0"/>
        <v>0</v>
      </c>
      <c r="N11" s="230" t="str">
        <f t="shared" si="1"/>
        <v/>
      </c>
      <c r="O11" s="230" t="str">
        <f t="shared" si="2"/>
        <v/>
      </c>
      <c r="P11" s="230">
        <f t="shared" si="3"/>
        <v>0</v>
      </c>
      <c r="Q11" s="230">
        <f t="shared" si="4"/>
        <v>0</v>
      </c>
    </row>
    <row r="12" spans="1:17">
      <c r="A12" s="351"/>
      <c r="B12" s="118" t="s">
        <v>355</v>
      </c>
      <c r="C12" s="231"/>
      <c r="D12" s="230"/>
      <c r="E12" s="230"/>
      <c r="F12" s="230"/>
      <c r="G12" s="230"/>
      <c r="H12" s="231">
        <v>70</v>
      </c>
      <c r="I12" s="230">
        <v>0</v>
      </c>
      <c r="J12" s="230">
        <v>0</v>
      </c>
      <c r="K12" s="230">
        <v>0</v>
      </c>
      <c r="L12" s="230">
        <v>0</v>
      </c>
      <c r="M12" s="135">
        <f t="shared" si="0"/>
        <v>70</v>
      </c>
      <c r="N12" s="230">
        <f t="shared" si="1"/>
        <v>0</v>
      </c>
      <c r="O12" s="230">
        <f t="shared" si="2"/>
        <v>0</v>
      </c>
      <c r="P12" s="230">
        <f t="shared" si="3"/>
        <v>0</v>
      </c>
      <c r="Q12" s="230">
        <f t="shared" si="4"/>
        <v>0</v>
      </c>
    </row>
    <row r="13" spans="1:17">
      <c r="A13" s="351"/>
      <c r="B13" s="118" t="s">
        <v>268</v>
      </c>
      <c r="C13" s="231"/>
      <c r="D13" s="230"/>
      <c r="E13" s="230"/>
      <c r="F13" s="230"/>
      <c r="G13" s="230"/>
      <c r="H13" s="231">
        <v>2</v>
      </c>
      <c r="I13" s="230">
        <v>0</v>
      </c>
      <c r="J13" s="230">
        <v>0</v>
      </c>
      <c r="K13" s="230">
        <v>0</v>
      </c>
      <c r="L13" s="230">
        <v>0</v>
      </c>
      <c r="M13" s="135">
        <f t="shared" si="0"/>
        <v>2</v>
      </c>
      <c r="N13" s="230">
        <f t="shared" si="1"/>
        <v>0</v>
      </c>
      <c r="O13" s="230">
        <f t="shared" si="2"/>
        <v>0</v>
      </c>
      <c r="P13" s="230">
        <f t="shared" si="3"/>
        <v>0</v>
      </c>
      <c r="Q13" s="230">
        <f t="shared" si="4"/>
        <v>0</v>
      </c>
    </row>
    <row r="14" spans="1:17">
      <c r="A14" s="382" t="s">
        <v>269</v>
      </c>
      <c r="B14" s="118" t="s">
        <v>270</v>
      </c>
      <c r="C14" s="231"/>
      <c r="D14" s="230"/>
      <c r="E14" s="230"/>
      <c r="F14" s="230"/>
      <c r="G14" s="230"/>
      <c r="H14" s="231">
        <v>0</v>
      </c>
      <c r="I14" s="230" t="s">
        <v>87</v>
      </c>
      <c r="J14" s="230" t="s">
        <v>87</v>
      </c>
      <c r="K14" s="230" t="s">
        <v>87</v>
      </c>
      <c r="L14" s="230" t="s">
        <v>87</v>
      </c>
      <c r="M14" s="135">
        <f t="shared" si="0"/>
        <v>0</v>
      </c>
      <c r="N14" s="230" t="str">
        <f t="shared" si="1"/>
        <v/>
      </c>
      <c r="O14" s="230" t="str">
        <f t="shared" si="2"/>
        <v/>
      </c>
      <c r="P14" s="230">
        <f t="shared" si="3"/>
        <v>0</v>
      </c>
      <c r="Q14" s="230">
        <f t="shared" si="4"/>
        <v>0</v>
      </c>
    </row>
    <row r="15" spans="1:17">
      <c r="A15" s="382"/>
      <c r="B15" s="118" t="s">
        <v>271</v>
      </c>
      <c r="C15" s="231"/>
      <c r="D15" s="229"/>
      <c r="E15" s="229"/>
      <c r="F15" s="229"/>
      <c r="G15" s="229"/>
      <c r="H15" s="231">
        <v>0</v>
      </c>
      <c r="I15" s="229" t="s">
        <v>87</v>
      </c>
      <c r="J15" s="229" t="s">
        <v>87</v>
      </c>
      <c r="K15" s="229" t="s">
        <v>87</v>
      </c>
      <c r="L15" s="229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82"/>
      <c r="B16" s="118" t="s">
        <v>272</v>
      </c>
      <c r="C16" s="231"/>
      <c r="D16" s="229"/>
      <c r="E16" s="229"/>
      <c r="F16" s="229"/>
      <c r="G16" s="229"/>
      <c r="H16" s="231">
        <v>0</v>
      </c>
      <c r="I16" s="229" t="s">
        <v>87</v>
      </c>
      <c r="J16" s="229" t="s">
        <v>87</v>
      </c>
      <c r="K16" s="229" t="s">
        <v>87</v>
      </c>
      <c r="L16" s="229" t="s">
        <v>87</v>
      </c>
      <c r="M16" s="135">
        <f t="shared" si="0"/>
        <v>0</v>
      </c>
      <c r="N16" s="136" t="str">
        <f t="shared" si="1"/>
        <v/>
      </c>
      <c r="O16" s="136" t="str">
        <f t="shared" si="2"/>
        <v/>
      </c>
      <c r="P16" s="136">
        <f t="shared" si="3"/>
        <v>0</v>
      </c>
      <c r="Q16" s="136">
        <f t="shared" si="4"/>
        <v>0</v>
      </c>
    </row>
    <row r="17" spans="1:17">
      <c r="A17" s="382" t="s">
        <v>273</v>
      </c>
      <c r="B17" s="118" t="s">
        <v>306</v>
      </c>
      <c r="C17" s="231"/>
      <c r="D17" s="229"/>
      <c r="E17" s="229"/>
      <c r="F17" s="229"/>
      <c r="G17" s="229"/>
      <c r="H17" s="231">
        <v>69</v>
      </c>
      <c r="I17" s="229">
        <v>5.8456290059050122</v>
      </c>
      <c r="J17" s="229">
        <v>3.5921962706876975</v>
      </c>
      <c r="K17" s="229">
        <v>9.4378252765927098</v>
      </c>
      <c r="L17" s="229">
        <v>2.2534327352173147</v>
      </c>
      <c r="M17" s="135">
        <f t="shared" si="0"/>
        <v>69</v>
      </c>
      <c r="N17" s="136">
        <f t="shared" si="1"/>
        <v>5.8456290059050122</v>
      </c>
      <c r="O17" s="136">
        <f t="shared" si="2"/>
        <v>1.7960981353438488</v>
      </c>
      <c r="P17" s="136">
        <f t="shared" si="3"/>
        <v>9.4378252765927098</v>
      </c>
      <c r="Q17" s="136">
        <f t="shared" si="4"/>
        <v>2.2534327352173147</v>
      </c>
    </row>
    <row r="18" spans="1:17">
      <c r="A18" s="382"/>
      <c r="B18" s="118" t="s">
        <v>274</v>
      </c>
      <c r="C18" s="231"/>
      <c r="D18" s="229"/>
      <c r="E18" s="229"/>
      <c r="F18" s="229"/>
      <c r="G18" s="229"/>
      <c r="H18" s="231">
        <v>7</v>
      </c>
      <c r="I18" s="229">
        <v>1.8414285714285719</v>
      </c>
      <c r="J18" s="229">
        <v>0.6822616451046849</v>
      </c>
      <c r="K18" s="229">
        <v>2.5236902165332569</v>
      </c>
      <c r="L18" s="229">
        <v>1.1591669263238868</v>
      </c>
      <c r="M18" s="135">
        <f t="shared" si="0"/>
        <v>7</v>
      </c>
      <c r="N18" s="136">
        <f t="shared" si="1"/>
        <v>1.8414285714285719</v>
      </c>
      <c r="O18" s="136">
        <f t="shared" si="2"/>
        <v>0.34113082255234245</v>
      </c>
      <c r="P18" s="136">
        <f t="shared" si="3"/>
        <v>2.5236902165332569</v>
      </c>
      <c r="Q18" s="136">
        <f t="shared" si="4"/>
        <v>1.1591669263238868</v>
      </c>
    </row>
    <row r="19" spans="1:17">
      <c r="A19" s="382"/>
      <c r="B19" s="118" t="s">
        <v>275</v>
      </c>
      <c r="C19" s="231"/>
      <c r="D19" s="229"/>
      <c r="E19" s="229"/>
      <c r="F19" s="229"/>
      <c r="G19" s="229"/>
      <c r="H19" s="231">
        <v>64</v>
      </c>
      <c r="I19" s="229">
        <v>1.5625E-2</v>
      </c>
      <c r="J19" s="229">
        <v>0.125</v>
      </c>
      <c r="K19" s="229">
        <v>0.140625</v>
      </c>
      <c r="L19" s="229">
        <v>0</v>
      </c>
      <c r="M19" s="135">
        <f t="shared" si="0"/>
        <v>64</v>
      </c>
      <c r="N19" s="136">
        <f t="shared" si="1"/>
        <v>1.5625E-2</v>
      </c>
      <c r="O19" s="136">
        <f t="shared" si="2"/>
        <v>6.25E-2</v>
      </c>
      <c r="P19" s="136">
        <f t="shared" si="3"/>
        <v>0.140625</v>
      </c>
      <c r="Q19" s="136">
        <f t="shared" si="4"/>
        <v>0</v>
      </c>
    </row>
    <row r="20" spans="1:17">
      <c r="A20" s="382"/>
      <c r="B20" s="118" t="s">
        <v>276</v>
      </c>
      <c r="C20" s="231"/>
      <c r="D20" s="229"/>
      <c r="E20" s="229"/>
      <c r="F20" s="229"/>
      <c r="G20" s="229"/>
      <c r="H20" s="231">
        <v>70</v>
      </c>
      <c r="I20" s="229">
        <v>0</v>
      </c>
      <c r="J20" s="229">
        <v>0</v>
      </c>
      <c r="K20" s="229">
        <v>0</v>
      </c>
      <c r="L20" s="229">
        <v>0</v>
      </c>
      <c r="M20" s="135">
        <f t="shared" si="0"/>
        <v>70</v>
      </c>
      <c r="N20" s="136">
        <f t="shared" si="1"/>
        <v>0</v>
      </c>
      <c r="O20" s="136">
        <f t="shared" si="2"/>
        <v>0</v>
      </c>
      <c r="P20" s="136">
        <f t="shared" si="3"/>
        <v>0</v>
      </c>
      <c r="Q20" s="136">
        <f t="shared" si="4"/>
        <v>0</v>
      </c>
    </row>
    <row r="21" spans="1:17">
      <c r="A21" s="382" t="s">
        <v>277</v>
      </c>
      <c r="B21" s="118" t="s">
        <v>278</v>
      </c>
      <c r="C21" s="231"/>
      <c r="D21" s="229"/>
      <c r="E21" s="229"/>
      <c r="F21" s="229"/>
      <c r="G21" s="229"/>
      <c r="H21" s="231">
        <v>0</v>
      </c>
      <c r="I21" s="229" t="s">
        <v>87</v>
      </c>
      <c r="J21" s="229" t="s">
        <v>87</v>
      </c>
      <c r="K21" s="229" t="s">
        <v>87</v>
      </c>
      <c r="L21" s="229" t="s">
        <v>87</v>
      </c>
      <c r="M21" s="135">
        <f t="shared" si="0"/>
        <v>0</v>
      </c>
      <c r="N21" s="136" t="str">
        <f t="shared" si="1"/>
        <v/>
      </c>
      <c r="O21" s="136" t="str">
        <f t="shared" si="2"/>
        <v/>
      </c>
      <c r="P21" s="136">
        <f t="shared" si="3"/>
        <v>0</v>
      </c>
      <c r="Q21" s="136">
        <f t="shared" si="4"/>
        <v>0</v>
      </c>
    </row>
    <row r="22" spans="1:17">
      <c r="A22" s="382"/>
      <c r="B22" s="118" t="s">
        <v>279</v>
      </c>
      <c r="C22" s="231"/>
      <c r="D22" s="229"/>
      <c r="E22" s="229"/>
      <c r="F22" s="229"/>
      <c r="G22" s="229"/>
      <c r="H22" s="231">
        <v>1</v>
      </c>
      <c r="I22" s="229">
        <v>20.100000000000001</v>
      </c>
      <c r="J22" s="229" t="s">
        <v>87</v>
      </c>
      <c r="K22" s="229" t="s">
        <v>87</v>
      </c>
      <c r="L22" s="229" t="s">
        <v>87</v>
      </c>
      <c r="M22" s="135">
        <f t="shared" si="0"/>
        <v>1</v>
      </c>
      <c r="N22" s="136">
        <f t="shared" si="1"/>
        <v>20.100000000000001</v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82"/>
      <c r="B23" s="118" t="s">
        <v>280</v>
      </c>
      <c r="C23" s="231"/>
      <c r="D23" s="229"/>
      <c r="E23" s="229"/>
      <c r="F23" s="229"/>
      <c r="G23" s="229"/>
      <c r="H23" s="231">
        <v>8</v>
      </c>
      <c r="I23" s="229">
        <v>20.588999999999999</v>
      </c>
      <c r="J23" s="229">
        <v>1.9444740750576821</v>
      </c>
      <c r="K23" s="229">
        <v>26.422422225173044</v>
      </c>
      <c r="L23" s="229">
        <v>14.755577774826953</v>
      </c>
      <c r="M23" s="135">
        <f t="shared" si="0"/>
        <v>8</v>
      </c>
      <c r="N23" s="136">
        <f t="shared" si="1"/>
        <v>20.588999999999999</v>
      </c>
      <c r="O23" s="136">
        <f t="shared" si="2"/>
        <v>0.97223703752884105</v>
      </c>
      <c r="P23" s="136">
        <f t="shared" si="3"/>
        <v>26.422422225173044</v>
      </c>
      <c r="Q23" s="136">
        <f t="shared" si="4"/>
        <v>14.755577774826953</v>
      </c>
    </row>
    <row r="24" spans="1:17">
      <c r="A24" s="382"/>
      <c r="B24" s="118" t="s">
        <v>281</v>
      </c>
      <c r="C24" s="231"/>
      <c r="D24" s="230"/>
      <c r="E24" s="230"/>
      <c r="F24" s="230"/>
      <c r="G24" s="230"/>
      <c r="H24" s="298">
        <v>4</v>
      </c>
      <c r="I24" s="299">
        <v>0.85950000000000004</v>
      </c>
      <c r="J24" s="299">
        <v>0.12607273033187266</v>
      </c>
      <c r="K24" s="299">
        <v>0.98557273033187265</v>
      </c>
      <c r="L24" s="299">
        <v>0.73342726966812744</v>
      </c>
      <c r="M24" s="135">
        <f t="shared" si="0"/>
        <v>4</v>
      </c>
      <c r="N24" s="230">
        <f t="shared" si="1"/>
        <v>0.85950000000000004</v>
      </c>
      <c r="O24" s="230">
        <f t="shared" si="2"/>
        <v>6.3036365165936331E-2</v>
      </c>
      <c r="P24" s="230">
        <f t="shared" si="3"/>
        <v>0.98557273033187265</v>
      </c>
      <c r="Q24" s="230">
        <f t="shared" si="4"/>
        <v>0.73342726966812744</v>
      </c>
    </row>
    <row r="25" spans="1:17">
      <c r="A25" s="382"/>
      <c r="B25" s="118" t="s">
        <v>282</v>
      </c>
      <c r="C25" s="231"/>
      <c r="D25" s="229"/>
      <c r="E25" s="229"/>
      <c r="F25" s="229"/>
      <c r="G25" s="229"/>
      <c r="H25" s="231">
        <v>24</v>
      </c>
      <c r="I25" s="229">
        <v>2.7705833333333332</v>
      </c>
      <c r="J25" s="229">
        <v>3.2934622184045121</v>
      </c>
      <c r="K25" s="229">
        <v>6.0640455517378449</v>
      </c>
      <c r="L25" s="229">
        <v>0</v>
      </c>
      <c r="M25" s="135">
        <f t="shared" si="0"/>
        <v>24</v>
      </c>
      <c r="N25" s="136">
        <f t="shared" si="1"/>
        <v>2.7705833333333332</v>
      </c>
      <c r="O25" s="136">
        <f t="shared" si="2"/>
        <v>1.6467311092022561</v>
      </c>
      <c r="P25" s="136">
        <f t="shared" si="3"/>
        <v>6.0640455517378449</v>
      </c>
      <c r="Q25" s="136">
        <f t="shared" si="4"/>
        <v>0</v>
      </c>
    </row>
    <row r="26" spans="1:17">
      <c r="A26" s="215" t="s">
        <v>283</v>
      </c>
      <c r="B26" s="118" t="s">
        <v>284</v>
      </c>
      <c r="C26" s="231"/>
      <c r="D26" s="229"/>
      <c r="E26" s="229"/>
      <c r="F26" s="229"/>
      <c r="G26" s="229"/>
      <c r="H26" s="231">
        <v>0</v>
      </c>
      <c r="I26" s="229" t="s">
        <v>87</v>
      </c>
      <c r="J26" s="229" t="s">
        <v>87</v>
      </c>
      <c r="K26" s="229" t="s">
        <v>87</v>
      </c>
      <c r="L26" s="229" t="s">
        <v>87</v>
      </c>
      <c r="M26" s="135">
        <f t="shared" si="0"/>
        <v>0</v>
      </c>
      <c r="N26" s="136" t="str">
        <f t="shared" si="1"/>
        <v/>
      </c>
      <c r="O26" s="136" t="str">
        <f t="shared" si="2"/>
        <v/>
      </c>
      <c r="P26" s="136">
        <f t="shared" si="3"/>
        <v>0</v>
      </c>
      <c r="Q26" s="136">
        <f t="shared" si="4"/>
        <v>0</v>
      </c>
    </row>
    <row r="27" spans="1:17">
      <c r="A27" s="382" t="s">
        <v>285</v>
      </c>
      <c r="B27" s="118" t="s">
        <v>286</v>
      </c>
      <c r="C27" s="231"/>
      <c r="D27" s="229"/>
      <c r="E27" s="229"/>
      <c r="F27" s="229"/>
      <c r="G27" s="229"/>
      <c r="H27" s="231">
        <v>0</v>
      </c>
      <c r="I27" s="229" t="s">
        <v>87</v>
      </c>
      <c r="J27" s="229" t="s">
        <v>87</v>
      </c>
      <c r="K27" s="229" t="s">
        <v>87</v>
      </c>
      <c r="L27" s="229" t="s">
        <v>87</v>
      </c>
      <c r="M27" s="135">
        <f t="shared" si="0"/>
        <v>0</v>
      </c>
      <c r="N27" s="136" t="str">
        <f t="shared" si="1"/>
        <v/>
      </c>
      <c r="O27" s="136" t="str">
        <f t="shared" si="2"/>
        <v/>
      </c>
      <c r="P27" s="136">
        <f t="shared" si="3"/>
        <v>0</v>
      </c>
      <c r="Q27" s="136">
        <f t="shared" si="4"/>
        <v>0</v>
      </c>
    </row>
    <row r="28" spans="1:17">
      <c r="A28" s="382"/>
      <c r="B28" s="118" t="s">
        <v>287</v>
      </c>
      <c r="C28" s="231"/>
      <c r="D28" s="229"/>
      <c r="E28" s="229"/>
      <c r="F28" s="229"/>
      <c r="G28" s="229"/>
      <c r="H28" s="231">
        <v>4</v>
      </c>
      <c r="I28" s="229">
        <v>0</v>
      </c>
      <c r="J28" s="229">
        <v>0</v>
      </c>
      <c r="K28" s="229">
        <v>0</v>
      </c>
      <c r="L28" s="229">
        <v>0</v>
      </c>
      <c r="M28" s="135">
        <f t="shared" si="0"/>
        <v>4</v>
      </c>
      <c r="N28" s="136">
        <f t="shared" si="1"/>
        <v>0</v>
      </c>
      <c r="O28" s="136">
        <f t="shared" si="2"/>
        <v>0</v>
      </c>
      <c r="P28" s="136">
        <f t="shared" si="3"/>
        <v>0</v>
      </c>
      <c r="Q28" s="136">
        <f t="shared" si="4"/>
        <v>0</v>
      </c>
    </row>
    <row r="29" spans="1:17">
      <c r="A29" s="382" t="s">
        <v>288</v>
      </c>
      <c r="B29" s="118" t="s">
        <v>289</v>
      </c>
      <c r="C29" s="231"/>
      <c r="D29" s="229"/>
      <c r="E29" s="229"/>
      <c r="F29" s="229"/>
      <c r="G29" s="229"/>
      <c r="H29" s="231">
        <v>28</v>
      </c>
      <c r="I29" s="229">
        <v>0</v>
      </c>
      <c r="J29" s="229">
        <v>0</v>
      </c>
      <c r="K29" s="229">
        <v>0</v>
      </c>
      <c r="L29" s="229">
        <v>0</v>
      </c>
      <c r="M29" s="135">
        <f t="shared" si="0"/>
        <v>28</v>
      </c>
      <c r="N29" s="136">
        <f t="shared" si="1"/>
        <v>0</v>
      </c>
      <c r="O29" s="136">
        <f t="shared" si="2"/>
        <v>0</v>
      </c>
      <c r="P29" s="136">
        <f t="shared" si="3"/>
        <v>0</v>
      </c>
      <c r="Q29" s="136">
        <f t="shared" si="4"/>
        <v>0</v>
      </c>
    </row>
    <row r="30" spans="1:17">
      <c r="A30" s="382"/>
      <c r="B30" s="118" t="s">
        <v>290</v>
      </c>
      <c r="C30" s="231"/>
      <c r="D30" s="229"/>
      <c r="E30" s="229"/>
      <c r="F30" s="229"/>
      <c r="G30" s="229"/>
      <c r="H30" s="231">
        <v>42</v>
      </c>
      <c r="I30" s="229">
        <v>0</v>
      </c>
      <c r="J30" s="229">
        <v>0</v>
      </c>
      <c r="K30" s="229">
        <v>0</v>
      </c>
      <c r="L30" s="229">
        <v>0</v>
      </c>
      <c r="M30" s="135">
        <f t="shared" si="0"/>
        <v>42</v>
      </c>
      <c r="N30" s="136">
        <f t="shared" si="1"/>
        <v>0</v>
      </c>
      <c r="O30" s="136">
        <f t="shared" si="2"/>
        <v>0</v>
      </c>
      <c r="P30" s="136">
        <f t="shared" si="3"/>
        <v>0</v>
      </c>
      <c r="Q30" s="136">
        <f t="shared" si="4"/>
        <v>0</v>
      </c>
    </row>
    <row r="31" spans="1:17">
      <c r="A31" s="384" t="s">
        <v>291</v>
      </c>
      <c r="B31" s="118" t="s">
        <v>292</v>
      </c>
      <c r="C31" s="231"/>
      <c r="D31" s="230"/>
      <c r="E31" s="230"/>
      <c r="F31" s="230"/>
      <c r="G31" s="230"/>
      <c r="H31" s="231">
        <v>15</v>
      </c>
      <c r="I31" s="230">
        <v>1</v>
      </c>
      <c r="J31" s="230">
        <v>0</v>
      </c>
      <c r="K31" s="230">
        <v>1</v>
      </c>
      <c r="L31" s="230">
        <v>1</v>
      </c>
      <c r="M31" s="135">
        <f t="shared" si="0"/>
        <v>15</v>
      </c>
      <c r="N31" s="230">
        <f t="shared" si="1"/>
        <v>1</v>
      </c>
      <c r="O31" s="230">
        <f t="shared" si="2"/>
        <v>0</v>
      </c>
      <c r="P31" s="230">
        <f t="shared" si="3"/>
        <v>1</v>
      </c>
      <c r="Q31" s="230">
        <f t="shared" si="4"/>
        <v>1</v>
      </c>
    </row>
    <row r="32" spans="1:17">
      <c r="A32" s="385"/>
      <c r="B32" s="118" t="s">
        <v>293</v>
      </c>
      <c r="C32" s="231"/>
      <c r="D32" s="229"/>
      <c r="E32" s="229"/>
      <c r="F32" s="229"/>
      <c r="G32" s="229"/>
      <c r="H32" s="231">
        <v>0</v>
      </c>
      <c r="I32" s="229" t="s">
        <v>87</v>
      </c>
      <c r="J32" s="229" t="s">
        <v>87</v>
      </c>
      <c r="K32" s="229" t="s">
        <v>87</v>
      </c>
      <c r="L32" s="229" t="s">
        <v>87</v>
      </c>
      <c r="M32" s="135">
        <f t="shared" si="0"/>
        <v>0</v>
      </c>
      <c r="N32" s="136" t="str">
        <f t="shared" si="1"/>
        <v/>
      </c>
      <c r="O32" s="136" t="str">
        <f t="shared" si="2"/>
        <v/>
      </c>
      <c r="P32" s="136">
        <f t="shared" si="3"/>
        <v>0</v>
      </c>
      <c r="Q32" s="136">
        <f t="shared" si="4"/>
        <v>0</v>
      </c>
    </row>
    <row r="33" spans="1:17">
      <c r="A33" s="385"/>
      <c r="B33" s="118" t="s">
        <v>294</v>
      </c>
      <c r="C33" s="231"/>
      <c r="D33" s="229"/>
      <c r="E33" s="229"/>
      <c r="F33" s="229"/>
      <c r="G33" s="229"/>
      <c r="H33" s="231">
        <v>0</v>
      </c>
      <c r="I33" s="229" t="s">
        <v>87</v>
      </c>
      <c r="J33" s="229" t="s">
        <v>87</v>
      </c>
      <c r="K33" s="229" t="s">
        <v>87</v>
      </c>
      <c r="L33" s="229" t="s">
        <v>87</v>
      </c>
      <c r="M33" s="135">
        <f t="shared" si="0"/>
        <v>0</v>
      </c>
      <c r="N33" s="136" t="str">
        <f t="shared" si="1"/>
        <v/>
      </c>
      <c r="O33" s="136" t="str">
        <f t="shared" si="2"/>
        <v/>
      </c>
      <c r="P33" s="136">
        <f t="shared" si="3"/>
        <v>0</v>
      </c>
      <c r="Q33" s="136">
        <f t="shared" si="4"/>
        <v>0</v>
      </c>
    </row>
    <row r="34" spans="1:17">
      <c r="A34" s="385"/>
      <c r="B34" s="118" t="s">
        <v>295</v>
      </c>
      <c r="C34" s="231"/>
      <c r="D34" s="229"/>
      <c r="E34" s="229"/>
      <c r="F34" s="229"/>
      <c r="G34" s="229"/>
      <c r="H34" s="231">
        <v>0</v>
      </c>
      <c r="I34" s="229" t="s">
        <v>87</v>
      </c>
      <c r="J34" s="229" t="s">
        <v>87</v>
      </c>
      <c r="K34" s="229" t="s">
        <v>87</v>
      </c>
      <c r="L34" s="229" t="s">
        <v>87</v>
      </c>
      <c r="M34" s="135">
        <f t="shared" si="0"/>
        <v>0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6"/>
      <c r="B35" s="118" t="s">
        <v>296</v>
      </c>
      <c r="C35" s="231"/>
      <c r="D35" s="229"/>
      <c r="E35" s="229"/>
      <c r="F35" s="229"/>
      <c r="G35" s="229"/>
      <c r="H35" s="231">
        <v>0</v>
      </c>
      <c r="I35" s="229" t="s">
        <v>87</v>
      </c>
      <c r="J35" s="229" t="s">
        <v>87</v>
      </c>
      <c r="K35" s="229" t="s">
        <v>87</v>
      </c>
      <c r="L35" s="229" t="s">
        <v>87</v>
      </c>
      <c r="M35" s="135">
        <f t="shared" si="0"/>
        <v>0</v>
      </c>
      <c r="N35" s="136" t="str">
        <f t="shared" si="1"/>
        <v/>
      </c>
      <c r="O35" s="136" t="str">
        <f t="shared" si="2"/>
        <v/>
      </c>
      <c r="P35" s="136">
        <f t="shared" si="3"/>
        <v>0</v>
      </c>
      <c r="Q35" s="136">
        <f t="shared" si="4"/>
        <v>0</v>
      </c>
    </row>
    <row r="36" spans="1:17">
      <c r="A36" s="386"/>
      <c r="B36" s="118" t="s">
        <v>297</v>
      </c>
      <c r="C36" s="231"/>
      <c r="D36" s="229"/>
      <c r="E36" s="229"/>
      <c r="F36" s="229"/>
      <c r="G36" s="229"/>
      <c r="H36" s="231">
        <v>0</v>
      </c>
      <c r="I36" s="229" t="s">
        <v>87</v>
      </c>
      <c r="J36" s="229" t="s">
        <v>87</v>
      </c>
      <c r="K36" s="229" t="s">
        <v>87</v>
      </c>
      <c r="L36" s="229" t="s">
        <v>87</v>
      </c>
      <c r="M36" s="135">
        <f t="shared" si="0"/>
        <v>0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7"/>
      <c r="B37" s="118" t="s">
        <v>298</v>
      </c>
      <c r="C37" s="231"/>
      <c r="D37" s="229"/>
      <c r="E37" s="229"/>
      <c r="F37" s="229"/>
      <c r="G37" s="229"/>
      <c r="H37" s="231">
        <v>0</v>
      </c>
      <c r="I37" s="229" t="s">
        <v>87</v>
      </c>
      <c r="J37" s="229" t="s">
        <v>87</v>
      </c>
      <c r="K37" s="229" t="s">
        <v>87</v>
      </c>
      <c r="L37" s="229" t="s">
        <v>87</v>
      </c>
      <c r="M37" s="135">
        <f t="shared" si="0"/>
        <v>0</v>
      </c>
      <c r="N37" s="136" t="str">
        <f t="shared" si="1"/>
        <v/>
      </c>
      <c r="O37" s="136" t="str">
        <f t="shared" si="2"/>
        <v/>
      </c>
      <c r="P37" s="136">
        <f t="shared" si="3"/>
        <v>0</v>
      </c>
      <c r="Q37" s="136">
        <f t="shared" si="4"/>
        <v>0</v>
      </c>
    </row>
    <row r="38" spans="1:17">
      <c r="A38" s="363" t="s">
        <v>299</v>
      </c>
      <c r="B38" s="118" t="s">
        <v>300</v>
      </c>
      <c r="C38" s="231"/>
      <c r="D38" s="229"/>
      <c r="E38" s="229"/>
      <c r="F38" s="229"/>
      <c r="G38" s="229"/>
      <c r="H38" s="231">
        <v>40</v>
      </c>
      <c r="I38" s="229">
        <v>1.2250000000000001</v>
      </c>
      <c r="J38" s="229">
        <v>3.6828605103182417</v>
      </c>
      <c r="K38" s="229">
        <v>4.9078605103182422</v>
      </c>
      <c r="L38" s="229">
        <v>0</v>
      </c>
      <c r="M38" s="135">
        <f t="shared" si="0"/>
        <v>40</v>
      </c>
      <c r="N38" s="136">
        <f t="shared" si="1"/>
        <v>1.2250000000000001</v>
      </c>
      <c r="O38" s="136">
        <f t="shared" si="2"/>
        <v>1.8414302551591208</v>
      </c>
      <c r="P38" s="136">
        <f t="shared" si="3"/>
        <v>4.9078605103182422</v>
      </c>
      <c r="Q38" s="136">
        <f t="shared" si="4"/>
        <v>0</v>
      </c>
    </row>
    <row r="39" spans="1:17">
      <c r="A39" s="363"/>
      <c r="B39" s="118" t="s">
        <v>301</v>
      </c>
      <c r="C39" s="231"/>
      <c r="D39" s="229"/>
      <c r="E39" s="229"/>
      <c r="F39" s="229"/>
      <c r="G39" s="229"/>
      <c r="H39" s="231">
        <v>23</v>
      </c>
      <c r="I39" s="229">
        <v>3.3391304347826085</v>
      </c>
      <c r="J39" s="229">
        <v>1.5605037445513854</v>
      </c>
      <c r="K39" s="229">
        <v>4.8996341793339937</v>
      </c>
      <c r="L39" s="229">
        <v>1.7786266902312231</v>
      </c>
      <c r="M39" s="135">
        <f t="shared" si="0"/>
        <v>23</v>
      </c>
      <c r="N39" s="136">
        <f t="shared" si="1"/>
        <v>3.3391304347826085</v>
      </c>
      <c r="O39" s="136">
        <f t="shared" si="2"/>
        <v>0.7802518722756927</v>
      </c>
      <c r="P39" s="136">
        <f t="shared" si="3"/>
        <v>4.8996341793339937</v>
      </c>
      <c r="Q39" s="136">
        <f t="shared" si="4"/>
        <v>1.7786266902312231</v>
      </c>
    </row>
    <row r="40" spans="1:17">
      <c r="A40" s="363"/>
      <c r="B40" s="118" t="s">
        <v>302</v>
      </c>
      <c r="C40" s="231"/>
      <c r="D40" s="230"/>
      <c r="E40" s="230"/>
      <c r="F40" s="230"/>
      <c r="G40" s="230"/>
      <c r="H40" s="231">
        <v>10</v>
      </c>
      <c r="I40" s="230">
        <v>5.850000000000001E-2</v>
      </c>
      <c r="J40" s="230">
        <v>2.2642192669635325E-2</v>
      </c>
      <c r="K40" s="230">
        <v>8.1142192669635335E-2</v>
      </c>
      <c r="L40" s="230">
        <v>3.5857807330364685E-2</v>
      </c>
      <c r="M40" s="135">
        <f t="shared" si="0"/>
        <v>10</v>
      </c>
      <c r="N40" s="230">
        <f t="shared" si="1"/>
        <v>5.850000000000001E-2</v>
      </c>
      <c r="O40" s="230">
        <f t="shared" si="2"/>
        <v>1.1321096334817662E-2</v>
      </c>
      <c r="P40" s="230">
        <f t="shared" si="3"/>
        <v>8.1142192669635335E-2</v>
      </c>
      <c r="Q40" s="230">
        <f t="shared" si="4"/>
        <v>3.5857807330364685E-2</v>
      </c>
    </row>
    <row r="41" spans="1:17">
      <c r="A41" s="363"/>
      <c r="B41" s="120" t="s">
        <v>303</v>
      </c>
      <c r="C41" s="231"/>
      <c r="D41" s="229"/>
      <c r="E41" s="229"/>
      <c r="F41" s="229"/>
      <c r="G41" s="229"/>
      <c r="H41" s="231">
        <v>9</v>
      </c>
      <c r="I41" s="229">
        <v>0.1111111111111111</v>
      </c>
      <c r="J41" s="229">
        <v>0.33333333333333331</v>
      </c>
      <c r="K41" s="229">
        <v>0.44444444444444442</v>
      </c>
      <c r="L41" s="229">
        <v>0</v>
      </c>
      <c r="M41" s="135">
        <f t="shared" si="0"/>
        <v>9</v>
      </c>
      <c r="N41" s="136">
        <f t="shared" si="1"/>
        <v>0.1111111111111111</v>
      </c>
      <c r="O41" s="136">
        <f t="shared" si="2"/>
        <v>0.16666666666666666</v>
      </c>
      <c r="P41" s="136">
        <f t="shared" si="3"/>
        <v>0.44444444444444442</v>
      </c>
      <c r="Q41" s="136">
        <f t="shared" si="4"/>
        <v>0</v>
      </c>
    </row>
    <row r="42" spans="1:17">
      <c r="A42" s="363"/>
      <c r="B42" s="120" t="s">
        <v>304</v>
      </c>
      <c r="C42" s="231"/>
      <c r="D42" s="229"/>
      <c r="E42" s="229"/>
      <c r="F42" s="229"/>
      <c r="G42" s="229"/>
      <c r="H42" s="231">
        <v>8</v>
      </c>
      <c r="I42" s="229">
        <v>0</v>
      </c>
      <c r="J42" s="229">
        <v>0</v>
      </c>
      <c r="K42" s="229">
        <v>0</v>
      </c>
      <c r="L42" s="229">
        <v>0</v>
      </c>
      <c r="M42" s="135">
        <f t="shared" si="0"/>
        <v>8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3"/>
      <c r="B43" s="120" t="s">
        <v>305</v>
      </c>
      <c r="C43" s="231"/>
      <c r="D43" s="229"/>
      <c r="E43" s="229"/>
      <c r="F43" s="229"/>
      <c r="G43" s="229"/>
      <c r="H43" s="231">
        <v>0</v>
      </c>
      <c r="I43" s="229" t="s">
        <v>87</v>
      </c>
      <c r="J43" s="229" t="s">
        <v>87</v>
      </c>
      <c r="K43" s="229" t="s">
        <v>87</v>
      </c>
      <c r="L43" s="229" t="s">
        <v>87</v>
      </c>
      <c r="M43" s="135">
        <f t="shared" si="0"/>
        <v>0</v>
      </c>
      <c r="N43" s="136" t="str">
        <f t="shared" si="1"/>
        <v/>
      </c>
      <c r="O43" s="136" t="str">
        <f t="shared" si="2"/>
        <v/>
      </c>
      <c r="P43" s="136">
        <f t="shared" si="3"/>
        <v>0</v>
      </c>
      <c r="Q43" s="136">
        <f t="shared" si="4"/>
        <v>0</v>
      </c>
    </row>
    <row r="44" spans="1:17">
      <c r="A44" s="393" t="s">
        <v>487</v>
      </c>
      <c r="B44" s="118" t="s">
        <v>478</v>
      </c>
      <c r="C44" s="136"/>
      <c r="D44" s="136"/>
      <c r="E44" s="136"/>
      <c r="F44" s="136"/>
      <c r="G44" s="136"/>
      <c r="H44" s="231">
        <v>1</v>
      </c>
      <c r="I44" s="231">
        <v>2.1</v>
      </c>
      <c r="J44" s="231" t="s">
        <v>87</v>
      </c>
      <c r="K44" s="231" t="s">
        <v>87</v>
      </c>
      <c r="L44" s="231" t="s">
        <v>87</v>
      </c>
      <c r="M44" s="135">
        <f t="shared" ref="M44:M56" si="5">IFERROR(C44+H44,"")</f>
        <v>1</v>
      </c>
      <c r="N44" s="136">
        <f t="shared" ref="N44:N56" si="6">IFERROR((C44*D44+H44*I44)/M44,"")</f>
        <v>2.1</v>
      </c>
      <c r="O44" s="136" t="str">
        <f t="shared" ref="O44:O56" si="7">IFERROR((E44+J44)/2,"")</f>
        <v/>
      </c>
      <c r="P44" s="136">
        <f t="shared" ref="P44:P56" si="8">IFERROR(MAXA(F44,K44),"")</f>
        <v>0</v>
      </c>
      <c r="Q44" s="136">
        <f t="shared" ref="Q44:Q56" si="9">IFERROR(MINA(G44,L44),"")</f>
        <v>0</v>
      </c>
    </row>
    <row r="45" spans="1:17">
      <c r="A45" s="351"/>
      <c r="B45" s="118" t="s">
        <v>479</v>
      </c>
      <c r="C45" s="136"/>
      <c r="D45" s="136"/>
      <c r="E45" s="136"/>
      <c r="F45" s="136"/>
      <c r="G45" s="136"/>
      <c r="H45" s="231">
        <v>26</v>
      </c>
      <c r="I45" s="301">
        <v>9.4791025641025648</v>
      </c>
      <c r="J45" s="301">
        <v>3.9249695888636214</v>
      </c>
      <c r="K45" s="301">
        <v>13.404072152966187</v>
      </c>
      <c r="L45" s="301">
        <v>5.554132975238943</v>
      </c>
      <c r="M45" s="135">
        <f t="shared" si="5"/>
        <v>26</v>
      </c>
      <c r="N45" s="136">
        <f t="shared" si="6"/>
        <v>9.4791025641025648</v>
      </c>
      <c r="O45" s="136">
        <f t="shared" si="7"/>
        <v>1.9624847944318107</v>
      </c>
      <c r="P45" s="136">
        <f t="shared" si="8"/>
        <v>13.404072152966187</v>
      </c>
      <c r="Q45" s="136">
        <f t="shared" si="9"/>
        <v>5.554132975238943</v>
      </c>
    </row>
    <row r="46" spans="1:17">
      <c r="A46" s="351"/>
      <c r="B46" s="118" t="s">
        <v>480</v>
      </c>
      <c r="C46" s="136"/>
      <c r="D46" s="136"/>
      <c r="E46" s="136"/>
      <c r="F46" s="136"/>
      <c r="G46" s="136"/>
      <c r="H46" s="231">
        <v>22</v>
      </c>
      <c r="I46" s="301">
        <v>21.709545454545459</v>
      </c>
      <c r="J46" s="301">
        <v>7.3842441514559543</v>
      </c>
      <c r="K46" s="301">
        <v>29.093789606001415</v>
      </c>
      <c r="L46" s="301">
        <v>14.325301303089505</v>
      </c>
      <c r="M46" s="135">
        <f t="shared" si="5"/>
        <v>22</v>
      </c>
      <c r="N46" s="136">
        <f t="shared" si="6"/>
        <v>21.709545454545459</v>
      </c>
      <c r="O46" s="136">
        <f t="shared" si="7"/>
        <v>3.6921220757279771</v>
      </c>
      <c r="P46" s="136">
        <f t="shared" si="8"/>
        <v>29.093789606001415</v>
      </c>
      <c r="Q46" s="136">
        <f t="shared" si="9"/>
        <v>14.325301303089505</v>
      </c>
    </row>
    <row r="47" spans="1:17">
      <c r="A47" s="351"/>
      <c r="B47" s="118" t="s">
        <v>481</v>
      </c>
      <c r="C47" s="136"/>
      <c r="D47" s="136"/>
      <c r="E47" s="136"/>
      <c r="F47" s="136"/>
      <c r="G47" s="136"/>
      <c r="H47" s="231">
        <v>38</v>
      </c>
      <c r="I47" s="301">
        <v>21.443157894736842</v>
      </c>
      <c r="J47" s="301">
        <v>9.3329755706003201</v>
      </c>
      <c r="K47" s="301">
        <v>30.776133465337161</v>
      </c>
      <c r="L47" s="301">
        <v>12.110182324136522</v>
      </c>
      <c r="M47" s="135">
        <f t="shared" si="5"/>
        <v>38</v>
      </c>
      <c r="N47" s="136">
        <f t="shared" si="6"/>
        <v>21.443157894736842</v>
      </c>
      <c r="O47" s="136">
        <f t="shared" si="7"/>
        <v>4.6664877853001601</v>
      </c>
      <c r="P47" s="136">
        <f t="shared" si="8"/>
        <v>30.776133465337161</v>
      </c>
      <c r="Q47" s="136">
        <f t="shared" si="9"/>
        <v>12.110182324136522</v>
      </c>
    </row>
    <row r="48" spans="1:17">
      <c r="A48" s="351"/>
      <c r="B48" s="118" t="s">
        <v>482</v>
      </c>
      <c r="C48" s="136"/>
      <c r="D48" s="136"/>
      <c r="E48" s="136"/>
      <c r="F48" s="136"/>
      <c r="G48" s="136"/>
      <c r="H48" s="231">
        <v>0</v>
      </c>
      <c r="I48" s="231" t="s">
        <v>87</v>
      </c>
      <c r="J48" s="231" t="s">
        <v>87</v>
      </c>
      <c r="K48" s="231" t="s">
        <v>87</v>
      </c>
      <c r="L48" s="231" t="s">
        <v>87</v>
      </c>
      <c r="M48" s="135">
        <f t="shared" si="5"/>
        <v>0</v>
      </c>
      <c r="N48" s="136" t="str">
        <f t="shared" si="6"/>
        <v/>
      </c>
      <c r="O48" s="136" t="str">
        <f t="shared" si="7"/>
        <v/>
      </c>
      <c r="P48" s="136">
        <f t="shared" si="8"/>
        <v>0</v>
      </c>
      <c r="Q48" s="136">
        <f t="shared" si="9"/>
        <v>0</v>
      </c>
    </row>
    <row r="49" spans="1:17">
      <c r="A49" s="393" t="s">
        <v>488</v>
      </c>
      <c r="B49" s="118" t="s">
        <v>483</v>
      </c>
      <c r="C49" s="136"/>
      <c r="D49" s="136"/>
      <c r="E49" s="136"/>
      <c r="F49" s="136"/>
      <c r="G49" s="136"/>
      <c r="H49" s="231">
        <v>1</v>
      </c>
      <c r="I49" s="301">
        <v>22.32</v>
      </c>
      <c r="J49" s="231" t="s">
        <v>87</v>
      </c>
      <c r="K49" s="231" t="s">
        <v>87</v>
      </c>
      <c r="L49" s="231" t="s">
        <v>87</v>
      </c>
      <c r="M49" s="135">
        <f t="shared" si="5"/>
        <v>1</v>
      </c>
      <c r="N49" s="136">
        <f t="shared" si="6"/>
        <v>22.32</v>
      </c>
      <c r="O49" s="136" t="str">
        <f t="shared" si="7"/>
        <v/>
      </c>
      <c r="P49" s="136">
        <f t="shared" si="8"/>
        <v>0</v>
      </c>
      <c r="Q49" s="136">
        <f t="shared" si="9"/>
        <v>0</v>
      </c>
    </row>
    <row r="50" spans="1:17">
      <c r="A50" s="351"/>
      <c r="B50" s="118" t="s">
        <v>322</v>
      </c>
      <c r="C50" s="136"/>
      <c r="D50" s="136"/>
      <c r="E50" s="136"/>
      <c r="F50" s="136"/>
      <c r="G50" s="136"/>
      <c r="H50" s="231">
        <v>25</v>
      </c>
      <c r="I50" s="302">
        <v>0.87058799999999992</v>
      </c>
      <c r="J50" s="302">
        <v>0.12766989438913726</v>
      </c>
      <c r="K50" s="302">
        <v>0.99825789438913715</v>
      </c>
      <c r="L50" s="302">
        <v>0.74291810561086269</v>
      </c>
      <c r="M50" s="135">
        <f t="shared" si="5"/>
        <v>25</v>
      </c>
      <c r="N50" s="285">
        <f t="shared" si="6"/>
        <v>0.87058799999999992</v>
      </c>
      <c r="O50" s="285">
        <f t="shared" si="7"/>
        <v>6.3834947194568628E-2</v>
      </c>
      <c r="P50" s="285">
        <f t="shared" si="8"/>
        <v>0.99825789438913715</v>
      </c>
      <c r="Q50" s="285">
        <f t="shared" si="9"/>
        <v>0.74291810561086269</v>
      </c>
    </row>
    <row r="51" spans="1:17">
      <c r="A51" s="351"/>
      <c r="B51" s="118" t="s">
        <v>315</v>
      </c>
      <c r="C51" s="136"/>
      <c r="D51" s="136"/>
      <c r="E51" s="136"/>
      <c r="F51" s="136"/>
      <c r="G51" s="136"/>
      <c r="H51" s="231">
        <v>0</v>
      </c>
      <c r="I51" s="231" t="s">
        <v>87</v>
      </c>
      <c r="J51" s="231" t="s">
        <v>87</v>
      </c>
      <c r="K51" s="231" t="s">
        <v>87</v>
      </c>
      <c r="L51" s="231" t="s">
        <v>87</v>
      </c>
      <c r="M51" s="135">
        <f t="shared" si="5"/>
        <v>0</v>
      </c>
      <c r="N51" s="285" t="str">
        <f t="shared" si="6"/>
        <v/>
      </c>
      <c r="O51" s="285" t="str">
        <f t="shared" si="7"/>
        <v/>
      </c>
      <c r="P51" s="285">
        <f t="shared" si="8"/>
        <v>0</v>
      </c>
      <c r="Q51" s="285">
        <f t="shared" si="9"/>
        <v>0</v>
      </c>
    </row>
    <row r="52" spans="1:17">
      <c r="A52" s="351"/>
      <c r="B52" s="300" t="s">
        <v>484</v>
      </c>
      <c r="C52" s="136"/>
      <c r="D52" s="136"/>
      <c r="E52" s="136"/>
      <c r="F52" s="136"/>
      <c r="G52" s="136"/>
      <c r="H52" s="231">
        <v>43</v>
      </c>
      <c r="I52" s="303">
        <v>6.9767441860465115E-2</v>
      </c>
      <c r="J52" s="303">
        <v>0.25776963111323353</v>
      </c>
      <c r="K52" s="303">
        <v>0.32753707297369866</v>
      </c>
      <c r="L52" s="303">
        <v>0</v>
      </c>
      <c r="M52" s="135">
        <f t="shared" si="5"/>
        <v>43</v>
      </c>
      <c r="N52" s="136">
        <f t="shared" si="6"/>
        <v>6.9767441860465115E-2</v>
      </c>
      <c r="O52" s="136">
        <f t="shared" si="7"/>
        <v>0.12888481555661677</v>
      </c>
      <c r="P52" s="136">
        <f t="shared" si="8"/>
        <v>0.32753707297369866</v>
      </c>
      <c r="Q52" s="136">
        <f t="shared" si="9"/>
        <v>0</v>
      </c>
    </row>
    <row r="53" spans="1:17">
      <c r="A53" s="351"/>
      <c r="B53" s="118" t="s">
        <v>317</v>
      </c>
      <c r="C53" s="136"/>
      <c r="D53" s="136"/>
      <c r="E53" s="136"/>
      <c r="F53" s="136"/>
      <c r="G53" s="136"/>
      <c r="H53" s="231">
        <v>0</v>
      </c>
      <c r="I53" s="231" t="s">
        <v>87</v>
      </c>
      <c r="J53" s="231" t="s">
        <v>87</v>
      </c>
      <c r="K53" s="231" t="s">
        <v>87</v>
      </c>
      <c r="L53" s="231" t="s">
        <v>87</v>
      </c>
      <c r="M53" s="135">
        <f t="shared" si="5"/>
        <v>0</v>
      </c>
      <c r="N53" s="285" t="str">
        <f t="shared" si="6"/>
        <v/>
      </c>
      <c r="O53" s="285" t="str">
        <f t="shared" si="7"/>
        <v/>
      </c>
      <c r="P53" s="285">
        <f t="shared" si="8"/>
        <v>0</v>
      </c>
      <c r="Q53" s="285">
        <f t="shared" si="9"/>
        <v>0</v>
      </c>
    </row>
    <row r="54" spans="1:17">
      <c r="A54" s="351"/>
      <c r="B54" s="118" t="s">
        <v>485</v>
      </c>
      <c r="C54" s="136"/>
      <c r="D54" s="136"/>
      <c r="E54" s="136"/>
      <c r="F54" s="136"/>
      <c r="G54" s="136"/>
      <c r="H54" s="231">
        <v>36</v>
      </c>
      <c r="I54" s="302">
        <v>0.98077499999999995</v>
      </c>
      <c r="J54" s="302">
        <v>2.070320023571235E-2</v>
      </c>
      <c r="K54" s="302">
        <v>1.04288460070714</v>
      </c>
      <c r="L54" s="302">
        <v>0.91866539929286295</v>
      </c>
      <c r="M54" s="135">
        <f t="shared" si="5"/>
        <v>36</v>
      </c>
      <c r="N54" s="285">
        <f t="shared" si="6"/>
        <v>0.98077499999999995</v>
      </c>
      <c r="O54" s="285">
        <f t="shared" si="7"/>
        <v>1.0351600117856175E-2</v>
      </c>
      <c r="P54" s="285">
        <v>1</v>
      </c>
      <c r="Q54" s="285">
        <f t="shared" si="9"/>
        <v>0.91866539929286295</v>
      </c>
    </row>
    <row r="55" spans="1:17">
      <c r="A55" s="351"/>
      <c r="B55" s="118" t="s">
        <v>319</v>
      </c>
      <c r="C55" s="136"/>
      <c r="D55" s="136"/>
      <c r="E55" s="136"/>
      <c r="F55" s="136"/>
      <c r="G55" s="136"/>
      <c r="H55" s="231">
        <v>5</v>
      </c>
      <c r="I55" s="231">
        <v>1.4</v>
      </c>
      <c r="J55" s="231">
        <v>0.89442719099991574</v>
      </c>
      <c r="K55" s="231">
        <v>2.2944271909999157</v>
      </c>
      <c r="L55" s="231">
        <v>0.50557280900008417</v>
      </c>
      <c r="M55" s="135">
        <f t="shared" si="5"/>
        <v>5</v>
      </c>
      <c r="N55" s="136">
        <f t="shared" si="6"/>
        <v>1.4</v>
      </c>
      <c r="O55" s="136">
        <f t="shared" si="7"/>
        <v>0.44721359549995787</v>
      </c>
      <c r="P55" s="136">
        <f t="shared" si="8"/>
        <v>2.2944271909999157</v>
      </c>
      <c r="Q55" s="136">
        <f t="shared" si="9"/>
        <v>0.50557280900008417</v>
      </c>
    </row>
    <row r="56" spans="1:17">
      <c r="A56" s="351"/>
      <c r="B56" s="118" t="s">
        <v>307</v>
      </c>
      <c r="C56" s="136"/>
      <c r="D56" s="136"/>
      <c r="E56" s="136"/>
      <c r="F56" s="136"/>
      <c r="G56" s="136"/>
      <c r="H56" s="231">
        <v>0</v>
      </c>
      <c r="I56" s="231" t="s">
        <v>87</v>
      </c>
      <c r="J56" s="231" t="s">
        <v>87</v>
      </c>
      <c r="K56" s="231" t="s">
        <v>87</v>
      </c>
      <c r="L56" s="231" t="s">
        <v>87</v>
      </c>
      <c r="M56" s="135">
        <f t="shared" si="5"/>
        <v>0</v>
      </c>
      <c r="N56" s="136" t="str">
        <f t="shared" si="6"/>
        <v/>
      </c>
      <c r="O56" s="136" t="str">
        <f t="shared" si="7"/>
        <v/>
      </c>
      <c r="P56" s="136">
        <f t="shared" si="8"/>
        <v>0</v>
      </c>
      <c r="Q56" s="136">
        <f t="shared" si="9"/>
        <v>0</v>
      </c>
    </row>
  </sheetData>
  <mergeCells count="14">
    <mergeCell ref="A14:A16"/>
    <mergeCell ref="A1:B2"/>
    <mergeCell ref="C1:G1"/>
    <mergeCell ref="H1:L1"/>
    <mergeCell ref="M1:Q1"/>
    <mergeCell ref="A3:A13"/>
    <mergeCell ref="A44:A48"/>
    <mergeCell ref="A49:A56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charts</vt:lpstr>
      <vt:lpstr>历史PCB开发</vt:lpstr>
      <vt:lpstr>历史PCB测试</vt:lpstr>
      <vt:lpstr>历史PCB自动化</vt:lpstr>
      <vt:lpstr>历史PCB维护</vt:lpstr>
      <vt:lpstr>2019开发</vt:lpstr>
      <vt:lpstr>2019测试</vt:lpstr>
      <vt:lpstr>2019自动化</vt:lpstr>
      <vt:lpstr>2019维护</vt:lpstr>
      <vt:lpstr>2012</vt:lpstr>
      <vt:lpstr>云核</vt:lpstr>
      <vt:lpstr>公共开发部(开发测试)</vt:lpstr>
      <vt:lpstr>BSS</vt:lpstr>
      <vt:lpstr>GSD</vt:lpstr>
      <vt:lpstr>企业IT(开发测试)</vt:lpstr>
      <vt:lpstr>网络(C开发)</vt:lpstr>
      <vt:lpstr>网络(J开发)</vt:lpstr>
      <vt:lpstr>网络(测试)</vt:lpstr>
      <vt:lpstr>网络(AD)</vt:lpstr>
      <vt:lpstr>网络(AT)</vt:lpstr>
      <vt:lpstr>网络(维护)</vt:lpstr>
      <vt:lpstr>无线(开发效率)</vt:lpstr>
      <vt:lpstr>消费者云服务(开发测试)</vt:lpstr>
      <vt:lpstr>云BU(开发测试)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shiyunlei</dc:creator>
  <cp:lastModifiedBy>Shi,Yunlei</cp:lastModifiedBy>
  <dcterms:created xsi:type="dcterms:W3CDTF">2006-09-13T11:21:00Z</dcterms:created>
  <dcterms:modified xsi:type="dcterms:W3CDTF">2020-04-17T06:09:43Z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  <property fmtid="{D5CDD505-2E9C-101B-9397-08002B2CF9AE}" pid="3" name="_2015_ms_pID_725343">
    <vt:lpwstr>(3)pJxkn13DkkuIY+zfsYJflDZ9jP10B5eqRGcdQqkQcQNkArSfsoYwo2ikV9DM015wlDEMhqW6
fhbDrCxTorP9T3yggi0Bs/VPiivqfeljSJ6d/qIFsWovNCPhFxI2yu6LpBTmUTzAkLiAWm/d
P61SkkivGZw3SWVcIrkB9Y8NU4idZvhaBXiqZj/M5s4gxspB6qQGn5Kii/qbs53hJ+t7jQ0D
NiD4N27ikOlpvg3d57</vt:lpwstr>
  </property>
  <property fmtid="{D5CDD505-2E9C-101B-9397-08002B2CF9AE}" pid="4" name="_2015_ms_pID_7253431">
    <vt:lpwstr>zCoZE2tmPfd1bqKSzsSxcfGACfhzIrcijD/evdVaF5iKMSOGPExrXo
XZykirdn86DgIcCqx8FJXctdEQWVpyMkthPqnRR2gNCtxiYWqkFwU6glfL//SRLwzCzG2PZt
ka09QpHiyAOZDno1bosngRYVILaNDgxUtukcB4HYOzllyASLa79eeW+epRCsv32BjMYwByok
eYE3tERmnGKAo1F17V3HxfOltsg5EnIe9/dO</vt:lpwstr>
  </property>
  <property fmtid="{D5CDD505-2E9C-101B-9397-08002B2CF9AE}" pid="5" name="_2015_ms_pID_7253432">
    <vt:lpwstr>O/MuXdTiRf5iprip2oRYslQ=</vt:lpwstr>
  </property>
  <property fmtid="{D5CDD505-2E9C-101B-9397-08002B2CF9AE}" pid="6" name="_readonly">
    <vt:lpwstr/>
  </property>
  <property fmtid="{D5CDD505-2E9C-101B-9397-08002B2CF9AE}" pid="7" name="_change">
    <vt:lpwstr/>
  </property>
  <property fmtid="{D5CDD505-2E9C-101B-9397-08002B2CF9AE}" pid="8" name="_full-control">
    <vt:lpwstr/>
  </property>
  <property fmtid="{D5CDD505-2E9C-101B-9397-08002B2CF9AE}" pid="9" name="sflag">
    <vt:lpwstr>1557023957</vt:lpwstr>
  </property>
</Properties>
</file>
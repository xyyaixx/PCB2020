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PCB\"/>
    </mc:Choice>
  </mc:AlternateContent>
  <bookViews>
    <workbookView xWindow="0" yWindow="0" windowWidth="20490" windowHeight="7230" tabRatio="723" firstSheet="4" activeTab="5"/>
  </bookViews>
  <sheets>
    <sheet name="charts" sheetId="116" r:id="rId1"/>
    <sheet name="历史PCB开发" sheetId="7" r:id="rId2"/>
    <sheet name="历史PCB测试" sheetId="22" r:id="rId3"/>
    <sheet name="历史PCB自动化" sheetId="21" r:id="rId4"/>
    <sheet name="历史PCB维护" sheetId="23" r:id="rId5"/>
    <sheet name="2019开发" sheetId="88" r:id="rId6"/>
    <sheet name="2019测试" sheetId="148" r:id="rId7"/>
    <sheet name="2019自动化" sheetId="150" r:id="rId8"/>
    <sheet name="2019维护" sheetId="149" r:id="rId9"/>
    <sheet name="2012" sheetId="100" r:id="rId10"/>
    <sheet name="云核" sheetId="127" r:id="rId11"/>
    <sheet name="公共开发部(开发测试)" sheetId="128" r:id="rId12"/>
    <sheet name="BSS" sheetId="129" r:id="rId13"/>
    <sheet name="GSD" sheetId="130" r:id="rId14"/>
    <sheet name="企业IT(开发测试)" sheetId="142" r:id="rId15"/>
    <sheet name="网络(C开发)" sheetId="143" r:id="rId16"/>
    <sheet name="网络(J开发)" sheetId="144" r:id="rId17"/>
    <sheet name="无线(开发效率)" sheetId="138" r:id="rId18"/>
    <sheet name="消费者云服务(开发测试)" sheetId="139" r:id="rId19"/>
    <sheet name="云BU(开发测试)" sheetId="140" r:id="rId20"/>
  </sheets>
  <externalReferences>
    <externalReference r:id="rId21"/>
  </externalReferences>
  <definedNames>
    <definedName name="_xlnm._FilterDatabase" localSheetId="2" hidden="1">历史PCB测试!$AV$1:$AV$18</definedName>
    <definedName name="_xlnm._FilterDatabase" localSheetId="1" hidden="1">历史PCB开发!$A$1:$BY$1</definedName>
    <definedName name="_xlnm._FilterDatabase" localSheetId="4" hidden="1">历史PCB维护!$AH$1:$AH$15</definedName>
    <definedName name="_xlnm._FilterDatabase" localSheetId="3" hidden="1">历史PCB自动化!$BJ$1:$BJ$17</definedName>
    <definedName name="f.遗留DI值">'[1]201506（预配置优化）'!$D$9</definedName>
  </definedNames>
  <calcPr calcId="152511"/>
  <fileRecoveryPr repairLoad="1"/>
</workbook>
</file>

<file path=xl/calcChain.xml><?xml version="1.0" encoding="utf-8"?>
<calcChain xmlns="http://schemas.openxmlformats.org/spreadsheetml/2006/main">
  <c r="P40" i="143" l="1"/>
  <c r="P31" i="143"/>
  <c r="P24" i="143"/>
  <c r="P12" i="143"/>
  <c r="P13" i="143"/>
  <c r="P14" i="143"/>
  <c r="P11" i="143"/>
  <c r="P14" i="144"/>
  <c r="P13" i="144"/>
  <c r="P12" i="144"/>
  <c r="P11" i="144"/>
  <c r="P24" i="144"/>
  <c r="P31" i="144"/>
  <c r="P40" i="144"/>
  <c r="Q43" i="144" l="1"/>
  <c r="P43" i="144"/>
  <c r="O43" i="144"/>
  <c r="M43" i="144"/>
  <c r="N43" i="144" s="1"/>
  <c r="Q42" i="144"/>
  <c r="P42" i="144"/>
  <c r="O42" i="144"/>
  <c r="M42" i="144"/>
  <c r="N42" i="144" s="1"/>
  <c r="Q41" i="144"/>
  <c r="P41" i="144"/>
  <c r="O41" i="144"/>
  <c r="M41" i="144"/>
  <c r="N41" i="144" s="1"/>
  <c r="Q40" i="144"/>
  <c r="O40" i="144"/>
  <c r="M40" i="144"/>
  <c r="N40" i="144" s="1"/>
  <c r="Q39" i="144"/>
  <c r="P39" i="144"/>
  <c r="O39" i="144"/>
  <c r="M39" i="144"/>
  <c r="N39" i="144" s="1"/>
  <c r="Q38" i="144"/>
  <c r="P38" i="144"/>
  <c r="O38" i="144"/>
  <c r="M38" i="144"/>
  <c r="N38" i="144" s="1"/>
  <c r="Q37" i="144"/>
  <c r="P37" i="144"/>
  <c r="O37" i="144"/>
  <c r="M37" i="144"/>
  <c r="N37" i="144" s="1"/>
  <c r="Q36" i="144"/>
  <c r="P36" i="144"/>
  <c r="O36" i="144"/>
  <c r="M36" i="144"/>
  <c r="N36" i="144" s="1"/>
  <c r="Q35" i="144"/>
  <c r="P35" i="144"/>
  <c r="O35" i="144"/>
  <c r="M35" i="144"/>
  <c r="N35" i="144" s="1"/>
  <c r="Q34" i="144"/>
  <c r="P34" i="144"/>
  <c r="O34" i="144"/>
  <c r="M34" i="144"/>
  <c r="N34" i="144" s="1"/>
  <c r="Q33" i="144"/>
  <c r="P33" i="144"/>
  <c r="O33" i="144"/>
  <c r="M33" i="144"/>
  <c r="N33" i="144" s="1"/>
  <c r="Q32" i="144"/>
  <c r="P32" i="144"/>
  <c r="O32" i="144"/>
  <c r="M32" i="144"/>
  <c r="N32" i="144" s="1"/>
  <c r="Q31" i="144"/>
  <c r="O31" i="144"/>
  <c r="M31" i="144"/>
  <c r="N31" i="144" s="1"/>
  <c r="Q30" i="144"/>
  <c r="P30" i="144"/>
  <c r="O30" i="144"/>
  <c r="M30" i="144"/>
  <c r="N30" i="144" s="1"/>
  <c r="Q29" i="144"/>
  <c r="P29" i="144"/>
  <c r="O29" i="144"/>
  <c r="M29" i="144"/>
  <c r="N29" i="144" s="1"/>
  <c r="Q28" i="144"/>
  <c r="P28" i="144"/>
  <c r="O28" i="144"/>
  <c r="M28" i="144"/>
  <c r="N28" i="144" s="1"/>
  <c r="Q27" i="144"/>
  <c r="P27" i="144"/>
  <c r="O27" i="144"/>
  <c r="M27" i="144"/>
  <c r="N27" i="144" s="1"/>
  <c r="Q26" i="144"/>
  <c r="P26" i="144"/>
  <c r="O26" i="144"/>
  <c r="M26" i="144"/>
  <c r="N26" i="144" s="1"/>
  <c r="Q25" i="144"/>
  <c r="P25" i="144"/>
  <c r="O25" i="144"/>
  <c r="M25" i="144"/>
  <c r="N25" i="144" s="1"/>
  <c r="Q24" i="144"/>
  <c r="O24" i="144"/>
  <c r="M24" i="144"/>
  <c r="N24" i="144" s="1"/>
  <c r="Q23" i="144"/>
  <c r="P23" i="144"/>
  <c r="O23" i="144"/>
  <c r="M23" i="144"/>
  <c r="N23" i="144" s="1"/>
  <c r="Q22" i="144"/>
  <c r="P22" i="144"/>
  <c r="O22" i="144"/>
  <c r="M22" i="144"/>
  <c r="N22" i="144" s="1"/>
  <c r="Q21" i="144"/>
  <c r="P21" i="144"/>
  <c r="O21" i="144"/>
  <c r="M21" i="144"/>
  <c r="N21" i="144" s="1"/>
  <c r="Q20" i="144"/>
  <c r="P20" i="144"/>
  <c r="O20" i="144"/>
  <c r="M20" i="144"/>
  <c r="N20" i="144" s="1"/>
  <c r="Q19" i="144"/>
  <c r="P19" i="144"/>
  <c r="O19" i="144"/>
  <c r="M19" i="144"/>
  <c r="N19" i="144" s="1"/>
  <c r="Q18" i="144"/>
  <c r="P18" i="144"/>
  <c r="O18" i="144"/>
  <c r="M18" i="144"/>
  <c r="N18" i="144" s="1"/>
  <c r="Q17" i="144"/>
  <c r="P17" i="144"/>
  <c r="O17" i="144"/>
  <c r="M17" i="144"/>
  <c r="N17" i="144" s="1"/>
  <c r="Q16" i="144"/>
  <c r="P16" i="144"/>
  <c r="O16" i="144"/>
  <c r="M16" i="144"/>
  <c r="N16" i="144" s="1"/>
  <c r="Q15" i="144"/>
  <c r="P15" i="144"/>
  <c r="O15" i="144"/>
  <c r="M15" i="144"/>
  <c r="N15" i="144" s="1"/>
  <c r="Q14" i="144"/>
  <c r="O14" i="144"/>
  <c r="M14" i="144"/>
  <c r="N14" i="144" s="1"/>
  <c r="Q13" i="144"/>
  <c r="O13" i="144"/>
  <c r="M13" i="144"/>
  <c r="N13" i="144" s="1"/>
  <c r="Q12" i="144"/>
  <c r="O12" i="144"/>
  <c r="M12" i="144"/>
  <c r="N12" i="144" s="1"/>
  <c r="Q11" i="144"/>
  <c r="O11" i="144"/>
  <c r="M11" i="144"/>
  <c r="N11" i="144" s="1"/>
  <c r="Q10" i="144"/>
  <c r="P10" i="144"/>
  <c r="O10" i="144"/>
  <c r="M10" i="144"/>
  <c r="N10" i="144" s="1"/>
  <c r="Q9" i="144"/>
  <c r="P9" i="144"/>
  <c r="O9" i="144"/>
  <c r="M9" i="144"/>
  <c r="N9" i="144" s="1"/>
  <c r="Q8" i="144"/>
  <c r="P8" i="144"/>
  <c r="O8" i="144"/>
  <c r="M8" i="144"/>
  <c r="N8" i="144" s="1"/>
  <c r="Q7" i="144"/>
  <c r="P7" i="144"/>
  <c r="O7" i="144"/>
  <c r="M7" i="144"/>
  <c r="N7" i="144" s="1"/>
  <c r="Q6" i="144"/>
  <c r="P6" i="144"/>
  <c r="O6" i="144"/>
  <c r="M6" i="144"/>
  <c r="N6" i="144" s="1"/>
  <c r="Q5" i="144"/>
  <c r="P5" i="144"/>
  <c r="O5" i="144"/>
  <c r="M5" i="144"/>
  <c r="N5" i="144" s="1"/>
  <c r="Q4" i="144"/>
  <c r="P4" i="144"/>
  <c r="O4" i="144"/>
  <c r="M4" i="144"/>
  <c r="N4" i="144" s="1"/>
  <c r="Q3" i="144"/>
  <c r="P3" i="144"/>
  <c r="O3" i="144"/>
  <c r="M3" i="144"/>
  <c r="N3" i="144" s="1"/>
  <c r="Q43" i="143"/>
  <c r="P43" i="143"/>
  <c r="O43" i="143"/>
  <c r="M43" i="143"/>
  <c r="N43" i="143" s="1"/>
  <c r="Q42" i="143"/>
  <c r="P42" i="143"/>
  <c r="O42" i="143"/>
  <c r="M42" i="143"/>
  <c r="N42" i="143" s="1"/>
  <c r="Q41" i="143"/>
  <c r="P41" i="143"/>
  <c r="O41" i="143"/>
  <c r="M41" i="143"/>
  <c r="N41" i="143" s="1"/>
  <c r="Q40" i="143"/>
  <c r="O40" i="143"/>
  <c r="M40" i="143"/>
  <c r="N40" i="143" s="1"/>
  <c r="Q39" i="143"/>
  <c r="P39" i="143"/>
  <c r="O39" i="143"/>
  <c r="M39" i="143"/>
  <c r="N39" i="143" s="1"/>
  <c r="Q38" i="143"/>
  <c r="P38" i="143"/>
  <c r="O38" i="143"/>
  <c r="M38" i="143"/>
  <c r="N38" i="143" s="1"/>
  <c r="Q37" i="143"/>
  <c r="P37" i="143"/>
  <c r="O37" i="143"/>
  <c r="M37" i="143"/>
  <c r="N37" i="143" s="1"/>
  <c r="Q36" i="143"/>
  <c r="P36" i="143"/>
  <c r="O36" i="143"/>
  <c r="M36" i="143"/>
  <c r="N36" i="143" s="1"/>
  <c r="Q35" i="143"/>
  <c r="P35" i="143"/>
  <c r="O35" i="143"/>
  <c r="M35" i="143"/>
  <c r="N35" i="143" s="1"/>
  <c r="Q34" i="143"/>
  <c r="P34" i="143"/>
  <c r="O34" i="143"/>
  <c r="M34" i="143"/>
  <c r="N34" i="143" s="1"/>
  <c r="Q33" i="143"/>
  <c r="P33" i="143"/>
  <c r="O33" i="143"/>
  <c r="M33" i="143"/>
  <c r="N33" i="143" s="1"/>
  <c r="Q32" i="143"/>
  <c r="P32" i="143"/>
  <c r="O32" i="143"/>
  <c r="M32" i="143"/>
  <c r="N32" i="143" s="1"/>
  <c r="Q31" i="143"/>
  <c r="O31" i="143"/>
  <c r="M31" i="143"/>
  <c r="N31" i="143" s="1"/>
  <c r="Q30" i="143"/>
  <c r="P30" i="143"/>
  <c r="O30" i="143"/>
  <c r="M30" i="143"/>
  <c r="N30" i="143" s="1"/>
  <c r="Q29" i="143"/>
  <c r="P29" i="143"/>
  <c r="O29" i="143"/>
  <c r="M29" i="143"/>
  <c r="N29" i="143" s="1"/>
  <c r="Q28" i="143"/>
  <c r="P28" i="143"/>
  <c r="O28" i="143"/>
  <c r="M28" i="143"/>
  <c r="N28" i="143" s="1"/>
  <c r="Q27" i="143"/>
  <c r="P27" i="143"/>
  <c r="O27" i="143"/>
  <c r="M27" i="143"/>
  <c r="N27" i="143" s="1"/>
  <c r="Q26" i="143"/>
  <c r="P26" i="143"/>
  <c r="O26" i="143"/>
  <c r="M26" i="143"/>
  <c r="N26" i="143" s="1"/>
  <c r="Q25" i="143"/>
  <c r="P25" i="143"/>
  <c r="O25" i="143"/>
  <c r="M25" i="143"/>
  <c r="N25" i="143" s="1"/>
  <c r="Q24" i="143"/>
  <c r="O24" i="143"/>
  <c r="M24" i="143"/>
  <c r="N24" i="143" s="1"/>
  <c r="Q23" i="143"/>
  <c r="P23" i="143"/>
  <c r="O23" i="143"/>
  <c r="M23" i="143"/>
  <c r="N23" i="143" s="1"/>
  <c r="Q22" i="143"/>
  <c r="P22" i="143"/>
  <c r="O22" i="143"/>
  <c r="M22" i="143"/>
  <c r="N22" i="143" s="1"/>
  <c r="Q21" i="143"/>
  <c r="P21" i="143"/>
  <c r="O21" i="143"/>
  <c r="M21" i="143"/>
  <c r="N21" i="143" s="1"/>
  <c r="Q20" i="143"/>
  <c r="P20" i="143"/>
  <c r="O20" i="143"/>
  <c r="M20" i="143"/>
  <c r="N20" i="143" s="1"/>
  <c r="Q19" i="143"/>
  <c r="P19" i="143"/>
  <c r="O19" i="143"/>
  <c r="M19" i="143"/>
  <c r="N19" i="143" s="1"/>
  <c r="Q18" i="143"/>
  <c r="P18" i="143"/>
  <c r="O18" i="143"/>
  <c r="M18" i="143"/>
  <c r="N18" i="143" s="1"/>
  <c r="Q17" i="143"/>
  <c r="P17" i="143"/>
  <c r="O17" i="143"/>
  <c r="M17" i="143"/>
  <c r="N17" i="143" s="1"/>
  <c r="Q16" i="143"/>
  <c r="P16" i="143"/>
  <c r="O16" i="143"/>
  <c r="M16" i="143"/>
  <c r="N16" i="143" s="1"/>
  <c r="Q15" i="143"/>
  <c r="P15" i="143"/>
  <c r="O15" i="143"/>
  <c r="M15" i="143"/>
  <c r="N15" i="143" s="1"/>
  <c r="Q14" i="143"/>
  <c r="O14" i="143"/>
  <c r="M14" i="143"/>
  <c r="N14" i="143" s="1"/>
  <c r="Q13" i="143"/>
  <c r="O13" i="143"/>
  <c r="M13" i="143"/>
  <c r="N13" i="143" s="1"/>
  <c r="Q12" i="143"/>
  <c r="O12" i="143"/>
  <c r="M12" i="143"/>
  <c r="N12" i="143" s="1"/>
  <c r="Q11" i="143"/>
  <c r="O11" i="143"/>
  <c r="M11" i="143"/>
  <c r="N11" i="143" s="1"/>
  <c r="Q10" i="143"/>
  <c r="P10" i="143"/>
  <c r="O10" i="143"/>
  <c r="M10" i="143"/>
  <c r="N10" i="143" s="1"/>
  <c r="Q9" i="143"/>
  <c r="P9" i="143"/>
  <c r="O9" i="143"/>
  <c r="M9" i="143"/>
  <c r="N9" i="143" s="1"/>
  <c r="Q8" i="143"/>
  <c r="P8" i="143"/>
  <c r="O8" i="143"/>
  <c r="M8" i="143"/>
  <c r="N8" i="143" s="1"/>
  <c r="Q7" i="143"/>
  <c r="P7" i="143"/>
  <c r="O7" i="143"/>
  <c r="M7" i="143"/>
  <c r="N7" i="143" s="1"/>
  <c r="Q6" i="143"/>
  <c r="P6" i="143"/>
  <c r="O6" i="143"/>
  <c r="M6" i="143"/>
  <c r="N6" i="143" s="1"/>
  <c r="Q5" i="143"/>
  <c r="P5" i="143"/>
  <c r="O5" i="143"/>
  <c r="M5" i="143"/>
  <c r="N5" i="143" s="1"/>
  <c r="Q4" i="143"/>
  <c r="P4" i="143"/>
  <c r="O4" i="143"/>
  <c r="M4" i="143"/>
  <c r="N4" i="143" s="1"/>
  <c r="Q3" i="143"/>
  <c r="P3" i="143"/>
  <c r="O3" i="143"/>
  <c r="M3" i="143"/>
  <c r="N3" i="143" s="1"/>
  <c r="M44" i="140" l="1"/>
  <c r="N44" i="140"/>
  <c r="O44" i="140"/>
  <c r="P44" i="140"/>
  <c r="Q44" i="140"/>
  <c r="M45" i="140"/>
  <c r="N45" i="140"/>
  <c r="O45" i="140"/>
  <c r="P45" i="140"/>
  <c r="Q45" i="140"/>
  <c r="M46" i="140"/>
  <c r="N46" i="140"/>
  <c r="O46" i="140"/>
  <c r="P46" i="140"/>
  <c r="Q46" i="140"/>
  <c r="M47" i="140"/>
  <c r="N47" i="140" s="1"/>
  <c r="O47" i="140"/>
  <c r="P47" i="140"/>
  <c r="Q47" i="140"/>
  <c r="M48" i="140"/>
  <c r="N48" i="140"/>
  <c r="O48" i="140"/>
  <c r="P48" i="140"/>
  <c r="Q48" i="140"/>
  <c r="M49" i="140"/>
  <c r="N49" i="140"/>
  <c r="O49" i="140"/>
  <c r="P49" i="140"/>
  <c r="Q49" i="140"/>
  <c r="M50" i="140"/>
  <c r="N50" i="140"/>
  <c r="O50" i="140"/>
  <c r="P50" i="140"/>
  <c r="Q50" i="140"/>
  <c r="M51" i="140"/>
  <c r="N51" i="140" s="1"/>
  <c r="O51" i="140"/>
  <c r="P51" i="140"/>
  <c r="Q51" i="140"/>
  <c r="M52" i="140"/>
  <c r="N52" i="140"/>
  <c r="O52" i="140"/>
  <c r="P52" i="140"/>
  <c r="Q52" i="140"/>
  <c r="M53" i="140"/>
  <c r="N53" i="140"/>
  <c r="O53" i="140"/>
  <c r="P53" i="140"/>
  <c r="Q53" i="140"/>
  <c r="M54" i="140"/>
  <c r="N54" i="140"/>
  <c r="O54" i="140"/>
  <c r="Q54" i="140"/>
  <c r="M55" i="140"/>
  <c r="N55" i="140" s="1"/>
  <c r="O55" i="140"/>
  <c r="P55" i="140"/>
  <c r="Q55" i="140"/>
  <c r="M56" i="140"/>
  <c r="N56" i="140"/>
  <c r="O56" i="140"/>
  <c r="P56" i="140"/>
  <c r="Q56" i="140"/>
  <c r="M44" i="139" l="1"/>
  <c r="N44" i="139"/>
  <c r="O44" i="139"/>
  <c r="P44" i="139"/>
  <c r="Q44" i="139"/>
  <c r="M45" i="139"/>
  <c r="N45" i="139"/>
  <c r="O45" i="139"/>
  <c r="P45" i="139"/>
  <c r="Q45" i="139"/>
  <c r="M46" i="139"/>
  <c r="N46" i="139"/>
  <c r="O46" i="139"/>
  <c r="P46" i="139"/>
  <c r="Q46" i="139"/>
  <c r="M47" i="139"/>
  <c r="N47" i="139" s="1"/>
  <c r="O47" i="139"/>
  <c r="P47" i="139"/>
  <c r="Q47" i="139"/>
  <c r="M48" i="139"/>
  <c r="N48" i="139"/>
  <c r="O48" i="139"/>
  <c r="P48" i="139"/>
  <c r="Q48" i="139"/>
  <c r="M49" i="139"/>
  <c r="N49" i="139"/>
  <c r="O49" i="139"/>
  <c r="P49" i="139"/>
  <c r="Q49" i="139"/>
  <c r="M50" i="139"/>
  <c r="N50" i="139"/>
  <c r="O50" i="139"/>
  <c r="P50" i="139"/>
  <c r="Q50" i="139"/>
  <c r="M51" i="139"/>
  <c r="N51" i="139" s="1"/>
  <c r="O51" i="139"/>
  <c r="P51" i="139"/>
  <c r="Q51" i="139"/>
  <c r="M52" i="139"/>
  <c r="N52" i="139"/>
  <c r="O52" i="139"/>
  <c r="P52" i="139"/>
  <c r="Q52" i="139"/>
  <c r="M53" i="139"/>
  <c r="N53" i="139"/>
  <c r="O53" i="139"/>
  <c r="P53" i="139"/>
  <c r="Q53" i="139"/>
  <c r="M54" i="139"/>
  <c r="N54" i="139"/>
  <c r="O54" i="139"/>
  <c r="P54" i="139"/>
  <c r="Q54" i="139"/>
  <c r="M55" i="139"/>
  <c r="N55" i="139" s="1"/>
  <c r="O55" i="139"/>
  <c r="P55" i="139"/>
  <c r="Q55" i="139"/>
  <c r="M6" i="138" l="1"/>
  <c r="N6" i="138"/>
  <c r="O6" i="138"/>
  <c r="P6" i="138"/>
  <c r="Q6" i="138"/>
  <c r="M7" i="138"/>
  <c r="N7" i="138"/>
  <c r="O7" i="138"/>
  <c r="P7" i="138"/>
  <c r="Q7" i="138"/>
  <c r="M8" i="138"/>
  <c r="N8" i="138"/>
  <c r="O8" i="138"/>
  <c r="P8" i="138"/>
  <c r="Q8" i="138"/>
  <c r="M9" i="138"/>
  <c r="N9" i="138" s="1"/>
  <c r="O9" i="138"/>
  <c r="P9" i="138"/>
  <c r="Q9" i="138"/>
  <c r="M11" i="138"/>
  <c r="N11" i="138"/>
  <c r="O11" i="138"/>
  <c r="P11" i="138"/>
  <c r="Q11" i="138"/>
  <c r="M12" i="138"/>
  <c r="N12" i="138"/>
  <c r="O12" i="138"/>
  <c r="P12" i="138"/>
  <c r="Q12" i="138"/>
  <c r="M13" i="138"/>
  <c r="N13" i="138" s="1"/>
  <c r="O13" i="138"/>
  <c r="P13" i="138"/>
  <c r="Q13" i="138"/>
  <c r="M14" i="138"/>
  <c r="N14" i="138"/>
  <c r="O14" i="138"/>
  <c r="P14" i="138"/>
  <c r="Q14" i="138"/>
  <c r="M15" i="138"/>
  <c r="N15" i="138"/>
  <c r="O15" i="138"/>
  <c r="P15" i="138"/>
  <c r="Q15" i="138"/>
  <c r="M16" i="138"/>
  <c r="N16" i="138"/>
  <c r="O16" i="138"/>
  <c r="P16" i="138"/>
  <c r="Q16" i="138"/>
  <c r="M17" i="138"/>
  <c r="N17" i="138" s="1"/>
  <c r="O17" i="138"/>
  <c r="P17" i="138"/>
  <c r="Q17" i="138"/>
  <c r="M18" i="138"/>
  <c r="N18" i="138"/>
  <c r="O18" i="138"/>
  <c r="P18" i="138"/>
  <c r="Q18" i="138"/>
  <c r="M19" i="138"/>
  <c r="N19" i="138"/>
  <c r="O19" i="138"/>
  <c r="P19" i="138"/>
  <c r="Q19" i="138"/>
  <c r="M20" i="138"/>
  <c r="N20" i="138"/>
  <c r="O20" i="138"/>
  <c r="P20" i="138"/>
  <c r="Q20" i="138"/>
  <c r="M21" i="138"/>
  <c r="N21" i="138" s="1"/>
  <c r="O21" i="138"/>
  <c r="P21" i="138"/>
  <c r="Q21" i="138"/>
  <c r="M22" i="138"/>
  <c r="N22" i="138"/>
  <c r="O22" i="138"/>
  <c r="P22" i="138"/>
  <c r="Q22" i="138"/>
  <c r="M23" i="138"/>
  <c r="N23" i="138"/>
  <c r="O23" i="138"/>
  <c r="P23" i="138"/>
  <c r="Q23" i="138"/>
  <c r="M25" i="138"/>
  <c r="N25" i="138" s="1"/>
  <c r="O25" i="138"/>
  <c r="P25" i="138"/>
  <c r="Q25" i="138"/>
  <c r="M26" i="138"/>
  <c r="N26" i="138"/>
  <c r="O26" i="138"/>
  <c r="P26" i="138"/>
  <c r="Q26" i="138"/>
  <c r="M27" i="138"/>
  <c r="N27" i="138"/>
  <c r="O27" i="138"/>
  <c r="P27" i="138"/>
  <c r="Q27" i="138"/>
  <c r="M28" i="138"/>
  <c r="N28" i="138"/>
  <c r="O28" i="138"/>
  <c r="P28" i="138"/>
  <c r="Q28" i="138"/>
  <c r="M29" i="138"/>
  <c r="N29" i="138" s="1"/>
  <c r="O29" i="138"/>
  <c r="P29" i="138"/>
  <c r="Q29" i="138"/>
  <c r="M30" i="138"/>
  <c r="N30" i="138"/>
  <c r="O30" i="138"/>
  <c r="P30" i="138"/>
  <c r="Q30" i="138"/>
  <c r="M31" i="138"/>
  <c r="N31" i="138"/>
  <c r="O31" i="138"/>
  <c r="P31" i="138"/>
  <c r="Q31" i="138"/>
  <c r="M32" i="138"/>
  <c r="N32" i="138"/>
  <c r="O32" i="138"/>
  <c r="P32" i="138"/>
  <c r="Q32" i="138"/>
  <c r="M33" i="138"/>
  <c r="N33" i="138" s="1"/>
  <c r="O33" i="138"/>
  <c r="P33" i="138"/>
  <c r="Q33" i="138"/>
  <c r="M34" i="138"/>
  <c r="N34" i="138"/>
  <c r="O34" i="138"/>
  <c r="P34" i="138"/>
  <c r="Q34" i="138"/>
  <c r="M38" i="138"/>
  <c r="N38" i="138"/>
  <c r="O38" i="138"/>
  <c r="P38" i="138"/>
  <c r="Q38" i="138"/>
  <c r="M39" i="138"/>
  <c r="N39" i="138"/>
  <c r="O39" i="138"/>
  <c r="P39" i="138"/>
  <c r="Q39" i="138"/>
  <c r="M40" i="138"/>
  <c r="N40" i="138"/>
  <c r="O40" i="138"/>
  <c r="P40" i="138"/>
  <c r="Q40" i="138"/>
  <c r="M44" i="138"/>
  <c r="N44" i="138"/>
  <c r="O44" i="138"/>
  <c r="P44" i="138"/>
  <c r="Q44" i="138"/>
  <c r="M45" i="138"/>
  <c r="N45" i="138" s="1"/>
  <c r="O45" i="138"/>
  <c r="P45" i="138"/>
  <c r="Q45" i="138"/>
  <c r="M46" i="138"/>
  <c r="N46" i="138"/>
  <c r="O46" i="138"/>
  <c r="P46" i="138"/>
  <c r="Q46" i="138"/>
  <c r="M47" i="138"/>
  <c r="N47" i="138"/>
  <c r="O47" i="138"/>
  <c r="P47" i="138"/>
  <c r="Q47" i="138"/>
  <c r="M44" i="142" l="1"/>
  <c r="N44" i="142"/>
  <c r="O44" i="142"/>
  <c r="P44" i="142"/>
  <c r="Q44" i="142"/>
  <c r="M45" i="142"/>
  <c r="N45" i="142"/>
  <c r="O45" i="142"/>
  <c r="P45" i="142"/>
  <c r="Q45" i="142"/>
  <c r="M46" i="142"/>
  <c r="N46" i="142"/>
  <c r="O46" i="142"/>
  <c r="P46" i="142"/>
  <c r="Q46" i="142"/>
  <c r="M47" i="142"/>
  <c r="N47" i="142" s="1"/>
  <c r="O47" i="142"/>
  <c r="P47" i="142"/>
  <c r="Q47" i="142"/>
  <c r="M48" i="142"/>
  <c r="N48" i="142"/>
  <c r="O48" i="142"/>
  <c r="P48" i="142"/>
  <c r="Q48" i="142"/>
  <c r="M49" i="142"/>
  <c r="N49" i="142"/>
  <c r="O49" i="142"/>
  <c r="P49" i="142"/>
  <c r="Q49" i="142"/>
  <c r="M50" i="142"/>
  <c r="N50" i="142"/>
  <c r="O50" i="142"/>
  <c r="P50" i="142"/>
  <c r="Q50" i="142"/>
  <c r="M51" i="142"/>
  <c r="N51" i="142" s="1"/>
  <c r="O51" i="142"/>
  <c r="P51" i="142"/>
  <c r="Q51" i="142"/>
  <c r="M52" i="142"/>
  <c r="N52" i="142"/>
  <c r="O52" i="142"/>
  <c r="P52" i="142"/>
  <c r="Q52" i="142"/>
  <c r="M53" i="142"/>
  <c r="N53" i="142"/>
  <c r="O53" i="142"/>
  <c r="P53" i="142"/>
  <c r="Q53" i="142"/>
  <c r="M54" i="142"/>
  <c r="N54" i="142"/>
  <c r="O54" i="142"/>
  <c r="P54" i="142"/>
  <c r="Q54" i="142"/>
  <c r="M55" i="142"/>
  <c r="N55" i="142" s="1"/>
  <c r="O55" i="142"/>
  <c r="P55" i="142"/>
  <c r="Q55" i="142"/>
  <c r="M56" i="142"/>
  <c r="N56" i="142"/>
  <c r="O56" i="142"/>
  <c r="P56" i="142"/>
  <c r="Q56" i="142"/>
  <c r="Q43" i="142"/>
  <c r="P43" i="142"/>
  <c r="O43" i="142"/>
  <c r="M43" i="142"/>
  <c r="N43" i="142" s="1"/>
  <c r="Q42" i="142"/>
  <c r="P42" i="142"/>
  <c r="O42" i="142"/>
  <c r="M42" i="142"/>
  <c r="N42" i="142" s="1"/>
  <c r="Q41" i="142"/>
  <c r="P41" i="142"/>
  <c r="O41" i="142"/>
  <c r="M41" i="142"/>
  <c r="N41" i="142" s="1"/>
  <c r="Q40" i="142"/>
  <c r="P40" i="142"/>
  <c r="O40" i="142"/>
  <c r="N40" i="142"/>
  <c r="M40" i="142"/>
  <c r="Q39" i="142"/>
  <c r="P39" i="142"/>
  <c r="O39" i="142"/>
  <c r="M39" i="142"/>
  <c r="N39" i="142" s="1"/>
  <c r="Q38" i="142"/>
  <c r="P38" i="142"/>
  <c r="O38" i="142"/>
  <c r="M38" i="142"/>
  <c r="N38" i="142" s="1"/>
  <c r="Q37" i="142"/>
  <c r="P37" i="142"/>
  <c r="O37" i="142"/>
  <c r="M37" i="142"/>
  <c r="N37" i="142" s="1"/>
  <c r="Q36" i="142"/>
  <c r="P36" i="142"/>
  <c r="O36" i="142"/>
  <c r="N36" i="142"/>
  <c r="M36" i="142"/>
  <c r="Q35" i="142"/>
  <c r="P35" i="142"/>
  <c r="O35" i="142"/>
  <c r="M35" i="142"/>
  <c r="N35" i="142" s="1"/>
  <c r="Q34" i="142"/>
  <c r="P34" i="142"/>
  <c r="O34" i="142"/>
  <c r="M34" i="142"/>
  <c r="N34" i="142" s="1"/>
  <c r="Q33" i="142"/>
  <c r="P33" i="142"/>
  <c r="O33" i="142"/>
  <c r="M33" i="142"/>
  <c r="N33" i="142" s="1"/>
  <c r="Q32" i="142"/>
  <c r="P32" i="142"/>
  <c r="O32" i="142"/>
  <c r="N32" i="142"/>
  <c r="M32" i="142"/>
  <c r="Q31" i="142"/>
  <c r="P31" i="142"/>
  <c r="O31" i="142"/>
  <c r="M31" i="142"/>
  <c r="N31" i="142" s="1"/>
  <c r="Q30" i="142"/>
  <c r="P30" i="142"/>
  <c r="O30" i="142"/>
  <c r="M30" i="142"/>
  <c r="N30" i="142" s="1"/>
  <c r="Q29" i="142"/>
  <c r="P29" i="142"/>
  <c r="O29" i="142"/>
  <c r="M29" i="142"/>
  <c r="N29" i="142" s="1"/>
  <c r="Q28" i="142"/>
  <c r="P28" i="142"/>
  <c r="O28" i="142"/>
  <c r="N28" i="142"/>
  <c r="M28" i="142"/>
  <c r="Q27" i="142"/>
  <c r="P27" i="142"/>
  <c r="O27" i="142"/>
  <c r="M27" i="142"/>
  <c r="N27" i="142" s="1"/>
  <c r="Q26" i="142"/>
  <c r="P26" i="142"/>
  <c r="O26" i="142"/>
  <c r="M26" i="142"/>
  <c r="N26" i="142" s="1"/>
  <c r="Q25" i="142"/>
  <c r="P25" i="142"/>
  <c r="O25" i="142"/>
  <c r="M25" i="142"/>
  <c r="N25" i="142" s="1"/>
  <c r="Q24" i="142"/>
  <c r="P24" i="142"/>
  <c r="O24" i="142"/>
  <c r="N24" i="142"/>
  <c r="M24" i="142"/>
  <c r="Q23" i="142"/>
  <c r="P23" i="142"/>
  <c r="O23" i="142"/>
  <c r="M23" i="142"/>
  <c r="N23" i="142" s="1"/>
  <c r="Q22" i="142"/>
  <c r="P22" i="142"/>
  <c r="O22" i="142"/>
  <c r="M22" i="142"/>
  <c r="N22" i="142" s="1"/>
  <c r="Q21" i="142"/>
  <c r="P21" i="142"/>
  <c r="O21" i="142"/>
  <c r="M21" i="142"/>
  <c r="N21" i="142" s="1"/>
  <c r="Q20" i="142"/>
  <c r="P20" i="142"/>
  <c r="O20" i="142"/>
  <c r="N20" i="142"/>
  <c r="M20" i="142"/>
  <c r="Q19" i="142"/>
  <c r="P19" i="142"/>
  <c r="O19" i="142"/>
  <c r="M19" i="142"/>
  <c r="N19" i="142" s="1"/>
  <c r="Q18" i="142"/>
  <c r="P18" i="142"/>
  <c r="O18" i="142"/>
  <c r="M18" i="142"/>
  <c r="N18" i="142" s="1"/>
  <c r="Q17" i="142"/>
  <c r="P17" i="142"/>
  <c r="O17" i="142"/>
  <c r="M17" i="142"/>
  <c r="N17" i="142" s="1"/>
  <c r="Q16" i="142"/>
  <c r="P16" i="142"/>
  <c r="O16" i="142"/>
  <c r="N16" i="142"/>
  <c r="M16" i="142"/>
  <c r="Q15" i="142"/>
  <c r="P15" i="142"/>
  <c r="O15" i="142"/>
  <c r="M15" i="142"/>
  <c r="N15" i="142" s="1"/>
  <c r="Q14" i="142"/>
  <c r="P14" i="142"/>
  <c r="O14" i="142"/>
  <c r="M14" i="142"/>
  <c r="N14" i="142" s="1"/>
  <c r="Q13" i="142"/>
  <c r="P13" i="142"/>
  <c r="O13" i="142"/>
  <c r="M13" i="142"/>
  <c r="N13" i="142" s="1"/>
  <c r="Q12" i="142"/>
  <c r="P12" i="142"/>
  <c r="O12" i="142"/>
  <c r="N12" i="142"/>
  <c r="M12" i="142"/>
  <c r="Q11" i="142"/>
  <c r="P11" i="142"/>
  <c r="O11" i="142"/>
  <c r="M11" i="142"/>
  <c r="N11" i="142" s="1"/>
  <c r="Q10" i="142"/>
  <c r="P10" i="142"/>
  <c r="O10" i="142"/>
  <c r="M10" i="142"/>
  <c r="N10" i="142" s="1"/>
  <c r="Q9" i="142"/>
  <c r="P9" i="142"/>
  <c r="O9" i="142"/>
  <c r="M9" i="142"/>
  <c r="N9" i="142" s="1"/>
  <c r="Q8" i="142"/>
  <c r="P8" i="142"/>
  <c r="O8" i="142"/>
  <c r="N8" i="142"/>
  <c r="M8" i="142"/>
  <c r="Q7" i="142"/>
  <c r="P7" i="142"/>
  <c r="O7" i="142"/>
  <c r="M7" i="142"/>
  <c r="N7" i="142" s="1"/>
  <c r="Q6" i="142"/>
  <c r="P6" i="142"/>
  <c r="O6" i="142"/>
  <c r="M6" i="142"/>
  <c r="N6" i="142" s="1"/>
  <c r="Q5" i="142"/>
  <c r="P5" i="142"/>
  <c r="O5" i="142"/>
  <c r="M5" i="142"/>
  <c r="N5" i="142" s="1"/>
  <c r="Q4" i="142"/>
  <c r="P4" i="142"/>
  <c r="O4" i="142"/>
  <c r="N4" i="142"/>
  <c r="M4" i="142"/>
  <c r="Q3" i="142"/>
  <c r="P3" i="142"/>
  <c r="O3" i="142"/>
  <c r="M3" i="142"/>
  <c r="N3" i="142" s="1"/>
  <c r="Q43" i="140" l="1"/>
  <c r="P43" i="140"/>
  <c r="O43" i="140"/>
  <c r="M43" i="140"/>
  <c r="N43" i="140" s="1"/>
  <c r="Q42" i="140"/>
  <c r="P42" i="140"/>
  <c r="O42" i="140"/>
  <c r="M42" i="140"/>
  <c r="N42" i="140" s="1"/>
  <c r="Q41" i="140"/>
  <c r="P41" i="140"/>
  <c r="O41" i="140"/>
  <c r="M41" i="140"/>
  <c r="N41" i="140" s="1"/>
  <c r="Q40" i="140"/>
  <c r="P40" i="140"/>
  <c r="O40" i="140"/>
  <c r="M40" i="140"/>
  <c r="N40" i="140" s="1"/>
  <c r="Q39" i="140"/>
  <c r="P39" i="140"/>
  <c r="O39" i="140"/>
  <c r="M39" i="140"/>
  <c r="N39" i="140" s="1"/>
  <c r="Q38" i="140"/>
  <c r="P38" i="140"/>
  <c r="O38" i="140"/>
  <c r="M38" i="140"/>
  <c r="N38" i="140" s="1"/>
  <c r="Q37" i="140"/>
  <c r="P37" i="140"/>
  <c r="O37" i="140"/>
  <c r="M37" i="140"/>
  <c r="N37" i="140" s="1"/>
  <c r="Q36" i="140"/>
  <c r="P36" i="140"/>
  <c r="O36" i="140"/>
  <c r="M36" i="140"/>
  <c r="N36" i="140" s="1"/>
  <c r="Q35" i="140"/>
  <c r="P35" i="140"/>
  <c r="O35" i="140"/>
  <c r="M35" i="140"/>
  <c r="N35" i="140" s="1"/>
  <c r="Q34" i="140"/>
  <c r="P34" i="140"/>
  <c r="O34" i="140"/>
  <c r="M34" i="140"/>
  <c r="N34" i="140" s="1"/>
  <c r="Q33" i="140"/>
  <c r="P33" i="140"/>
  <c r="O33" i="140"/>
  <c r="M33" i="140"/>
  <c r="N33" i="140" s="1"/>
  <c r="Q32" i="140"/>
  <c r="P32" i="140"/>
  <c r="O32" i="140"/>
  <c r="M32" i="140"/>
  <c r="N32" i="140" s="1"/>
  <c r="Q31" i="140"/>
  <c r="P31" i="140"/>
  <c r="O31" i="140"/>
  <c r="M31" i="140"/>
  <c r="N31" i="140" s="1"/>
  <c r="Q30" i="140"/>
  <c r="P30" i="140"/>
  <c r="O30" i="140"/>
  <c r="M30" i="140"/>
  <c r="N30" i="140" s="1"/>
  <c r="Q29" i="140"/>
  <c r="P29" i="140"/>
  <c r="O29" i="140"/>
  <c r="M29" i="140"/>
  <c r="N29" i="140" s="1"/>
  <c r="Q28" i="140"/>
  <c r="P28" i="140"/>
  <c r="O28" i="140"/>
  <c r="M28" i="140"/>
  <c r="N28" i="140" s="1"/>
  <c r="Q27" i="140"/>
  <c r="P27" i="140"/>
  <c r="O27" i="140"/>
  <c r="M27" i="140"/>
  <c r="N27" i="140" s="1"/>
  <c r="Q26" i="140"/>
  <c r="P26" i="140"/>
  <c r="O26" i="140"/>
  <c r="M26" i="140"/>
  <c r="N26" i="140" s="1"/>
  <c r="Q25" i="140"/>
  <c r="P25" i="140"/>
  <c r="O25" i="140"/>
  <c r="M25" i="140"/>
  <c r="N25" i="140" s="1"/>
  <c r="Q24" i="140"/>
  <c r="P24" i="140"/>
  <c r="O24" i="140"/>
  <c r="M24" i="140"/>
  <c r="N24" i="140" s="1"/>
  <c r="Q23" i="140"/>
  <c r="P23" i="140"/>
  <c r="O23" i="140"/>
  <c r="M23" i="140"/>
  <c r="N23" i="140" s="1"/>
  <c r="Q22" i="140"/>
  <c r="P22" i="140"/>
  <c r="O22" i="140"/>
  <c r="M22" i="140"/>
  <c r="N22" i="140" s="1"/>
  <c r="Q21" i="140"/>
  <c r="P21" i="140"/>
  <c r="O21" i="140"/>
  <c r="M21" i="140"/>
  <c r="N21" i="140" s="1"/>
  <c r="Q20" i="140"/>
  <c r="P20" i="140"/>
  <c r="O20" i="140"/>
  <c r="M20" i="140"/>
  <c r="N20" i="140" s="1"/>
  <c r="Q19" i="140"/>
  <c r="P19" i="140"/>
  <c r="O19" i="140"/>
  <c r="M19" i="140"/>
  <c r="N19" i="140" s="1"/>
  <c r="Q18" i="140"/>
  <c r="P18" i="140"/>
  <c r="O18" i="140"/>
  <c r="M18" i="140"/>
  <c r="N18" i="140" s="1"/>
  <c r="Q17" i="140"/>
  <c r="P17" i="140"/>
  <c r="O17" i="140"/>
  <c r="M17" i="140"/>
  <c r="N17" i="140" s="1"/>
  <c r="Q16" i="140"/>
  <c r="P16" i="140"/>
  <c r="O16" i="140"/>
  <c r="M16" i="140"/>
  <c r="N16" i="140" s="1"/>
  <c r="Q15" i="140"/>
  <c r="P15" i="140"/>
  <c r="O15" i="140"/>
  <c r="M15" i="140"/>
  <c r="N15" i="140" s="1"/>
  <c r="Q14" i="140"/>
  <c r="P14" i="140"/>
  <c r="O14" i="140"/>
  <c r="M14" i="140"/>
  <c r="N14" i="140" s="1"/>
  <c r="Q13" i="140"/>
  <c r="P13" i="140"/>
  <c r="O13" i="140"/>
  <c r="M13" i="140"/>
  <c r="N13" i="140" s="1"/>
  <c r="Q12" i="140"/>
  <c r="P12" i="140"/>
  <c r="O12" i="140"/>
  <c r="M12" i="140"/>
  <c r="N12" i="140" s="1"/>
  <c r="Q11" i="140"/>
  <c r="P11" i="140"/>
  <c r="O11" i="140"/>
  <c r="M11" i="140"/>
  <c r="N11" i="140" s="1"/>
  <c r="Q10" i="140"/>
  <c r="P10" i="140"/>
  <c r="O10" i="140"/>
  <c r="M10" i="140"/>
  <c r="N10" i="140" s="1"/>
  <c r="Q9" i="140"/>
  <c r="P9" i="140"/>
  <c r="O9" i="140"/>
  <c r="M9" i="140"/>
  <c r="N9" i="140" s="1"/>
  <c r="Q8" i="140"/>
  <c r="P8" i="140"/>
  <c r="O8" i="140"/>
  <c r="M8" i="140"/>
  <c r="N8" i="140" s="1"/>
  <c r="Q7" i="140"/>
  <c r="P7" i="140"/>
  <c r="O7" i="140"/>
  <c r="M7" i="140"/>
  <c r="N7" i="140" s="1"/>
  <c r="Q6" i="140"/>
  <c r="P6" i="140"/>
  <c r="O6" i="140"/>
  <c r="M6" i="140"/>
  <c r="N6" i="140" s="1"/>
  <c r="Q5" i="140"/>
  <c r="P5" i="140"/>
  <c r="O5" i="140"/>
  <c r="M5" i="140"/>
  <c r="N5" i="140" s="1"/>
  <c r="Q4" i="140"/>
  <c r="P4" i="140"/>
  <c r="O4" i="140"/>
  <c r="M4" i="140"/>
  <c r="N4" i="140" s="1"/>
  <c r="Q3" i="140"/>
  <c r="P3" i="140"/>
  <c r="O3" i="140"/>
  <c r="M3" i="140"/>
  <c r="N3" i="140" s="1"/>
  <c r="Q43" i="139"/>
  <c r="P43" i="139"/>
  <c r="O43" i="139"/>
  <c r="M43" i="139"/>
  <c r="N43" i="139" s="1"/>
  <c r="Q42" i="139"/>
  <c r="P42" i="139"/>
  <c r="O42" i="139"/>
  <c r="M42" i="139"/>
  <c r="N42" i="139" s="1"/>
  <c r="Q41" i="139"/>
  <c r="P41" i="139"/>
  <c r="O41" i="139"/>
  <c r="M41" i="139"/>
  <c r="N41" i="139" s="1"/>
  <c r="Q40" i="139"/>
  <c r="P40" i="139"/>
  <c r="O40" i="139"/>
  <c r="M40" i="139"/>
  <c r="N40" i="139" s="1"/>
  <c r="Q39" i="139"/>
  <c r="P39" i="139"/>
  <c r="O39" i="139"/>
  <c r="M39" i="139"/>
  <c r="N39" i="139" s="1"/>
  <c r="Q38" i="139"/>
  <c r="P38" i="139"/>
  <c r="O38" i="139"/>
  <c r="M38" i="139"/>
  <c r="N38" i="139" s="1"/>
  <c r="Q37" i="139"/>
  <c r="P37" i="139"/>
  <c r="O37" i="139"/>
  <c r="M37" i="139"/>
  <c r="N37" i="139" s="1"/>
  <c r="Q36" i="139"/>
  <c r="P36" i="139"/>
  <c r="O36" i="139"/>
  <c r="M36" i="139"/>
  <c r="N36" i="139" s="1"/>
  <c r="Q35" i="139"/>
  <c r="P35" i="139"/>
  <c r="O35" i="139"/>
  <c r="M35" i="139"/>
  <c r="N35" i="139" s="1"/>
  <c r="Q34" i="139"/>
  <c r="P34" i="139"/>
  <c r="O34" i="139"/>
  <c r="M34" i="139"/>
  <c r="N34" i="139" s="1"/>
  <c r="Q33" i="139"/>
  <c r="P33" i="139"/>
  <c r="O33" i="139"/>
  <c r="M33" i="139"/>
  <c r="N33" i="139" s="1"/>
  <c r="Q32" i="139"/>
  <c r="P32" i="139"/>
  <c r="O32" i="139"/>
  <c r="M32" i="139"/>
  <c r="N32" i="139" s="1"/>
  <c r="Q31" i="139"/>
  <c r="P31" i="139"/>
  <c r="O31" i="139"/>
  <c r="M31" i="139"/>
  <c r="N31" i="139" s="1"/>
  <c r="Q30" i="139"/>
  <c r="P30" i="139"/>
  <c r="O30" i="139"/>
  <c r="M30" i="139"/>
  <c r="N30" i="139" s="1"/>
  <c r="Q29" i="139"/>
  <c r="P29" i="139"/>
  <c r="O29" i="139"/>
  <c r="M29" i="139"/>
  <c r="N29" i="139" s="1"/>
  <c r="Q28" i="139"/>
  <c r="P28" i="139"/>
  <c r="O28" i="139"/>
  <c r="M28" i="139"/>
  <c r="N28" i="139" s="1"/>
  <c r="Q27" i="139"/>
  <c r="P27" i="139"/>
  <c r="O27" i="139"/>
  <c r="N27" i="139"/>
  <c r="M27" i="139"/>
  <c r="Q26" i="139"/>
  <c r="P26" i="139"/>
  <c r="O26" i="139"/>
  <c r="M26" i="139"/>
  <c r="N26" i="139" s="1"/>
  <c r="Q25" i="139"/>
  <c r="P25" i="139"/>
  <c r="O25" i="139"/>
  <c r="M25" i="139"/>
  <c r="N25" i="139" s="1"/>
  <c r="Q24" i="139"/>
  <c r="P24" i="139"/>
  <c r="O24" i="139"/>
  <c r="M24" i="139"/>
  <c r="N24" i="139" s="1"/>
  <c r="Q23" i="139"/>
  <c r="P23" i="139"/>
  <c r="O23" i="139"/>
  <c r="M23" i="139"/>
  <c r="N23" i="139" s="1"/>
  <c r="Q22" i="139"/>
  <c r="P22" i="139"/>
  <c r="O22" i="139"/>
  <c r="M22" i="139"/>
  <c r="N22" i="139" s="1"/>
  <c r="Q21" i="139"/>
  <c r="P21" i="139"/>
  <c r="O21" i="139"/>
  <c r="M21" i="139"/>
  <c r="N21" i="139" s="1"/>
  <c r="Q20" i="139"/>
  <c r="P20" i="139"/>
  <c r="O20" i="139"/>
  <c r="M20" i="139"/>
  <c r="N20" i="139" s="1"/>
  <c r="Q19" i="139"/>
  <c r="P19" i="139"/>
  <c r="O19" i="139"/>
  <c r="M19" i="139"/>
  <c r="N19" i="139" s="1"/>
  <c r="Q18" i="139"/>
  <c r="P18" i="139"/>
  <c r="O18" i="139"/>
  <c r="M18" i="139"/>
  <c r="N18" i="139" s="1"/>
  <c r="Q17" i="139"/>
  <c r="P17" i="139"/>
  <c r="O17" i="139"/>
  <c r="M17" i="139"/>
  <c r="N17" i="139" s="1"/>
  <c r="Q16" i="139"/>
  <c r="P16" i="139"/>
  <c r="O16" i="139"/>
  <c r="M16" i="139"/>
  <c r="N16" i="139" s="1"/>
  <c r="Q15" i="139"/>
  <c r="P15" i="139"/>
  <c r="O15" i="139"/>
  <c r="M15" i="139"/>
  <c r="N15" i="139" s="1"/>
  <c r="Q14" i="139"/>
  <c r="P14" i="139"/>
  <c r="O14" i="139"/>
  <c r="M14" i="139"/>
  <c r="N14" i="139" s="1"/>
  <c r="Q13" i="139"/>
  <c r="P13" i="139"/>
  <c r="O13" i="139"/>
  <c r="M13" i="139"/>
  <c r="N13" i="139" s="1"/>
  <c r="Q12" i="139"/>
  <c r="P12" i="139"/>
  <c r="O12" i="139"/>
  <c r="M12" i="139"/>
  <c r="N12" i="139" s="1"/>
  <c r="Q11" i="139"/>
  <c r="P11" i="139"/>
  <c r="O11" i="139"/>
  <c r="M11" i="139"/>
  <c r="N11" i="139" s="1"/>
  <c r="Q10" i="139"/>
  <c r="P10" i="139"/>
  <c r="O10" i="139"/>
  <c r="M10" i="139"/>
  <c r="N10" i="139" s="1"/>
  <c r="Q9" i="139"/>
  <c r="P9" i="139"/>
  <c r="O9" i="139"/>
  <c r="M9" i="139"/>
  <c r="N9" i="139" s="1"/>
  <c r="Q8" i="139"/>
  <c r="P8" i="139"/>
  <c r="O8" i="139"/>
  <c r="M8" i="139"/>
  <c r="N8" i="139" s="1"/>
  <c r="Q7" i="139"/>
  <c r="P7" i="139"/>
  <c r="O7" i="139"/>
  <c r="M7" i="139"/>
  <c r="N7" i="139" s="1"/>
  <c r="Q6" i="139"/>
  <c r="P6" i="139"/>
  <c r="O6" i="139"/>
  <c r="M6" i="139"/>
  <c r="N6" i="139" s="1"/>
  <c r="Q5" i="139"/>
  <c r="P5" i="139"/>
  <c r="O5" i="139"/>
  <c r="M5" i="139"/>
  <c r="N5" i="139" s="1"/>
  <c r="Q4" i="139"/>
  <c r="P4" i="139"/>
  <c r="O4" i="139"/>
  <c r="M4" i="139"/>
  <c r="N4" i="139" s="1"/>
  <c r="Q3" i="139"/>
  <c r="P3" i="139"/>
  <c r="O3" i="139"/>
  <c r="M3" i="139"/>
  <c r="N3" i="139" s="1"/>
  <c r="Q5" i="138"/>
  <c r="P5" i="138"/>
  <c r="O5" i="138"/>
  <c r="M5" i="138"/>
  <c r="N5" i="138" s="1"/>
  <c r="Q4" i="138"/>
  <c r="P4" i="138"/>
  <c r="O4" i="138"/>
  <c r="M4" i="138"/>
  <c r="N4" i="138" s="1"/>
  <c r="Q3" i="138"/>
  <c r="P3" i="138"/>
  <c r="O3" i="138"/>
  <c r="M3" i="138"/>
  <c r="N3" i="138" s="1"/>
  <c r="M5" i="129"/>
  <c r="N5" i="129"/>
  <c r="O5" i="129"/>
  <c r="P5" i="129"/>
  <c r="Q5" i="129"/>
  <c r="M6" i="129"/>
  <c r="N6" i="129"/>
  <c r="O6" i="129"/>
  <c r="P6" i="129"/>
  <c r="Q6" i="129"/>
  <c r="M7" i="129"/>
  <c r="N7" i="129" s="1"/>
  <c r="O7" i="129"/>
  <c r="P7" i="129"/>
  <c r="Q7" i="129"/>
  <c r="M8" i="129"/>
  <c r="N8" i="129" s="1"/>
  <c r="O8" i="129"/>
  <c r="P8" i="129"/>
  <c r="Q8" i="129"/>
  <c r="M9" i="129"/>
  <c r="N9" i="129"/>
  <c r="O9" i="129"/>
  <c r="P9" i="129"/>
  <c r="Q9" i="129"/>
  <c r="M10" i="129"/>
  <c r="N10" i="129"/>
  <c r="O10" i="129"/>
  <c r="P10" i="129"/>
  <c r="Q10" i="129"/>
  <c r="M11" i="129"/>
  <c r="N11" i="129" s="1"/>
  <c r="O11" i="129"/>
  <c r="P11" i="129"/>
  <c r="Q11" i="129"/>
  <c r="M12" i="129"/>
  <c r="N12" i="129" s="1"/>
  <c r="O12" i="129"/>
  <c r="P12" i="129"/>
  <c r="Q12" i="129"/>
  <c r="M13" i="129"/>
  <c r="N13" i="129"/>
  <c r="O13" i="129"/>
  <c r="P13" i="129"/>
  <c r="Q13" i="129"/>
  <c r="M14" i="129"/>
  <c r="N14" i="129"/>
  <c r="O14" i="129"/>
  <c r="P14" i="129"/>
  <c r="Q14" i="129"/>
  <c r="M15" i="129"/>
  <c r="N15" i="129" s="1"/>
  <c r="O15" i="129"/>
  <c r="P15" i="129"/>
  <c r="Q15" i="129"/>
  <c r="M16" i="129"/>
  <c r="N16" i="129" s="1"/>
  <c r="O16" i="129"/>
  <c r="P16" i="129"/>
  <c r="Q16" i="129"/>
  <c r="M17" i="129"/>
  <c r="N17" i="129"/>
  <c r="O17" i="129"/>
  <c r="P17" i="129"/>
  <c r="Q17" i="129"/>
  <c r="M18" i="129"/>
  <c r="N18" i="129"/>
  <c r="O18" i="129"/>
  <c r="P18" i="129"/>
  <c r="Q18" i="129"/>
  <c r="M19" i="129"/>
  <c r="N19" i="129" s="1"/>
  <c r="O19" i="129"/>
  <c r="P19" i="129"/>
  <c r="Q19" i="129"/>
  <c r="M20" i="129"/>
  <c r="N20" i="129" s="1"/>
  <c r="O20" i="129"/>
  <c r="P20" i="129"/>
  <c r="Q20" i="129"/>
  <c r="M21" i="129"/>
  <c r="N21" i="129"/>
  <c r="O21" i="129"/>
  <c r="P21" i="129"/>
  <c r="Q21" i="129"/>
  <c r="M22" i="129"/>
  <c r="N22" i="129"/>
  <c r="O22" i="129"/>
  <c r="P22" i="129"/>
  <c r="Q22" i="129"/>
  <c r="M23" i="129"/>
  <c r="N23" i="129" s="1"/>
  <c r="O23" i="129"/>
  <c r="P23" i="129"/>
  <c r="Q23" i="129"/>
  <c r="M24" i="129"/>
  <c r="N24" i="129" s="1"/>
  <c r="O24" i="129"/>
  <c r="P24" i="129"/>
  <c r="Q24" i="129"/>
  <c r="M25" i="129"/>
  <c r="N25" i="129"/>
  <c r="O25" i="129"/>
  <c r="P25" i="129"/>
  <c r="Q25" i="129"/>
  <c r="M26" i="129"/>
  <c r="N26" i="129"/>
  <c r="O26" i="129"/>
  <c r="P26" i="129"/>
  <c r="Q26" i="129"/>
  <c r="M27" i="129"/>
  <c r="N27" i="129" s="1"/>
  <c r="O27" i="129"/>
  <c r="P27" i="129"/>
  <c r="Q27" i="129"/>
  <c r="M28" i="129"/>
  <c r="N28" i="129" s="1"/>
  <c r="O28" i="129"/>
  <c r="P28" i="129"/>
  <c r="Q28" i="129"/>
  <c r="M29" i="129"/>
  <c r="N29" i="129"/>
  <c r="O29" i="129"/>
  <c r="P29" i="129"/>
  <c r="Q29" i="129"/>
  <c r="M30" i="129"/>
  <c r="N30" i="129"/>
  <c r="O30" i="129"/>
  <c r="P30" i="129"/>
  <c r="Q30" i="129"/>
  <c r="M31" i="129"/>
  <c r="N31" i="129" s="1"/>
  <c r="O31" i="129"/>
  <c r="P31" i="129"/>
  <c r="Q31" i="129"/>
  <c r="M32" i="129"/>
  <c r="N32" i="129" s="1"/>
  <c r="O32" i="129"/>
  <c r="P32" i="129"/>
  <c r="Q32" i="129"/>
  <c r="M33" i="129"/>
  <c r="N33" i="129"/>
  <c r="O33" i="129"/>
  <c r="P33" i="129"/>
  <c r="Q33" i="129"/>
  <c r="M34" i="129"/>
  <c r="N34" i="129"/>
  <c r="O34" i="129"/>
  <c r="P34" i="129"/>
  <c r="Q34" i="129"/>
  <c r="M35" i="129"/>
  <c r="N35" i="129" s="1"/>
  <c r="O35" i="129"/>
  <c r="P35" i="129"/>
  <c r="Q35" i="129"/>
  <c r="M37" i="129"/>
  <c r="N37" i="129"/>
  <c r="O37" i="129"/>
  <c r="P37" i="129"/>
  <c r="Q37" i="129"/>
  <c r="M38" i="129"/>
  <c r="N38" i="129"/>
  <c r="O38" i="129"/>
  <c r="P38" i="129"/>
  <c r="Q38" i="129"/>
  <c r="M39" i="129"/>
  <c r="N39" i="129" s="1"/>
  <c r="O39" i="129"/>
  <c r="P39" i="129"/>
  <c r="Q39" i="129"/>
  <c r="M40" i="129"/>
  <c r="N40" i="129" s="1"/>
  <c r="O40" i="129"/>
  <c r="P40" i="129"/>
  <c r="Q40" i="129"/>
  <c r="M41" i="129"/>
  <c r="N41" i="129"/>
  <c r="O41" i="129"/>
  <c r="P41" i="129"/>
  <c r="Q41" i="129"/>
  <c r="M42" i="129"/>
  <c r="N42" i="129"/>
  <c r="O42" i="129"/>
  <c r="P42" i="129"/>
  <c r="Q42" i="129"/>
  <c r="M43" i="129"/>
  <c r="N43" i="129" s="1"/>
  <c r="O43" i="129"/>
  <c r="P43" i="129"/>
  <c r="Q43" i="129"/>
  <c r="Q4" i="129"/>
  <c r="P4" i="129"/>
  <c r="O4" i="129"/>
  <c r="M4" i="129"/>
  <c r="N4" i="129" s="1"/>
  <c r="Q3" i="129"/>
  <c r="P3" i="129"/>
  <c r="O3" i="129"/>
  <c r="M3" i="129"/>
  <c r="N3" i="129" s="1"/>
  <c r="AU14" i="7" l="1"/>
  <c r="V4" i="88" l="1"/>
  <c r="W4" i="88"/>
  <c r="BK5" i="22" l="1"/>
  <c r="BK6" i="22"/>
  <c r="BK7" i="22"/>
  <c r="BK8" i="22"/>
  <c r="BK9" i="22"/>
  <c r="BK11" i="22"/>
  <c r="BK12" i="22"/>
  <c r="BK13" i="22"/>
  <c r="BK14" i="22"/>
  <c r="BK15" i="22"/>
  <c r="BK16" i="22"/>
  <c r="BK17" i="22"/>
  <c r="BK18" i="22"/>
  <c r="BE9" i="22"/>
  <c r="BE10" i="22"/>
  <c r="BE11" i="22"/>
  <c r="BE12" i="22"/>
  <c r="BE13" i="22"/>
  <c r="BE14" i="22"/>
  <c r="BE15" i="22"/>
  <c r="BE16" i="22"/>
  <c r="BE17" i="22"/>
  <c r="BE18" i="22"/>
  <c r="BE5" i="22"/>
  <c r="BE6" i="22"/>
  <c r="BE7" i="22"/>
  <c r="BE8" i="22"/>
  <c r="AM9" i="7" l="1"/>
  <c r="AG5" i="23"/>
  <c r="AF5" i="23"/>
  <c r="AR12" i="21" l="1"/>
  <c r="AR6" i="21"/>
  <c r="AR7" i="21"/>
  <c r="AR8" i="21"/>
  <c r="AR9" i="21"/>
  <c r="AR10" i="21"/>
  <c r="AR11" i="21"/>
  <c r="AR13" i="21"/>
  <c r="AR15" i="21"/>
  <c r="AR16" i="21"/>
  <c r="AR17" i="21"/>
  <c r="AR4" i="21"/>
  <c r="AD4" i="22"/>
  <c r="AD5" i="22"/>
  <c r="AD6" i="22"/>
  <c r="AD7" i="22"/>
  <c r="AD8" i="22"/>
  <c r="AD9" i="22"/>
  <c r="AD10" i="22"/>
  <c r="AD11" i="22"/>
  <c r="AD12" i="22"/>
  <c r="AD13" i="22"/>
  <c r="AD14" i="22"/>
  <c r="AD15" i="22"/>
  <c r="AD16" i="22"/>
  <c r="AD17" i="22"/>
  <c r="AD18" i="22"/>
  <c r="Y5" i="23"/>
  <c r="Y6" i="23"/>
  <c r="Y7" i="23"/>
  <c r="Y8" i="23"/>
  <c r="Y9" i="23"/>
  <c r="Y10" i="23"/>
  <c r="Y11" i="23"/>
  <c r="Y12" i="23"/>
  <c r="Y13" i="23"/>
  <c r="Y14" i="23"/>
  <c r="Y15" i="23"/>
  <c r="Y4" i="23"/>
  <c r="AM5" i="22"/>
  <c r="AM6" i="22"/>
  <c r="AW6" i="22" s="1"/>
  <c r="AM7" i="22"/>
  <c r="AM8" i="22"/>
  <c r="AM9" i="22"/>
  <c r="AM10" i="22"/>
  <c r="AM11" i="22"/>
  <c r="AM12" i="22"/>
  <c r="AM13" i="22"/>
  <c r="AM14" i="22"/>
  <c r="AM15" i="22"/>
  <c r="AM16" i="22"/>
  <c r="AM17" i="22"/>
  <c r="AM18" i="22"/>
  <c r="AW18" i="22" s="1"/>
  <c r="AM4" i="22"/>
  <c r="BA5" i="21"/>
  <c r="BA6" i="21"/>
  <c r="BA7" i="21"/>
  <c r="BA8" i="21"/>
  <c r="BA9" i="21"/>
  <c r="BA10" i="21"/>
  <c r="BA11" i="21"/>
  <c r="BA12" i="21"/>
  <c r="BA13" i="21"/>
  <c r="BA14" i="21"/>
  <c r="BA15" i="21"/>
  <c r="BA16" i="21"/>
  <c r="BA17" i="21"/>
  <c r="BA4" i="21"/>
  <c r="AM8" i="7"/>
  <c r="AM7" i="7"/>
  <c r="AM25" i="7"/>
  <c r="AM26" i="7"/>
  <c r="AM27" i="7"/>
  <c r="AM28" i="7"/>
  <c r="AM29" i="7"/>
  <c r="AM30" i="7"/>
  <c r="AM31" i="7"/>
  <c r="AM32" i="7"/>
  <c r="AM33" i="7"/>
  <c r="AM34" i="7"/>
  <c r="AM35" i="7"/>
  <c r="AM36" i="7"/>
  <c r="AM37" i="7"/>
  <c r="AM38" i="7"/>
  <c r="AM39" i="7"/>
  <c r="AM40" i="7"/>
  <c r="AM41" i="7"/>
  <c r="AM42" i="7"/>
  <c r="AM43" i="7"/>
  <c r="AM44" i="7"/>
  <c r="AM45" i="7"/>
  <c r="AM46" i="7"/>
  <c r="AM5" i="7"/>
  <c r="AM6" i="7"/>
  <c r="AM10" i="7"/>
  <c r="AM11" i="7"/>
  <c r="AM12" i="7"/>
  <c r="AM13" i="7"/>
  <c r="AM14" i="7"/>
  <c r="AM15" i="7"/>
  <c r="AM16" i="7"/>
  <c r="AM17" i="7"/>
  <c r="AM18" i="7"/>
  <c r="AM19" i="7"/>
  <c r="AM20" i="7"/>
  <c r="AM21" i="7"/>
  <c r="AM22" i="7"/>
  <c r="AM23" i="7"/>
  <c r="AM24" i="7"/>
  <c r="AM4" i="7"/>
  <c r="AP7" i="7" l="1"/>
  <c r="AN7" i="7"/>
  <c r="AO7" i="7" s="1"/>
  <c r="AW7" i="7" s="1"/>
  <c r="AP6" i="7"/>
  <c r="AN6" i="7"/>
  <c r="AO6" i="7" s="1"/>
  <c r="AW6" i="7" s="1"/>
  <c r="AP5" i="7"/>
  <c r="AN5" i="7"/>
  <c r="AO5" i="7" s="1"/>
  <c r="AW5" i="7" s="1"/>
  <c r="AP4" i="7"/>
  <c r="AN4" i="7"/>
  <c r="AO4" i="7" s="1"/>
  <c r="AW4" i="7" s="1"/>
  <c r="AI46" i="7"/>
  <c r="AI45" i="7"/>
  <c r="AI44" i="7"/>
  <c r="AI43" i="7"/>
  <c r="AI42" i="7"/>
  <c r="AI41" i="7"/>
  <c r="AI40" i="7"/>
  <c r="AI39" i="7"/>
  <c r="AI38" i="7"/>
  <c r="AI37" i="7"/>
  <c r="AI36" i="7"/>
  <c r="AI35" i="7"/>
  <c r="AI34" i="7"/>
  <c r="AI33" i="7"/>
  <c r="AI32" i="7"/>
  <c r="AI29" i="7"/>
  <c r="AI28" i="7"/>
  <c r="AI27" i="7"/>
  <c r="AI26" i="7"/>
  <c r="AI25" i="7"/>
  <c r="AI24" i="7"/>
  <c r="AI23" i="7"/>
  <c r="AI22" i="7"/>
  <c r="AI21" i="7"/>
  <c r="AI20" i="7"/>
  <c r="AI19" i="7"/>
  <c r="AI18" i="7"/>
  <c r="AI17" i="7"/>
  <c r="AI16" i="7"/>
  <c r="AI15" i="7"/>
  <c r="AI14" i="7"/>
  <c r="AI13" i="7"/>
  <c r="AI12" i="7"/>
  <c r="AI11" i="7"/>
  <c r="AI10" i="7"/>
  <c r="AI8" i="7"/>
  <c r="AI7" i="7"/>
  <c r="AI6" i="7"/>
  <c r="AI5" i="7"/>
  <c r="AI4" i="7"/>
  <c r="AQ4" i="7" l="1"/>
  <c r="AR4" i="7"/>
  <c r="AQ6" i="7"/>
  <c r="AR6" i="7"/>
  <c r="AQ5" i="7"/>
  <c r="AR5" i="7"/>
  <c r="AR7" i="7"/>
  <c r="AQ7" i="7"/>
  <c r="BI10" i="21"/>
  <c r="BI12" i="21"/>
  <c r="BI13" i="21"/>
  <c r="BI4" i="21"/>
  <c r="BH4" i="21"/>
  <c r="AF4" i="23"/>
  <c r="AT10" i="22"/>
  <c r="BG17" i="21"/>
  <c r="BG5" i="21"/>
  <c r="BG16" i="21"/>
  <c r="AE14" i="23"/>
  <c r="AG4" i="23"/>
  <c r="AS6" i="22"/>
  <c r="AU10" i="22"/>
  <c r="AS18" i="22"/>
  <c r="BH10" i="21"/>
  <c r="BH12" i="21"/>
  <c r="BV13" i="22" l="1"/>
  <c r="BV17" i="22"/>
  <c r="BV12" i="22"/>
  <c r="BW8" i="22"/>
  <c r="BV8" i="22"/>
  <c r="BR5" i="21" l="1"/>
  <c r="BS5" i="21"/>
  <c r="BD5" i="22"/>
  <c r="BD7" i="22"/>
  <c r="BD8" i="22"/>
  <c r="BD10" i="22"/>
  <c r="BD11" i="22"/>
  <c r="BD12" i="22"/>
  <c r="BD13" i="22"/>
  <c r="BD14" i="22"/>
  <c r="BD15" i="22"/>
  <c r="BD16" i="22"/>
  <c r="BD17" i="22"/>
  <c r="BJ5" i="22"/>
  <c r="BJ7" i="22"/>
  <c r="BJ8" i="22"/>
  <c r="BJ9" i="22"/>
  <c r="BJ12" i="22"/>
  <c r="BJ13" i="22"/>
  <c r="BJ15" i="22"/>
  <c r="BJ17" i="22"/>
  <c r="BK4" i="22"/>
  <c r="BJ4" i="22"/>
  <c r="AP5" i="23"/>
  <c r="AQ5" i="23"/>
  <c r="AP6" i="23"/>
  <c r="AQ6" i="23"/>
  <c r="AP7" i="23"/>
  <c r="AQ7" i="23"/>
  <c r="AP8" i="23"/>
  <c r="AQ8" i="23"/>
  <c r="AP9" i="23"/>
  <c r="AQ9" i="23"/>
  <c r="AP10" i="23"/>
  <c r="AQ10" i="23"/>
  <c r="AP11" i="23"/>
  <c r="AQ11" i="23"/>
  <c r="AP12" i="23"/>
  <c r="AQ12" i="23"/>
  <c r="AP13" i="23"/>
  <c r="AQ13" i="23"/>
  <c r="AP15" i="23"/>
  <c r="AQ15" i="23"/>
  <c r="AQ4" i="23"/>
  <c r="AP4" i="23"/>
  <c r="BE4" i="22"/>
  <c r="BD4" i="22"/>
  <c r="BR6" i="21"/>
  <c r="BS6" i="21"/>
  <c r="BR7" i="21"/>
  <c r="BS7" i="21"/>
  <c r="BR8" i="21"/>
  <c r="BS8" i="21"/>
  <c r="BR9" i="21"/>
  <c r="BS9" i="21"/>
  <c r="BR10" i="21"/>
  <c r="BS10" i="21"/>
  <c r="BR11" i="21"/>
  <c r="BS11" i="21"/>
  <c r="BR12" i="21"/>
  <c r="BS12" i="21"/>
  <c r="BR13" i="21"/>
  <c r="BS13" i="21"/>
  <c r="BR14" i="21"/>
  <c r="BS14" i="21"/>
  <c r="BR15" i="21"/>
  <c r="BS15" i="21"/>
  <c r="BS4" i="21"/>
  <c r="BR4" i="21"/>
  <c r="BD4" i="21" l="1"/>
  <c r="BB4" i="21"/>
  <c r="BC4" i="21" s="1"/>
  <c r="BK4" i="21" s="1"/>
  <c r="BD5" i="21"/>
  <c r="BB6" i="21"/>
  <c r="BC6" i="21" s="1"/>
  <c r="BG6" i="21" s="1"/>
  <c r="BD6" i="21"/>
  <c r="BB8" i="21"/>
  <c r="BC8" i="21" s="1"/>
  <c r="BG8" i="21" s="1"/>
  <c r="BD8" i="21"/>
  <c r="BB9" i="21"/>
  <c r="BC9" i="21" s="1"/>
  <c r="BG9" i="21" s="1"/>
  <c r="BD9" i="21"/>
  <c r="BB10" i="21"/>
  <c r="BC10" i="21" s="1"/>
  <c r="BK10" i="21" s="1"/>
  <c r="BD10" i="21"/>
  <c r="BB11" i="21"/>
  <c r="BC11" i="21" s="1"/>
  <c r="BG11" i="21" s="1"/>
  <c r="BD11" i="21"/>
  <c r="BB12" i="21"/>
  <c r="BC12" i="21" s="1"/>
  <c r="BK12" i="21" s="1"/>
  <c r="BD12" i="21"/>
  <c r="BB13" i="21"/>
  <c r="BC13" i="21" s="1"/>
  <c r="BK13" i="21" s="1"/>
  <c r="BD13" i="21"/>
  <c r="BB14" i="21"/>
  <c r="BC14" i="21" s="1"/>
  <c r="BG14" i="21" s="1"/>
  <c r="BD14" i="21"/>
  <c r="BB15" i="21"/>
  <c r="BC15" i="21" s="1"/>
  <c r="BG15" i="21" s="1"/>
  <c r="BD15" i="21"/>
  <c r="BD16" i="21"/>
  <c r="BD17" i="21"/>
  <c r="AP6" i="22"/>
  <c r="AN10" i="22"/>
  <c r="AO10" i="22" s="1"/>
  <c r="AW10" i="22" s="1"/>
  <c r="AP10" i="22"/>
  <c r="AN11" i="22"/>
  <c r="AO11" i="22" s="1"/>
  <c r="AP11" i="22"/>
  <c r="AP18" i="22"/>
  <c r="Z5" i="23"/>
  <c r="AA5" i="23" s="1"/>
  <c r="AI5" i="23" s="1"/>
  <c r="AB5" i="23"/>
  <c r="Z6" i="23"/>
  <c r="AA6" i="23" s="1"/>
  <c r="AE6" i="23" s="1"/>
  <c r="AB6" i="23"/>
  <c r="Z7" i="23"/>
  <c r="AA7" i="23" s="1"/>
  <c r="AE7" i="23" s="1"/>
  <c r="AB7" i="23"/>
  <c r="Z8" i="23"/>
  <c r="AA8" i="23" s="1"/>
  <c r="AE8" i="23" s="1"/>
  <c r="AB8" i="23"/>
  <c r="Z9" i="23"/>
  <c r="AA9" i="23" s="1"/>
  <c r="AE9" i="23" s="1"/>
  <c r="AB9" i="23"/>
  <c r="Z10" i="23"/>
  <c r="AA10" i="23" s="1"/>
  <c r="AE10" i="23" s="1"/>
  <c r="AB10" i="23"/>
  <c r="Z11" i="23"/>
  <c r="AA11" i="23" s="1"/>
  <c r="AE11" i="23" s="1"/>
  <c r="AB11" i="23"/>
  <c r="Z12" i="23"/>
  <c r="AA12" i="23" s="1"/>
  <c r="AE12" i="23" s="1"/>
  <c r="AB12" i="23"/>
  <c r="Z13" i="23"/>
  <c r="AA13" i="23" s="1"/>
  <c r="AE13" i="23" s="1"/>
  <c r="AB13" i="23"/>
  <c r="AB14" i="23"/>
  <c r="Z15" i="23"/>
  <c r="AA15" i="23" s="1"/>
  <c r="AE15" i="23" s="1"/>
  <c r="AB15" i="23"/>
  <c r="AB4" i="23"/>
  <c r="Z4" i="23"/>
  <c r="AA4" i="23" s="1"/>
  <c r="AI4" i="23" s="1"/>
  <c r="AP4" i="22"/>
  <c r="AN4" i="22"/>
  <c r="AO4" i="22" s="1"/>
  <c r="AW4" i="22" s="1"/>
  <c r="AS11" i="22" l="1"/>
  <c r="AW11" i="22"/>
  <c r="AE5" i="23"/>
  <c r="AE4" i="23"/>
  <c r="AS10" i="22"/>
  <c r="BG13" i="21"/>
  <c r="BG12" i="21"/>
  <c r="BG10" i="21"/>
  <c r="BG4" i="21"/>
  <c r="AS4" i="22"/>
  <c r="AQ11" i="22"/>
  <c r="AT11" i="22" s="1"/>
  <c r="BH13" i="21"/>
  <c r="AD13" i="23"/>
  <c r="AG13" i="23" s="1"/>
  <c r="AC14" i="23"/>
  <c r="AF14" i="23" s="1"/>
  <c r="BE17" i="21"/>
  <c r="BH17" i="21" s="1"/>
  <c r="AD8" i="23"/>
  <c r="AG8" i="23" s="1"/>
  <c r="BF15" i="21"/>
  <c r="BI15" i="21" s="1"/>
  <c r="BF11" i="21"/>
  <c r="BI11" i="21" s="1"/>
  <c r="AQ6" i="22"/>
  <c r="AT6" i="22" s="1"/>
  <c r="AD15" i="23"/>
  <c r="AG15" i="23" s="1"/>
  <c r="BE5" i="21"/>
  <c r="BH5" i="21" s="1"/>
  <c r="BE14" i="21"/>
  <c r="BH14" i="21" s="1"/>
  <c r="BE6" i="21"/>
  <c r="BH6" i="21" s="1"/>
  <c r="BE15" i="21"/>
  <c r="BH15" i="21" s="1"/>
  <c r="BE9" i="21"/>
  <c r="BH9" i="21" s="1"/>
  <c r="BE11" i="21"/>
  <c r="BH11" i="21" s="1"/>
  <c r="BF5" i="21"/>
  <c r="BI5" i="21" s="1"/>
  <c r="AC11" i="23"/>
  <c r="AF11" i="23" s="1"/>
  <c r="AC6" i="23"/>
  <c r="AF6" i="23" s="1"/>
  <c r="AC15" i="23"/>
  <c r="AF15" i="23" s="1"/>
  <c r="AC13" i="23"/>
  <c r="AF13" i="23" s="1"/>
  <c r="AD12" i="23"/>
  <c r="AG12" i="23" s="1"/>
  <c r="AC8" i="23"/>
  <c r="AF8" i="23" s="1"/>
  <c r="AC7" i="23"/>
  <c r="AF7" i="23" s="1"/>
  <c r="AQ18" i="22"/>
  <c r="AT18" i="22" s="1"/>
  <c r="BF16" i="21"/>
  <c r="BI16" i="21" s="1"/>
  <c r="BE16" i="21"/>
  <c r="BH16" i="21" s="1"/>
  <c r="BF17" i="21"/>
  <c r="BI17" i="21" s="1"/>
  <c r="BF9" i="21"/>
  <c r="BI9" i="21" s="1"/>
  <c r="BF8" i="21"/>
  <c r="BI8" i="21" s="1"/>
  <c r="BE8" i="21"/>
  <c r="BH8" i="21" s="1"/>
  <c r="BF14" i="21"/>
  <c r="BI14" i="21" s="1"/>
  <c r="BF6" i="21"/>
  <c r="BI6" i="21" s="1"/>
  <c r="AR18" i="22"/>
  <c r="AU18" i="22" s="1"/>
  <c r="AR11" i="22"/>
  <c r="AU11" i="22" s="1"/>
  <c r="AR6" i="22"/>
  <c r="AU6" i="22" s="1"/>
  <c r="AC12" i="23"/>
  <c r="AF12" i="23" s="1"/>
  <c r="AD9" i="23"/>
  <c r="AG9" i="23" s="1"/>
  <c r="AC9" i="23"/>
  <c r="AF9" i="23" s="1"/>
  <c r="AC10" i="23"/>
  <c r="AF10" i="23" s="1"/>
  <c r="AD11" i="23"/>
  <c r="AG11" i="23" s="1"/>
  <c r="AD7" i="23"/>
  <c r="AG7" i="23" s="1"/>
  <c r="AD14" i="23"/>
  <c r="AG14" i="23" s="1"/>
  <c r="AD10" i="23"/>
  <c r="AG10" i="23" s="1"/>
  <c r="AD6" i="23"/>
  <c r="AG6" i="23" s="1"/>
  <c r="AR4" i="22"/>
  <c r="AU4" i="22" s="1"/>
  <c r="AQ4" i="22"/>
  <c r="AT4" i="22" s="1"/>
  <c r="BN5" i="22" l="1"/>
  <c r="BN8" i="22"/>
  <c r="X42" i="88"/>
  <c r="X41" i="88"/>
  <c r="AH7" i="88"/>
  <c r="AI7" i="88"/>
  <c r="AH8" i="88"/>
  <c r="AI8" i="88"/>
  <c r="AH12" i="88"/>
  <c r="AI12" i="88"/>
  <c r="AH17" i="88"/>
  <c r="AI17" i="88"/>
  <c r="AH19" i="88"/>
  <c r="AI19" i="88"/>
  <c r="AH20" i="88"/>
  <c r="AI20" i="88"/>
  <c r="AH23" i="88"/>
  <c r="AI23" i="88"/>
  <c r="AH24" i="88"/>
  <c r="AI24" i="88"/>
  <c r="AH29" i="88"/>
  <c r="AI29" i="88"/>
  <c r="AH30" i="88"/>
  <c r="AI30" i="88"/>
  <c r="AH38" i="88"/>
  <c r="AI38" i="88"/>
  <c r="AH39" i="88"/>
  <c r="AI39" i="88"/>
  <c r="AH40" i="88"/>
  <c r="AH41" i="88"/>
  <c r="AI41" i="88"/>
  <c r="AH42" i="88"/>
  <c r="AI42" i="88"/>
  <c r="AI3" i="88"/>
  <c r="AH3" i="88"/>
  <c r="X3" i="88"/>
  <c r="T11" i="88"/>
  <c r="U11" i="88"/>
  <c r="T12" i="88"/>
  <c r="U12" i="88"/>
  <c r="T14" i="88"/>
  <c r="U14" i="88"/>
  <c r="T17" i="88"/>
  <c r="U17" i="88"/>
  <c r="T19" i="88"/>
  <c r="U19" i="88"/>
  <c r="T20" i="88"/>
  <c r="U20" i="88"/>
  <c r="T22" i="88"/>
  <c r="U22" i="88"/>
  <c r="T24" i="88"/>
  <c r="U24" i="88"/>
  <c r="T25" i="88"/>
  <c r="U25" i="88"/>
  <c r="T28" i="88"/>
  <c r="U28" i="88"/>
  <c r="T29" i="88"/>
  <c r="U29" i="88"/>
  <c r="T32" i="88"/>
  <c r="U32" i="88"/>
  <c r="T38" i="88"/>
  <c r="U38" i="88"/>
  <c r="T39" i="88"/>
  <c r="U39" i="88"/>
  <c r="T40" i="88"/>
  <c r="U40" i="88"/>
  <c r="T41" i="88"/>
  <c r="U41" i="88"/>
  <c r="T42" i="88"/>
  <c r="U42" i="88"/>
  <c r="U3" i="88"/>
  <c r="T3" i="88"/>
  <c r="Y41" i="88"/>
  <c r="BO5" i="22"/>
  <c r="BO8" i="22"/>
  <c r="Y42" i="88" l="1"/>
  <c r="Y3" i="88"/>
  <c r="M6" i="100"/>
  <c r="O6" i="100"/>
  <c r="P6" i="100"/>
  <c r="Q6" i="100"/>
  <c r="M21" i="100"/>
  <c r="N21" i="100" s="1"/>
  <c r="O21" i="100"/>
  <c r="P21" i="100"/>
  <c r="Q21" i="100"/>
  <c r="M22" i="100"/>
  <c r="N22" i="100" s="1"/>
  <c r="O22" i="100"/>
  <c r="P22" i="100"/>
  <c r="Q22" i="100"/>
  <c r="M27" i="100"/>
  <c r="N27" i="100" s="1"/>
  <c r="O27" i="100"/>
  <c r="P27" i="100"/>
  <c r="Q27" i="100"/>
  <c r="M28" i="100"/>
  <c r="N28" i="100" s="1"/>
  <c r="O28" i="100"/>
  <c r="P28" i="100"/>
  <c r="Q28" i="100"/>
  <c r="N6" i="100" l="1"/>
  <c r="Q42" i="100" l="1"/>
  <c r="P42" i="100"/>
  <c r="O42" i="100"/>
  <c r="M42" i="100"/>
  <c r="H42" i="88" s="1"/>
  <c r="Q41" i="100"/>
  <c r="P41" i="100"/>
  <c r="O41" i="100"/>
  <c r="Q40" i="100"/>
  <c r="P40" i="100"/>
  <c r="O40" i="100"/>
  <c r="M40" i="100"/>
  <c r="H40" i="88" s="1"/>
  <c r="Q39" i="100"/>
  <c r="P39" i="100"/>
  <c r="O39" i="100"/>
  <c r="Q38" i="100"/>
  <c r="P38" i="100"/>
  <c r="O38" i="100"/>
  <c r="M38" i="100"/>
  <c r="H38" i="88" s="1"/>
  <c r="Q35" i="100"/>
  <c r="P35" i="100"/>
  <c r="O35" i="100"/>
  <c r="H34" i="88"/>
  <c r="Q33" i="100"/>
  <c r="P33" i="100"/>
  <c r="O33" i="100"/>
  <c r="Q32" i="100"/>
  <c r="P32" i="100"/>
  <c r="O32" i="100"/>
  <c r="M32" i="100"/>
  <c r="H32" i="88" s="1"/>
  <c r="Q31" i="100"/>
  <c r="P31" i="100"/>
  <c r="O31" i="100"/>
  <c r="Q30" i="100"/>
  <c r="P30" i="100"/>
  <c r="O30" i="100"/>
  <c r="M30" i="100"/>
  <c r="H30" i="88" s="1"/>
  <c r="Q29" i="100"/>
  <c r="P29" i="100"/>
  <c r="O29" i="100"/>
  <c r="Q26" i="100"/>
  <c r="P26" i="100"/>
  <c r="O26" i="100"/>
  <c r="M26" i="100"/>
  <c r="H26" i="88" s="1"/>
  <c r="Q25" i="100"/>
  <c r="P25" i="100"/>
  <c r="O25" i="100"/>
  <c r="Q24" i="100"/>
  <c r="P24" i="100"/>
  <c r="O24" i="100"/>
  <c r="M24" i="100"/>
  <c r="H24" i="88" s="1"/>
  <c r="Q23" i="100"/>
  <c r="P23" i="100"/>
  <c r="O23" i="100"/>
  <c r="Q20" i="100"/>
  <c r="P20" i="100"/>
  <c r="O20" i="100"/>
  <c r="M20" i="100"/>
  <c r="H20" i="88" s="1"/>
  <c r="Q19" i="100"/>
  <c r="P19" i="100"/>
  <c r="O19" i="100"/>
  <c r="M18" i="100"/>
  <c r="H18" i="88" s="1"/>
  <c r="Q17" i="100"/>
  <c r="P17" i="100"/>
  <c r="O17" i="100"/>
  <c r="Q16" i="100"/>
  <c r="P16" i="100"/>
  <c r="O16" i="100"/>
  <c r="M16" i="100"/>
  <c r="H16" i="88" s="1"/>
  <c r="Q14" i="100"/>
  <c r="P14" i="100"/>
  <c r="O14" i="100"/>
  <c r="M14" i="100"/>
  <c r="H14" i="88" s="1"/>
  <c r="Q13" i="100"/>
  <c r="P13" i="100"/>
  <c r="O13" i="100"/>
  <c r="Q12" i="100"/>
  <c r="P12" i="100"/>
  <c r="O12" i="100"/>
  <c r="M12" i="100"/>
  <c r="H12" i="88" s="1"/>
  <c r="Q11" i="100"/>
  <c r="P11" i="100"/>
  <c r="O11" i="100"/>
  <c r="Q10" i="100"/>
  <c r="P10" i="100"/>
  <c r="O10" i="100"/>
  <c r="Q9" i="100"/>
  <c r="P9" i="100"/>
  <c r="O9" i="100"/>
  <c r="Q8" i="100"/>
  <c r="P8" i="100"/>
  <c r="O8" i="100"/>
  <c r="M8" i="100"/>
  <c r="H8" i="88" s="1"/>
  <c r="Q7" i="100"/>
  <c r="P7" i="100"/>
  <c r="O7" i="100"/>
  <c r="Q5" i="100"/>
  <c r="P5" i="100"/>
  <c r="O5" i="100"/>
  <c r="Q4" i="100"/>
  <c r="P4" i="100"/>
  <c r="O4" i="100"/>
  <c r="M4" i="100"/>
  <c r="H4" i="88" s="1"/>
  <c r="Q3" i="100"/>
  <c r="P3" i="100"/>
  <c r="O3" i="100"/>
  <c r="M7" i="100" l="1"/>
  <c r="H7" i="88" s="1"/>
  <c r="M11" i="100"/>
  <c r="H11" i="88" s="1"/>
  <c r="N20" i="100"/>
  <c r="I20" i="88" s="1"/>
  <c r="M41" i="100"/>
  <c r="H41" i="88" s="1"/>
  <c r="N41" i="100"/>
  <c r="I41" i="88" s="1"/>
  <c r="N8" i="100"/>
  <c r="I8" i="88" s="1"/>
  <c r="N4" i="100"/>
  <c r="I4" i="88" s="1"/>
  <c r="M5" i="100"/>
  <c r="H5" i="88" s="1"/>
  <c r="M10" i="100"/>
  <c r="H10" i="88" s="1"/>
  <c r="N14" i="100"/>
  <c r="I14" i="88" s="1"/>
  <c r="M19" i="100"/>
  <c r="H19" i="88" s="1"/>
  <c r="M25" i="100"/>
  <c r="H25" i="88" s="1"/>
  <c r="M31" i="100"/>
  <c r="H31" i="88" s="1"/>
  <c r="M35" i="100"/>
  <c r="H35" i="88" s="1"/>
  <c r="N40" i="100"/>
  <c r="I40" i="88" s="1"/>
  <c r="N26" i="100"/>
  <c r="I26" i="88" s="1"/>
  <c r="N32" i="100"/>
  <c r="I32" i="88" s="1"/>
  <c r="H37" i="88"/>
  <c r="M23" i="100"/>
  <c r="H23" i="88" s="1"/>
  <c r="M29" i="100"/>
  <c r="H29" i="88" s="1"/>
  <c r="M33" i="100"/>
  <c r="H33" i="88" s="1"/>
  <c r="N38" i="100"/>
  <c r="I38" i="88" s="1"/>
  <c r="N42" i="100"/>
  <c r="I42" i="88" s="1"/>
  <c r="N16" i="100"/>
  <c r="I16" i="88" s="1"/>
  <c r="M3" i="100"/>
  <c r="H3" i="88" s="1"/>
  <c r="N12" i="100"/>
  <c r="I12" i="88" s="1"/>
  <c r="M17" i="100"/>
  <c r="H17" i="88" s="1"/>
  <c r="M9" i="100"/>
  <c r="H9" i="88" s="1"/>
  <c r="M13" i="100"/>
  <c r="H13" i="88" s="1"/>
  <c r="I18" i="88"/>
  <c r="N24" i="100"/>
  <c r="I24" i="88" s="1"/>
  <c r="N30" i="100"/>
  <c r="I30" i="88" s="1"/>
  <c r="I34" i="88"/>
  <c r="M39" i="100"/>
  <c r="H39" i="88" s="1"/>
  <c r="H43" i="88"/>
  <c r="K43" i="88"/>
  <c r="J43" i="88"/>
  <c r="J42" i="88"/>
  <c r="K41" i="88"/>
  <c r="J41" i="88"/>
  <c r="J40" i="88"/>
  <c r="K39" i="88"/>
  <c r="J39" i="88"/>
  <c r="J38" i="88"/>
  <c r="K37" i="88"/>
  <c r="J37" i="88"/>
  <c r="J36" i="88"/>
  <c r="K35" i="88"/>
  <c r="J35" i="88"/>
  <c r="J34" i="88"/>
  <c r="K33" i="88"/>
  <c r="J33" i="88"/>
  <c r="J32" i="88"/>
  <c r="K31" i="88"/>
  <c r="J31" i="88"/>
  <c r="J30" i="88"/>
  <c r="K29" i="88"/>
  <c r="J29" i="88"/>
  <c r="J28" i="88"/>
  <c r="J27" i="88"/>
  <c r="J26" i="88"/>
  <c r="J25" i="88"/>
  <c r="J24" i="88"/>
  <c r="J23" i="88"/>
  <c r="J22" i="88"/>
  <c r="J21" i="88"/>
  <c r="K20" i="88"/>
  <c r="J20" i="88"/>
  <c r="K19" i="88"/>
  <c r="J19" i="88"/>
  <c r="K18" i="88"/>
  <c r="J18" i="88"/>
  <c r="J17" i="88"/>
  <c r="K16" i="88"/>
  <c r="J16" i="88"/>
  <c r="K15" i="88"/>
  <c r="J15" i="88"/>
  <c r="K14" i="88"/>
  <c r="J14" i="88"/>
  <c r="K13" i="88"/>
  <c r="J13" i="88"/>
  <c r="K12" i="88"/>
  <c r="J12" i="88"/>
  <c r="K11" i="88"/>
  <c r="J11" i="88"/>
  <c r="K10" i="88"/>
  <c r="J10" i="88"/>
  <c r="K9" i="88"/>
  <c r="J9" i="88"/>
  <c r="K8" i="88"/>
  <c r="J8" i="88"/>
  <c r="J7" i="88"/>
  <c r="J6" i="88"/>
  <c r="K5" i="88"/>
  <c r="J5" i="88"/>
  <c r="K4" i="88"/>
  <c r="J4" i="88"/>
  <c r="J3" i="88"/>
  <c r="N33" i="100" l="1"/>
  <c r="I33" i="88" s="1"/>
  <c r="N11" i="100"/>
  <c r="I11" i="88" s="1"/>
  <c r="N39" i="100"/>
  <c r="I39" i="88" s="1"/>
  <c r="N31" i="100"/>
  <c r="I31" i="88" s="1"/>
  <c r="N5" i="100"/>
  <c r="I5" i="88" s="1"/>
  <c r="N3" i="100"/>
  <c r="I3" i="88" s="1"/>
  <c r="N23" i="100"/>
  <c r="I23" i="88" s="1"/>
  <c r="N10" i="100"/>
  <c r="I10" i="88" s="1"/>
  <c r="N7" i="100"/>
  <c r="I7" i="88" s="1"/>
  <c r="I43" i="88"/>
  <c r="N13" i="100"/>
  <c r="I13" i="88" s="1"/>
  <c r="N29" i="100"/>
  <c r="I29" i="88" s="1"/>
  <c r="N19" i="100"/>
  <c r="I19" i="88" s="1"/>
  <c r="K24" i="88"/>
  <c r="K17" i="88"/>
  <c r="K21" i="88"/>
  <c r="K25" i="88"/>
  <c r="K32" i="88"/>
  <c r="K36" i="88"/>
  <c r="K40" i="88"/>
  <c r="N17" i="100"/>
  <c r="I17" i="88" s="1"/>
  <c r="K28" i="88"/>
  <c r="K6" i="88"/>
  <c r="K22" i="88"/>
  <c r="K26" i="88"/>
  <c r="K30" i="88"/>
  <c r="K3" i="88"/>
  <c r="K7" i="88"/>
  <c r="K23" i="88"/>
  <c r="K27" i="88"/>
  <c r="K34" i="88"/>
  <c r="K38" i="88"/>
  <c r="K42" i="88"/>
  <c r="N9" i="100"/>
  <c r="I9" i="88" s="1"/>
  <c r="I37" i="88"/>
  <c r="N35" i="100"/>
  <c r="I35" i="88" s="1"/>
  <c r="N25" i="100"/>
  <c r="I25" i="88" s="1"/>
  <c r="M29" i="88" l="1"/>
  <c r="L29" i="88"/>
  <c r="M13" i="88"/>
  <c r="L13" i="88"/>
  <c r="M12" i="88"/>
  <c r="L12" i="88"/>
  <c r="M3" i="88"/>
  <c r="L3" i="88"/>
  <c r="O43" i="88" l="1"/>
  <c r="N43" i="88"/>
  <c r="O42" i="88"/>
  <c r="N42" i="88"/>
  <c r="O41" i="88"/>
  <c r="N41" i="88"/>
  <c r="O40" i="88"/>
  <c r="N40" i="88"/>
  <c r="O39" i="88"/>
  <c r="N39" i="88"/>
  <c r="O38" i="88"/>
  <c r="N38" i="88"/>
  <c r="O37" i="88"/>
  <c r="N37" i="88"/>
  <c r="O36" i="88"/>
  <c r="N36" i="88"/>
  <c r="O35" i="88"/>
  <c r="N35" i="88"/>
  <c r="O34" i="88"/>
  <c r="N34" i="88"/>
  <c r="O33" i="88"/>
  <c r="N33" i="88"/>
  <c r="O32" i="88"/>
  <c r="N32" i="88"/>
  <c r="O31" i="88"/>
  <c r="N31" i="88"/>
  <c r="O30" i="88"/>
  <c r="N30" i="88"/>
  <c r="O29" i="88"/>
  <c r="N29" i="88"/>
  <c r="O28" i="88"/>
  <c r="N28" i="88"/>
  <c r="O26" i="88"/>
  <c r="E26" i="88" s="1"/>
  <c r="AP29" i="7" s="1"/>
  <c r="N26" i="88"/>
  <c r="C26" i="88" s="1"/>
  <c r="AN29" i="7" s="1"/>
  <c r="O24" i="88"/>
  <c r="N24" i="88"/>
  <c r="O23" i="88"/>
  <c r="N23" i="88"/>
  <c r="O22" i="88"/>
  <c r="N22" i="88"/>
  <c r="O21" i="88"/>
  <c r="N21" i="88"/>
  <c r="O20" i="88"/>
  <c r="N20" i="88"/>
  <c r="O19" i="88"/>
  <c r="N19" i="88"/>
  <c r="O18" i="88"/>
  <c r="N18" i="88"/>
  <c r="O17" i="88"/>
  <c r="N17" i="88"/>
  <c r="O16" i="88"/>
  <c r="N16" i="88"/>
  <c r="O15" i="88"/>
  <c r="N15" i="88"/>
  <c r="O14" i="88"/>
  <c r="N14" i="88"/>
  <c r="O13" i="88"/>
  <c r="N13" i="88"/>
  <c r="O12" i="88"/>
  <c r="N12" i="88"/>
  <c r="O10" i="88"/>
  <c r="N10" i="88"/>
  <c r="O9" i="88"/>
  <c r="N9" i="88"/>
  <c r="O8" i="88"/>
  <c r="N8" i="88"/>
  <c r="O7" i="88"/>
  <c r="N7" i="88"/>
  <c r="O4" i="88"/>
  <c r="N4" i="88"/>
  <c r="O3" i="88"/>
  <c r="N3" i="88"/>
  <c r="O25" i="88" l="1"/>
  <c r="BD7" i="21"/>
  <c r="O11" i="88"/>
  <c r="BB7" i="21"/>
  <c r="BC7" i="21" s="1"/>
  <c r="BG7" i="21" s="1"/>
  <c r="N11" i="88"/>
  <c r="N25" i="88"/>
  <c r="V27" i="88" l="1"/>
  <c r="C27" i="88" s="1"/>
  <c r="AN30" i="7" s="1"/>
  <c r="V31" i="88"/>
  <c r="V35" i="88"/>
  <c r="C35" i="88" s="1"/>
  <c r="AN44" i="7" s="1"/>
  <c r="W35" i="88"/>
  <c r="E35" i="88" s="1"/>
  <c r="AP44" i="7" s="1"/>
  <c r="V39" i="88"/>
  <c r="W43" i="88"/>
  <c r="E43" i="88" s="1"/>
  <c r="AP39" i="7" s="1"/>
  <c r="V43" i="88"/>
  <c r="C43" i="88" s="1"/>
  <c r="AN39" i="7" s="1"/>
  <c r="W14" i="88"/>
  <c r="V14" i="88"/>
  <c r="V19" i="88"/>
  <c r="V23" i="88"/>
  <c r="W28" i="88"/>
  <c r="V28" i="88"/>
  <c r="W32" i="88"/>
  <c r="V32" i="88"/>
  <c r="W36" i="88"/>
  <c r="E36" i="88" s="1"/>
  <c r="AP45" i="7" s="1"/>
  <c r="V36" i="88"/>
  <c r="C36" i="88" s="1"/>
  <c r="AN45" i="7" s="1"/>
  <c r="W40" i="88"/>
  <c r="V40" i="88"/>
  <c r="V13" i="88"/>
  <c r="C13" i="88" s="1"/>
  <c r="AN16" i="7" s="1"/>
  <c r="W20" i="88"/>
  <c r="V20" i="88"/>
  <c r="W24" i="88"/>
  <c r="V24" i="88"/>
  <c r="V29" i="88"/>
  <c r="V33" i="88"/>
  <c r="V37" i="88"/>
  <c r="C37" i="88" s="1"/>
  <c r="AN46" i="7" s="1"/>
  <c r="V41" i="88"/>
  <c r="W41" i="88"/>
  <c r="W18" i="88"/>
  <c r="V18" i="88"/>
  <c r="W22" i="88"/>
  <c r="V22" i="88"/>
  <c r="W3" i="88"/>
  <c r="V3" i="88"/>
  <c r="V11" i="88"/>
  <c r="V12" i="88"/>
  <c r="V17" i="88"/>
  <c r="V21" i="88"/>
  <c r="C21" i="88" s="1"/>
  <c r="AN24" i="7" s="1"/>
  <c r="V25" i="88"/>
  <c r="W30" i="88"/>
  <c r="V30" i="88"/>
  <c r="W34" i="88"/>
  <c r="V34" i="88"/>
  <c r="W38" i="88"/>
  <c r="V38" i="88"/>
  <c r="W42" i="88"/>
  <c r="V42" i="88"/>
  <c r="BF7" i="21"/>
  <c r="BI7" i="21" s="1"/>
  <c r="BE7" i="21"/>
  <c r="BH7" i="21" s="1"/>
  <c r="D26" i="88"/>
  <c r="AO29" i="7" s="1"/>
  <c r="AS29" i="7" l="1"/>
  <c r="AW29" i="7"/>
  <c r="W11" i="88"/>
  <c r="W27" i="88"/>
  <c r="E27" i="88" s="1"/>
  <c r="AP30" i="7" s="1"/>
  <c r="W33" i="88"/>
  <c r="W37" i="88"/>
  <c r="E37" i="88" s="1"/>
  <c r="AP46" i="7" s="1"/>
  <c r="W29" i="88"/>
  <c r="W19" i="88"/>
  <c r="W21" i="88"/>
  <c r="E21" i="88" s="1"/>
  <c r="AP24" i="7" s="1"/>
  <c r="W12" i="88"/>
  <c r="W13" i="88"/>
  <c r="E13" i="88" s="1"/>
  <c r="AP16" i="7" s="1"/>
  <c r="W25" i="88"/>
  <c r="W17" i="88"/>
  <c r="W23" i="88"/>
  <c r="W39" i="88"/>
  <c r="W31" i="88"/>
  <c r="F26" i="88"/>
  <c r="AQ29" i="7" s="1"/>
  <c r="G26" i="88"/>
  <c r="AR29" i="7" s="1"/>
  <c r="D27" i="88" l="1"/>
  <c r="D21" i="88"/>
  <c r="D13" i="88"/>
  <c r="AO16" i="7" s="1"/>
  <c r="AS16" i="7" s="1"/>
  <c r="D35" i="88"/>
  <c r="D43" i="88"/>
  <c r="AO39" i="7" s="1"/>
  <c r="D37" i="88"/>
  <c r="D36" i="88"/>
  <c r="Z4" i="88"/>
  <c r="Z12" i="88"/>
  <c r="Z20" i="88"/>
  <c r="Z25" i="88"/>
  <c r="Z29" i="88"/>
  <c r="Z33" i="88"/>
  <c r="C33" i="88" s="1"/>
  <c r="AN42" i="7" s="1"/>
  <c r="AA41" i="88"/>
  <c r="E41" i="88" s="1"/>
  <c r="AP37" i="7" s="1"/>
  <c r="Z41" i="88"/>
  <c r="C41" i="88" s="1"/>
  <c r="AN37" i="7" s="1"/>
  <c r="Z5" i="88"/>
  <c r="C5" i="88" s="1"/>
  <c r="Z9" i="88"/>
  <c r="Z17" i="88"/>
  <c r="AA34" i="88"/>
  <c r="E34" i="88" s="1"/>
  <c r="AP43" i="7" s="1"/>
  <c r="Z34" i="88"/>
  <c r="C34" i="88" s="1"/>
  <c r="AN43" i="7" s="1"/>
  <c r="AA38" i="88"/>
  <c r="E38" i="88" s="1"/>
  <c r="AP34" i="7" s="1"/>
  <c r="Z38" i="88"/>
  <c r="C38" i="88" s="1"/>
  <c r="AN34" i="7" s="1"/>
  <c r="AA42" i="88"/>
  <c r="E42" i="88" s="1"/>
  <c r="AP38" i="7" s="1"/>
  <c r="Z42" i="88"/>
  <c r="C42" i="88" s="1"/>
  <c r="AN38" i="7" s="1"/>
  <c r="AA6" i="88"/>
  <c r="E6" i="88" s="1"/>
  <c r="Z6" i="88"/>
  <c r="C6" i="88" s="1"/>
  <c r="AA10" i="88"/>
  <c r="E10" i="88" s="1"/>
  <c r="AP13" i="7" s="1"/>
  <c r="Z10" i="88"/>
  <c r="C10" i="88" s="1"/>
  <c r="AN13" i="7" s="1"/>
  <c r="AA14" i="88"/>
  <c r="Z14" i="88"/>
  <c r="AA18" i="88"/>
  <c r="Z18" i="88"/>
  <c r="AA22" i="88"/>
  <c r="Z22" i="88"/>
  <c r="AA31" i="88"/>
  <c r="E31" i="88" s="1"/>
  <c r="AP40" i="7" s="1"/>
  <c r="Z31" i="88"/>
  <c r="C31" i="88" s="1"/>
  <c r="AN40" i="7" s="1"/>
  <c r="AA39" i="88"/>
  <c r="E39" i="88" s="1"/>
  <c r="AP35" i="7" s="1"/>
  <c r="Z39" i="88"/>
  <c r="C39" i="88" s="1"/>
  <c r="AN35" i="7" s="1"/>
  <c r="AA3" i="88"/>
  <c r="Z3" i="88"/>
  <c r="Z11" i="88"/>
  <c r="AA19" i="88"/>
  <c r="Z19" i="88"/>
  <c r="AA23" i="88"/>
  <c r="Z23" i="88"/>
  <c r="Z28" i="88"/>
  <c r="Z32" i="88"/>
  <c r="C32" i="88" s="1"/>
  <c r="AN41" i="7" s="1"/>
  <c r="Z40" i="88"/>
  <c r="C40" i="88" s="1"/>
  <c r="AN36" i="7" s="1"/>
  <c r="AO45" i="7" l="1"/>
  <c r="AW45" i="7" s="1"/>
  <c r="E76" i="116"/>
  <c r="AO44" i="7"/>
  <c r="AS44" i="7" s="1"/>
  <c r="E75" i="116"/>
  <c r="AO46" i="7"/>
  <c r="AS46" i="7" s="1"/>
  <c r="E77" i="116"/>
  <c r="AA29" i="88"/>
  <c r="F21" i="88"/>
  <c r="AQ24" i="7" s="1"/>
  <c r="AO24" i="7"/>
  <c r="AW39" i="7"/>
  <c r="AS39" i="7"/>
  <c r="F27" i="88"/>
  <c r="AQ30" i="7" s="1"/>
  <c r="AO30" i="7"/>
  <c r="AW16" i="7"/>
  <c r="G27" i="88"/>
  <c r="AR30" i="7" s="1"/>
  <c r="G21" i="88"/>
  <c r="AR24" i="7" s="1"/>
  <c r="AS45" i="7"/>
  <c r="F13" i="88"/>
  <c r="AQ16" i="7" s="1"/>
  <c r="AT16" i="7" s="1"/>
  <c r="G13" i="88"/>
  <c r="AR16" i="7" s="1"/>
  <c r="AU16" i="7" s="1"/>
  <c r="G36" i="88"/>
  <c r="AR45" i="7" s="1"/>
  <c r="AU45" i="7" s="1"/>
  <c r="F36" i="88"/>
  <c r="AQ45" i="7" s="1"/>
  <c r="AT45" i="7" s="1"/>
  <c r="F37" i="88"/>
  <c r="AQ46" i="7" s="1"/>
  <c r="AT46" i="7" s="1"/>
  <c r="G37" i="88"/>
  <c r="AR46" i="7" s="1"/>
  <c r="AU46" i="7" s="1"/>
  <c r="G43" i="88"/>
  <c r="AR39" i="7" s="1"/>
  <c r="F43" i="88"/>
  <c r="AQ39" i="7" s="1"/>
  <c r="G35" i="88"/>
  <c r="AR44" i="7" s="1"/>
  <c r="AU44" i="7" s="1"/>
  <c r="F35" i="88"/>
  <c r="AQ44" i="7" s="1"/>
  <c r="AT44" i="7" s="1"/>
  <c r="AE7" i="88"/>
  <c r="E7" i="88" s="1"/>
  <c r="AP10" i="7" s="1"/>
  <c r="AD7" i="88"/>
  <c r="C7" i="88" s="1"/>
  <c r="AN10" i="7" s="1"/>
  <c r="AE9" i="88"/>
  <c r="AD9" i="88"/>
  <c r="C9" i="88" s="1"/>
  <c r="AN12" i="7" s="1"/>
  <c r="AE15" i="88"/>
  <c r="E15" i="88" s="1"/>
  <c r="AP18" i="7" s="1"/>
  <c r="AD15" i="88"/>
  <c r="C15" i="88" s="1"/>
  <c r="AN18" i="7" s="1"/>
  <c r="AE19" i="88"/>
  <c r="E19" i="88" s="1"/>
  <c r="AP22" i="7" s="1"/>
  <c r="AD19" i="88"/>
  <c r="C19" i="88" s="1"/>
  <c r="AN22" i="7" s="1"/>
  <c r="AE23" i="88"/>
  <c r="E23" i="88" s="1"/>
  <c r="AP26" i="7" s="1"/>
  <c r="AD23" i="88"/>
  <c r="C23" i="88" s="1"/>
  <c r="AN26" i="7" s="1"/>
  <c r="AE11" i="88"/>
  <c r="AD11" i="88"/>
  <c r="C11" i="88" s="1"/>
  <c r="AN14" i="7" s="1"/>
  <c r="AE16" i="88"/>
  <c r="E16" i="88" s="1"/>
  <c r="AP19" i="7" s="1"/>
  <c r="AD16" i="88"/>
  <c r="C16" i="88" s="1"/>
  <c r="AN19" i="7" s="1"/>
  <c r="AE20" i="88"/>
  <c r="AD20" i="88"/>
  <c r="C20" i="88" s="1"/>
  <c r="AN23" i="7" s="1"/>
  <c r="AE24" i="88"/>
  <c r="E24" i="88" s="1"/>
  <c r="AP27" i="7" s="1"/>
  <c r="AD24" i="88"/>
  <c r="C24" i="88" s="1"/>
  <c r="AN27" i="7" s="1"/>
  <c r="AE28" i="88"/>
  <c r="AD28" i="88"/>
  <c r="C28" i="88" s="1"/>
  <c r="AN31" i="7" s="1"/>
  <c r="AE12" i="88"/>
  <c r="AD12" i="88"/>
  <c r="C12" i="88" s="1"/>
  <c r="AN15" i="7" s="1"/>
  <c r="AE17" i="88"/>
  <c r="AD17" i="88"/>
  <c r="C17" i="88" s="1"/>
  <c r="AN20" i="7" s="1"/>
  <c r="AE29" i="88"/>
  <c r="AD29" i="88"/>
  <c r="C29" i="88" s="1"/>
  <c r="AN32" i="7" s="1"/>
  <c r="AE8" i="88"/>
  <c r="E8" i="88" s="1"/>
  <c r="AP11" i="7" s="1"/>
  <c r="AD8" i="88"/>
  <c r="C8" i="88" s="1"/>
  <c r="AN11" i="7" s="1"/>
  <c r="AE14" i="88"/>
  <c r="E14" i="88" s="1"/>
  <c r="AP17" i="7" s="1"/>
  <c r="AD14" i="88"/>
  <c r="C14" i="88" s="1"/>
  <c r="AN17" i="7" s="1"/>
  <c r="AE18" i="88"/>
  <c r="E18" i="88" s="1"/>
  <c r="AP21" i="7" s="1"/>
  <c r="AD18" i="88"/>
  <c r="C18" i="88" s="1"/>
  <c r="AN21" i="7" s="1"/>
  <c r="AE22" i="88"/>
  <c r="E22" i="88" s="1"/>
  <c r="AP25" i="7" s="1"/>
  <c r="AD22" i="88"/>
  <c r="C22" i="88" s="1"/>
  <c r="AN25" i="7" s="1"/>
  <c r="AE30" i="88"/>
  <c r="E30" i="88" s="1"/>
  <c r="AP33" i="7" s="1"/>
  <c r="AD30" i="88"/>
  <c r="C30" i="88" s="1"/>
  <c r="AN33" i="7" s="1"/>
  <c r="D6" i="88"/>
  <c r="G6" i="88" s="1"/>
  <c r="AA20" i="88"/>
  <c r="AA12" i="88"/>
  <c r="AA4" i="88"/>
  <c r="AA17" i="88"/>
  <c r="AA9" i="88"/>
  <c r="AA11" i="88"/>
  <c r="AA28" i="88"/>
  <c r="AA5" i="88"/>
  <c r="E5" i="88" s="1"/>
  <c r="AA33" i="88"/>
  <c r="E33" i="88" s="1"/>
  <c r="AP42" i="7" s="1"/>
  <c r="AA25" i="88"/>
  <c r="AA40" i="88"/>
  <c r="E40" i="88" s="1"/>
  <c r="AP36" i="7" s="1"/>
  <c r="AA32" i="88"/>
  <c r="E32" i="88" s="1"/>
  <c r="AP41" i="7" s="1"/>
  <c r="E17" i="88" l="1"/>
  <c r="AP20" i="7" s="1"/>
  <c r="E9" i="88"/>
  <c r="AP12" i="7" s="1"/>
  <c r="E29" i="88"/>
  <c r="AP32" i="7" s="1"/>
  <c r="AW44" i="7"/>
  <c r="AW46" i="7"/>
  <c r="AW24" i="7"/>
  <c r="AS24" i="7"/>
  <c r="AS30" i="7"/>
  <c r="AW30" i="7"/>
  <c r="E12" i="88"/>
  <c r="AP15" i="7" s="1"/>
  <c r="E28" i="88"/>
  <c r="AP31" i="7" s="1"/>
  <c r="E20" i="88"/>
  <c r="AP23" i="7" s="1"/>
  <c r="F6" i="88"/>
  <c r="E11" i="88"/>
  <c r="AP14" i="7" s="1"/>
  <c r="AE3" i="88"/>
  <c r="E3" i="88" s="1"/>
  <c r="AD3" i="88"/>
  <c r="AD25" i="88"/>
  <c r="C25" i="88" s="1"/>
  <c r="AN28" i="7" s="1"/>
  <c r="D19" i="88"/>
  <c r="AO22" i="7" s="1"/>
  <c r="D12" i="88"/>
  <c r="D41" i="88"/>
  <c r="AO37" i="7" s="1"/>
  <c r="D29" i="88"/>
  <c r="AO32" i="7" s="1"/>
  <c r="D11" i="88"/>
  <c r="D33" i="88"/>
  <c r="E73" i="116" s="1"/>
  <c r="D20" i="88"/>
  <c r="D14" i="88"/>
  <c r="D38" i="88"/>
  <c r="D40" i="88"/>
  <c r="AO36" i="7" s="1"/>
  <c r="D5" i="88"/>
  <c r="D39" i="88"/>
  <c r="AO35" i="7" s="1"/>
  <c r="D42" i="88"/>
  <c r="AO38" i="7" s="1"/>
  <c r="D32" i="88"/>
  <c r="D17" i="88"/>
  <c r="AO20" i="7" s="1"/>
  <c r="D10" i="88"/>
  <c r="AO13" i="7" s="1"/>
  <c r="D31" i="88"/>
  <c r="D9" i="88"/>
  <c r="AO12" i="7" s="1"/>
  <c r="D18" i="88"/>
  <c r="AO21" i="7" s="1"/>
  <c r="D23" i="88"/>
  <c r="AO26" i="7" s="1"/>
  <c r="D22" i="88"/>
  <c r="AO25" i="7" s="1"/>
  <c r="D34" i="88"/>
  <c r="D28" i="88"/>
  <c r="AO31" i="7" s="1"/>
  <c r="G12" i="88" l="1"/>
  <c r="AR15" i="7" s="1"/>
  <c r="AU15" i="7" s="1"/>
  <c r="AO41" i="7"/>
  <c r="AS41" i="7" s="1"/>
  <c r="E72" i="116"/>
  <c r="AO40" i="7"/>
  <c r="AS40" i="7" s="1"/>
  <c r="E71" i="116"/>
  <c r="AO43" i="7"/>
  <c r="AS43" i="7" s="1"/>
  <c r="E74" i="116"/>
  <c r="AS31" i="7"/>
  <c r="AW31" i="7"/>
  <c r="AW21" i="7"/>
  <c r="AS21" i="7"/>
  <c r="AW20" i="7"/>
  <c r="AS20" i="7"/>
  <c r="AW23" i="7"/>
  <c r="AS23" i="7"/>
  <c r="AW37" i="7"/>
  <c r="AS37" i="7"/>
  <c r="AW25" i="7"/>
  <c r="AS25" i="7"/>
  <c r="F33" i="88"/>
  <c r="AQ42" i="7" s="1"/>
  <c r="AT42" i="7" s="1"/>
  <c r="AO42" i="7"/>
  <c r="AW35" i="7"/>
  <c r="AS35" i="7"/>
  <c r="AS32" i="7"/>
  <c r="AW32" i="7"/>
  <c r="AS26" i="7"/>
  <c r="AW26" i="7"/>
  <c r="AW38" i="7"/>
  <c r="AS38" i="7"/>
  <c r="AW34" i="7"/>
  <c r="AS34" i="7"/>
  <c r="AW22" i="7"/>
  <c r="AS22" i="7"/>
  <c r="AS12" i="7"/>
  <c r="AW12" i="7"/>
  <c r="AO15" i="7"/>
  <c r="AO14" i="7"/>
  <c r="AS13" i="7"/>
  <c r="AW13" i="7"/>
  <c r="F14" i="88"/>
  <c r="AO17" i="7"/>
  <c r="AE4" i="88"/>
  <c r="E4" i="88" s="1"/>
  <c r="AD4" i="88"/>
  <c r="C4" i="88" s="1"/>
  <c r="G33" i="88"/>
  <c r="AR42" i="7" s="1"/>
  <c r="AU42" i="7" s="1"/>
  <c r="AW36" i="7"/>
  <c r="AS36" i="7"/>
  <c r="G5" i="88"/>
  <c r="D8" i="88"/>
  <c r="F31" i="88"/>
  <c r="AQ40" i="7" s="1"/>
  <c r="D7" i="88"/>
  <c r="D24" i="88"/>
  <c r="AO27" i="7" s="1"/>
  <c r="AE25" i="88"/>
  <c r="E25" i="88" s="1"/>
  <c r="AP28" i="7" s="1"/>
  <c r="F19" i="88"/>
  <c r="AQ22" i="7" s="1"/>
  <c r="G29" i="88"/>
  <c r="AR32" i="7" s="1"/>
  <c r="F29" i="88"/>
  <c r="AQ32" i="7" s="1"/>
  <c r="D30" i="88"/>
  <c r="AO33" i="7" s="1"/>
  <c r="D15" i="88"/>
  <c r="AO18" i="7" s="1"/>
  <c r="D16" i="88"/>
  <c r="AO19" i="7" s="1"/>
  <c r="G14" i="88"/>
  <c r="AR17" i="7" s="1"/>
  <c r="F28" i="88"/>
  <c r="AQ31" i="7" s="1"/>
  <c r="F12" i="88"/>
  <c r="AQ15" i="7" s="1"/>
  <c r="AT15" i="7" s="1"/>
  <c r="F20" i="88"/>
  <c r="AQ23" i="7" s="1"/>
  <c r="G19" i="88"/>
  <c r="AR22" i="7" s="1"/>
  <c r="F5" i="88"/>
  <c r="G41" i="88"/>
  <c r="AR37" i="7" s="1"/>
  <c r="F40" i="88"/>
  <c r="AQ36" i="7" s="1"/>
  <c r="F41" i="88"/>
  <c r="AQ37" i="7" s="1"/>
  <c r="G40" i="88"/>
  <c r="AR36" i="7" s="1"/>
  <c r="G11" i="88"/>
  <c r="F11" i="88"/>
  <c r="G20" i="88"/>
  <c r="AR23" i="7" s="1"/>
  <c r="G9" i="88"/>
  <c r="AR12" i="7" s="1"/>
  <c r="F9" i="88"/>
  <c r="AQ12" i="7" s="1"/>
  <c r="G31" i="88"/>
  <c r="AR40" i="7" s="1"/>
  <c r="G42" i="88"/>
  <c r="AR38" i="7" s="1"/>
  <c r="F42" i="88"/>
  <c r="AQ38" i="7" s="1"/>
  <c r="F32" i="88"/>
  <c r="AQ41" i="7" s="1"/>
  <c r="AT41" i="7" s="1"/>
  <c r="G28" i="88"/>
  <c r="AR31" i="7" s="1"/>
  <c r="G10" i="88"/>
  <c r="F10" i="88"/>
  <c r="AQ13" i="7" s="1"/>
  <c r="G39" i="88"/>
  <c r="AR35" i="7" s="1"/>
  <c r="F39" i="88"/>
  <c r="AQ35" i="7" s="1"/>
  <c r="G38" i="88"/>
  <c r="AR34" i="7" s="1"/>
  <c r="F38" i="88"/>
  <c r="AQ34" i="7" s="1"/>
  <c r="F34" i="88"/>
  <c r="AQ43" i="7" s="1"/>
  <c r="AT43" i="7" s="1"/>
  <c r="G34" i="88"/>
  <c r="AR43" i="7" s="1"/>
  <c r="AU43" i="7" s="1"/>
  <c r="F22" i="88"/>
  <c r="AQ25" i="7" s="1"/>
  <c r="G22" i="88"/>
  <c r="AR25" i="7" s="1"/>
  <c r="F23" i="88"/>
  <c r="AQ26" i="7" s="1"/>
  <c r="G23" i="88"/>
  <c r="AR26" i="7" s="1"/>
  <c r="F17" i="88"/>
  <c r="AQ20" i="7" s="1"/>
  <c r="G17" i="88"/>
  <c r="AR20" i="7" s="1"/>
  <c r="F18" i="88"/>
  <c r="AQ21" i="7" s="1"/>
  <c r="G18" i="88"/>
  <c r="AR21" i="7" s="1"/>
  <c r="G32" i="88"/>
  <c r="AR41" i="7" s="1"/>
  <c r="AU41" i="7" s="1"/>
  <c r="AW41" i="7" l="1"/>
  <c r="AW43" i="7"/>
  <c r="AW40" i="7"/>
  <c r="AW14" i="7"/>
  <c r="AS14" i="7"/>
  <c r="AW15" i="7"/>
  <c r="AS15" i="7"/>
  <c r="AW33" i="7"/>
  <c r="AS33" i="7"/>
  <c r="AS27" i="7"/>
  <c r="AW27" i="7"/>
  <c r="AW19" i="7"/>
  <c r="AS19" i="7"/>
  <c r="AW42" i="7"/>
  <c r="AS42" i="7"/>
  <c r="AW18" i="7"/>
  <c r="AS18" i="7"/>
  <c r="F8" i="88"/>
  <c r="AQ11" i="7" s="1"/>
  <c r="AO11" i="7"/>
  <c r="AW17" i="7"/>
  <c r="AS17" i="7"/>
  <c r="F7" i="88"/>
  <c r="AQ10" i="7" s="1"/>
  <c r="AO10" i="7"/>
  <c r="D4" i="88"/>
  <c r="F4" i="88" s="1"/>
  <c r="G8" i="88"/>
  <c r="AR11" i="7" s="1"/>
  <c r="G7" i="88"/>
  <c r="AR10" i="7" s="1"/>
  <c r="F24" i="88"/>
  <c r="AQ27" i="7" s="1"/>
  <c r="G24" i="88"/>
  <c r="AR27" i="7" s="1"/>
  <c r="F15" i="88"/>
  <c r="AQ18" i="7" s="1"/>
  <c r="G15" i="88"/>
  <c r="AR18" i="7" s="1"/>
  <c r="F30" i="88"/>
  <c r="AQ33" i="7" s="1"/>
  <c r="G30" i="88"/>
  <c r="AR33" i="7" s="1"/>
  <c r="F16" i="88"/>
  <c r="AQ19" i="7" s="1"/>
  <c r="G16" i="88"/>
  <c r="AR19" i="7" s="1"/>
  <c r="D25" i="88"/>
  <c r="AO28" i="7" s="1"/>
  <c r="G4" i="88" l="1"/>
  <c r="AW28" i="7"/>
  <c r="AS28" i="7"/>
  <c r="AS11" i="7"/>
  <c r="AW11" i="7"/>
  <c r="AS10" i="7"/>
  <c r="AW10" i="7"/>
  <c r="BS8" i="22"/>
  <c r="AP8" i="22" s="1"/>
  <c r="BR8" i="22"/>
  <c r="AN8" i="22" s="1"/>
  <c r="BR12" i="22"/>
  <c r="BS9" i="22"/>
  <c r="AP9" i="22" s="1"/>
  <c r="BR9" i="22"/>
  <c r="AN9" i="22" s="1"/>
  <c r="BR17" i="22"/>
  <c r="G25" i="88"/>
  <c r="AR28" i="7" s="1"/>
  <c r="F25" i="88"/>
  <c r="AQ28" i="7" s="1"/>
  <c r="BS17" i="22" l="1"/>
  <c r="AO8" i="22"/>
  <c r="AW8" i="22" s="1"/>
  <c r="AO9" i="22"/>
  <c r="AR9" i="22" s="1"/>
  <c r="AU9" i="22" s="1"/>
  <c r="BM14" i="22"/>
  <c r="AP14" i="22" s="1"/>
  <c r="BL14" i="22"/>
  <c r="AN14" i="22" s="1"/>
  <c r="BM16" i="22"/>
  <c r="AP16" i="22" s="1"/>
  <c r="BL16" i="22"/>
  <c r="AN16" i="22" s="1"/>
  <c r="BM17" i="22"/>
  <c r="BL17" i="22"/>
  <c r="AN17" i="22" s="1"/>
  <c r="BS12" i="22"/>
  <c r="BL5" i="22"/>
  <c r="AN5" i="22" s="1"/>
  <c r="BM15" i="22"/>
  <c r="AP15" i="22" s="1"/>
  <c r="BL15" i="22"/>
  <c r="AN15" i="22" s="1"/>
  <c r="BL7" i="22"/>
  <c r="AN7" i="22" s="1"/>
  <c r="BL12" i="22"/>
  <c r="AN12" i="22" s="1"/>
  <c r="BL13" i="22"/>
  <c r="AN13" i="22" s="1"/>
  <c r="C3" i="88"/>
  <c r="AP17" i="22" l="1"/>
  <c r="BM12" i="22"/>
  <c r="AP12" i="22" s="1"/>
  <c r="AQ9" i="22"/>
  <c r="AT9" i="22" s="1"/>
  <c r="AR8" i="22"/>
  <c r="AU8" i="22" s="1"/>
  <c r="AQ8" i="22"/>
  <c r="AT8" i="22" s="1"/>
  <c r="AS9" i="22"/>
  <c r="AW9" i="22"/>
  <c r="AS8" i="22"/>
  <c r="AO17" i="22"/>
  <c r="AW17" i="22" s="1"/>
  <c r="AO14" i="22"/>
  <c r="D3" i="88"/>
  <c r="BM13" i="22"/>
  <c r="AP13" i="22" s="1"/>
  <c r="BM7" i="22"/>
  <c r="AP7" i="22" s="1"/>
  <c r="AO15" i="22"/>
  <c r="AW15" i="22" s="1"/>
  <c r="AO16" i="22"/>
  <c r="BM5" i="22"/>
  <c r="AP5" i="22" s="1"/>
  <c r="AO12" i="22" l="1"/>
  <c r="AW12" i="22" s="1"/>
  <c r="AS16" i="22"/>
  <c r="AW16" i="22"/>
  <c r="AS14" i="22"/>
  <c r="AW14" i="22"/>
  <c r="AS17" i="22"/>
  <c r="AS15" i="22"/>
  <c r="AR17" i="22"/>
  <c r="AU17" i="22" s="1"/>
  <c r="AQ17" i="22"/>
  <c r="AT17" i="22" s="1"/>
  <c r="AR14" i="22"/>
  <c r="AU14" i="22" s="1"/>
  <c r="AO7" i="22"/>
  <c r="AW7" i="22" s="1"/>
  <c r="AQ14" i="22"/>
  <c r="AT14" i="22" s="1"/>
  <c r="AO5" i="22"/>
  <c r="AR16" i="22"/>
  <c r="AU16" i="22" s="1"/>
  <c r="AQ16" i="22"/>
  <c r="AT16" i="22" s="1"/>
  <c r="G3" i="88"/>
  <c r="F3" i="88"/>
  <c r="AR15" i="22"/>
  <c r="AU15" i="22" s="1"/>
  <c r="AQ15" i="22"/>
  <c r="AT15" i="22" s="1"/>
  <c r="AO13" i="22"/>
  <c r="AW13" i="22" s="1"/>
  <c r="AR12" i="22" l="1"/>
  <c r="AU12" i="22" s="1"/>
  <c r="AS12" i="22"/>
  <c r="AQ12" i="22"/>
  <c r="AT12" i="22" s="1"/>
  <c r="AS5" i="22"/>
  <c r="AW5" i="22"/>
  <c r="AS7" i="22"/>
  <c r="AS13" i="22"/>
  <c r="AQ7" i="22"/>
  <c r="AT7" i="22" s="1"/>
  <c r="AQ5" i="22"/>
  <c r="AT5" i="22" s="1"/>
  <c r="AR7" i="22"/>
  <c r="AU7" i="22" s="1"/>
  <c r="AR5" i="22"/>
  <c r="AU5" i="22" s="1"/>
  <c r="AQ13" i="22"/>
  <c r="AT13" i="22" s="1"/>
  <c r="AR13" i="22"/>
  <c r="AU13" i="22" s="1"/>
  <c r="AU24" i="7" l="1"/>
  <c r="AU12" i="7"/>
  <c r="AU19" i="7"/>
  <c r="AU28" i="7"/>
  <c r="AU10" i="7"/>
  <c r="AU40" i="7"/>
  <c r="AU27" i="7"/>
  <c r="AU22" i="7"/>
  <c r="AU11" i="7"/>
  <c r="AU36" i="7"/>
  <c r="AU25" i="7"/>
  <c r="AU35" i="7"/>
  <c r="AU31" i="7"/>
  <c r="AU37" i="7"/>
  <c r="AT40" i="7"/>
  <c r="AU34" i="7"/>
  <c r="AU21" i="7"/>
  <c r="AU39" i="7"/>
  <c r="AT19" i="7"/>
  <c r="AT27" i="7"/>
  <c r="AT36" i="7"/>
  <c r="AT26" i="7"/>
  <c r="AU26" i="7"/>
  <c r="AU38" i="7"/>
  <c r="AT39" i="7"/>
  <c r="AT35" i="7"/>
  <c r="AT33" i="7"/>
  <c r="AU33" i="7"/>
  <c r="AT18" i="7"/>
  <c r="AU18" i="7"/>
  <c r="AU17" i="7"/>
  <c r="AT22" i="7"/>
  <c r="AU29" i="7"/>
  <c r="AT21" i="7"/>
  <c r="AU30" i="7"/>
  <c r="AT34" i="7"/>
  <c r="AT12" i="7"/>
  <c r="AT10" i="7"/>
  <c r="AT30" i="7"/>
  <c r="AT11" i="7"/>
  <c r="AT13" i="7"/>
  <c r="AT24" i="7"/>
  <c r="AT23" i="7"/>
  <c r="AU23" i="7"/>
  <c r="AT20" i="7"/>
  <c r="AU20" i="7"/>
  <c r="AT38" i="7"/>
  <c r="AT17" i="7"/>
  <c r="AT31" i="7"/>
  <c r="AT29" i="7"/>
  <c r="AT32" i="7"/>
  <c r="AU32" i="7"/>
  <c r="AT28" i="7"/>
  <c r="AT37" i="7"/>
  <c r="AT25" i="7"/>
  <c r="AU6" i="7"/>
  <c r="AU5" i="7"/>
  <c r="AS5" i="7"/>
  <c r="AS4" i="7"/>
  <c r="AT5" i="7"/>
  <c r="AU7" i="7"/>
  <c r="AT6" i="7"/>
  <c r="AT4" i="7"/>
  <c r="AU4" i="7"/>
  <c r="AT7" i="7"/>
  <c r="AS7" i="7"/>
  <c r="AS6" i="7"/>
  <c r="AS9" i="7"/>
  <c r="AW9" i="7"/>
  <c r="AU9" i="7"/>
  <c r="AW8" i="7"/>
  <c r="AU8" i="7"/>
  <c r="AS8" i="7"/>
  <c r="AT9" i="7"/>
  <c r="AT8" i="7"/>
</calcChain>
</file>

<file path=xl/comments1.xml><?xml version="1.0" encoding="utf-8"?>
<comments xmlns="http://schemas.openxmlformats.org/spreadsheetml/2006/main">
  <authors>
    <author>作者</author>
  </authors>
  <commentList>
    <comment ref="D4" authorId="0" shapeId="0">
      <text>
        <r>
          <rPr>
            <b/>
            <sz val="9"/>
            <rFont val="Tahoma"/>
            <family val="2"/>
          </rPr>
          <t>作者:</t>
        </r>
        <r>
          <rPr>
            <sz val="9"/>
            <rFont val="Tahoma"/>
            <family val="2"/>
          </rPr>
          <t xml:space="preserve">
H1</t>
        </r>
        <r>
          <rPr>
            <sz val="9"/>
            <rFont val="宋体"/>
            <family val="3"/>
            <charset val="134"/>
          </rPr>
          <t>发布的是</t>
        </r>
        <r>
          <rPr>
            <sz val="9"/>
            <rFont val="Tahoma"/>
            <family val="2"/>
          </rPr>
          <t>46</t>
        </r>
        <r>
          <rPr>
            <sz val="9"/>
            <rFont val="宋体"/>
            <family val="3"/>
            <charset val="134"/>
          </rPr>
          <t>，</t>
        </r>
        <r>
          <rPr>
            <sz val="9"/>
            <rFont val="Tahoma"/>
            <family val="2"/>
          </rPr>
          <t>H2</t>
        </r>
        <r>
          <rPr>
            <sz val="9"/>
            <rFont val="宋体"/>
            <family val="3"/>
            <charset val="134"/>
          </rPr>
          <t>统一度量规则后，重新计算的</t>
        </r>
        <r>
          <rPr>
            <sz val="9"/>
            <rFont val="Tahoma"/>
            <family val="2"/>
          </rPr>
          <t>H1</t>
        </r>
        <r>
          <rPr>
            <sz val="9"/>
            <rFont val="宋体"/>
            <family val="3"/>
            <charset val="134"/>
          </rPr>
          <t>的生产率值为</t>
        </r>
        <r>
          <rPr>
            <sz val="9"/>
            <rFont val="Tahoma"/>
            <family val="2"/>
          </rPr>
          <t>42.9</t>
        </r>
      </text>
    </comment>
  </commentList>
</comments>
</file>

<file path=xl/sharedStrings.xml><?xml version="1.0" encoding="utf-8"?>
<sst xmlns="http://schemas.openxmlformats.org/spreadsheetml/2006/main" count="2711" uniqueCount="492">
  <si>
    <t>样本点</t>
  </si>
  <si>
    <t>基线值</t>
  </si>
  <si>
    <t>上限</t>
  </si>
  <si>
    <t>下限</t>
  </si>
  <si>
    <t>列1</t>
  </si>
  <si>
    <t>列2</t>
  </si>
  <si>
    <t>列3</t>
  </si>
  <si>
    <t>列4</t>
  </si>
  <si>
    <t>列5</t>
  </si>
  <si>
    <t>列6</t>
  </si>
  <si>
    <t>列7</t>
  </si>
  <si>
    <t>列8</t>
  </si>
  <si>
    <t>列9</t>
  </si>
  <si>
    <t>列10</t>
  </si>
  <si>
    <t>代码质量</t>
  </si>
  <si>
    <t>Coverity高、中告警数(CodeCC)</t>
  </si>
  <si>
    <t>Fortify高、中告警数(CodeCC)</t>
  </si>
  <si>
    <t>全量功能验证周期（天）</t>
  </si>
  <si>
    <t>解决方案验证周期（周）</t>
  </si>
  <si>
    <t>特性交付周期CycleTime(月)</t>
  </si>
  <si>
    <t>列11</t>
  </si>
  <si>
    <t>质量</t>
  </si>
  <si>
    <t>效率</t>
  </si>
  <si>
    <t>度量分类</t>
  </si>
  <si>
    <t>2014H1 PCB</t>
  </si>
  <si>
    <t>2014H2 PCB</t>
  </si>
  <si>
    <t>2015H1</t>
  </si>
  <si>
    <t>2015H2</t>
  </si>
  <si>
    <t>2014 PCB</t>
  </si>
  <si>
    <t>标准差</t>
  </si>
  <si>
    <t>列166</t>
  </si>
  <si>
    <t>列165</t>
  </si>
  <si>
    <t>列164</t>
  </si>
  <si>
    <t>列163</t>
  </si>
  <si>
    <t>列162</t>
  </si>
  <si>
    <t>列1626</t>
  </si>
  <si>
    <t>列1625</t>
  </si>
  <si>
    <t>列1624</t>
  </si>
  <si>
    <t>列1623</t>
  </si>
  <si>
    <t>列1622</t>
  </si>
  <si>
    <t>列122</t>
  </si>
  <si>
    <t>列133</t>
  </si>
  <si>
    <t>列144</t>
  </si>
  <si>
    <t>列155</t>
  </si>
  <si>
    <t>列167</t>
  </si>
  <si>
    <t>列1674</t>
  </si>
  <si>
    <t>列1673</t>
  </si>
  <si>
    <t>列1672</t>
  </si>
  <si>
    <t>列168</t>
  </si>
  <si>
    <t>列1685</t>
  </si>
  <si>
    <t>列1684</t>
  </si>
  <si>
    <t>列1683</t>
  </si>
  <si>
    <t>列1682</t>
  </si>
  <si>
    <t>列17</t>
  </si>
  <si>
    <t>列18</t>
  </si>
  <si>
    <t>列19</t>
  </si>
  <si>
    <t>(JAVA)软件开发生产率(Loc/人天)TR2-TR5</t>
  </si>
  <si>
    <t>(JAVA)软件开发生产率(Loc/人天)TR2-TR4</t>
  </si>
  <si>
    <t>(C/C++)软件开发生产率(Loc/人天)TR2-TR5</t>
  </si>
  <si>
    <t>(C/C++)软件开发生产率(Loc/人天)TR2-TR4</t>
  </si>
  <si>
    <t>Story生产率(个/人月)TR2-TR5</t>
  </si>
  <si>
    <t>测试用例设计效率（用例/人天）</t>
  </si>
  <si>
    <t>测试用例执行效率（用例/人天）</t>
  </si>
  <si>
    <t>测试生产率(LOC/人天)</t>
  </si>
  <si>
    <t>资料生产率(页/人天)</t>
  </si>
  <si>
    <t>华为投入比例(%)</t>
  </si>
  <si>
    <t>进度偏差(%)</t>
  </si>
  <si>
    <t>规模偏差(%)</t>
  </si>
  <si>
    <t>需求质量</t>
  </si>
  <si>
    <t>项目需求稳定度(%)</t>
  </si>
  <si>
    <t>规格评审缺陷密度(个/页)</t>
  </si>
  <si>
    <t>需求评审缺陷密度(个/页)</t>
  </si>
  <si>
    <t>开发质量</t>
  </si>
  <si>
    <t>代码评审缺陷率(个/KLOC)</t>
  </si>
  <si>
    <t>开发者测试缺陷密度(个/KLOC)</t>
  </si>
  <si>
    <t>测试质量</t>
  </si>
  <si>
    <t>问题单回归不通过个数（个）</t>
  </si>
  <si>
    <t>转测试不通过次数（次）</t>
  </si>
  <si>
    <t>测试方案评审缺陷密度(个/页)</t>
  </si>
  <si>
    <t>测试用例评审缺陷密度(个/个)</t>
  </si>
  <si>
    <t>测试用例密度(个/KLOC)</t>
  </si>
  <si>
    <t>自动化用例比例（%）</t>
  </si>
  <si>
    <t>SDV测试缺陷密度（个/KLOC）</t>
  </si>
  <si>
    <t>资料质量</t>
  </si>
  <si>
    <t>资料评审缺陷密度(个/页)</t>
  </si>
  <si>
    <t>阶段验收</t>
  </si>
  <si>
    <t>阶段验收-需求验收缺陷密度(个/页)</t>
  </si>
  <si>
    <t/>
  </si>
  <si>
    <t>阶段验收-代码验收缺陷密度(个/KLOC)</t>
  </si>
  <si>
    <t>发布质量</t>
  </si>
  <si>
    <t>版本发布遗留DI值（DI值）</t>
  </si>
  <si>
    <t>网络安全遗留问题数（个）</t>
  </si>
  <si>
    <t>ICP-平均圈复杂度(个)</t>
  </si>
  <si>
    <t>ICP-代码重复率(%)</t>
  </si>
  <si>
    <t>构建质量</t>
  </si>
  <si>
    <t>CI构建成功率(%)</t>
  </si>
  <si>
    <t>工程能力6个1</t>
  </si>
  <si>
    <t>2014 H1</t>
  </si>
  <si>
    <t>2014 H2</t>
  </si>
  <si>
    <t>2015H1PCB(企业IT、网络、SPO）</t>
  </si>
  <si>
    <t>2015H2PCB(企业IT、网络）</t>
  </si>
  <si>
    <t>2016H1 SPO</t>
  </si>
  <si>
    <t>2016H1 核心网</t>
  </si>
  <si>
    <t>2016H1 网络</t>
  </si>
  <si>
    <t>2016H1 企业IT</t>
  </si>
  <si>
    <t>平均值</t>
  </si>
  <si>
    <t>列12</t>
  </si>
  <si>
    <t>列13</t>
  </si>
  <si>
    <t>列14</t>
  </si>
  <si>
    <t>列15</t>
  </si>
  <si>
    <t>列16</t>
  </si>
  <si>
    <t>列1665</t>
  </si>
  <si>
    <t>列1664</t>
  </si>
  <si>
    <t>列1663</t>
  </si>
  <si>
    <t>列1662</t>
  </si>
  <si>
    <t>列169</t>
  </si>
  <si>
    <t>列1694</t>
  </si>
  <si>
    <t>列1693</t>
  </si>
  <si>
    <t>列1692</t>
  </si>
  <si>
    <t>列170</t>
  </si>
  <si>
    <t>列1704</t>
  </si>
  <si>
    <t>列1703</t>
  </si>
  <si>
    <t>列1702</t>
  </si>
  <si>
    <t>列171</t>
  </si>
  <si>
    <t>自动化脚本生产率(个/人天)</t>
  </si>
  <si>
    <t>移植自动化脚本生产率(个/人天)</t>
  </si>
  <si>
    <t>自动化脚本检视缺陷密度（个/每个）</t>
  </si>
  <si>
    <t>自动化脚本与用例忠实度（%）</t>
  </si>
  <si>
    <t>（TICC）全量脚本通过率（%）</t>
  </si>
  <si>
    <t>网上问题/交付使用后发现的问题数</t>
  </si>
  <si>
    <t>2015H1（无线、网络、SPO、企业IT）</t>
  </si>
  <si>
    <t>2015H2PCB(网络、企业IT）</t>
  </si>
  <si>
    <t>2016H1 (SPO)</t>
  </si>
  <si>
    <t>2016H1 (网络，测试执行类)</t>
  </si>
  <si>
    <t>2016H1 (企业IT)</t>
  </si>
  <si>
    <t>列116</t>
  </si>
  <si>
    <t>列115</t>
  </si>
  <si>
    <t>列114</t>
  </si>
  <si>
    <t>列113</t>
  </si>
  <si>
    <t>列112</t>
  </si>
  <si>
    <t>列1125</t>
  </si>
  <si>
    <t>列1124</t>
  </si>
  <si>
    <t>列1123</t>
  </si>
  <si>
    <t>列1122</t>
  </si>
  <si>
    <t>列11225</t>
  </si>
  <si>
    <t>列11224</t>
  </si>
  <si>
    <t>列11223</t>
  </si>
  <si>
    <t>列11222</t>
  </si>
  <si>
    <t>列112225</t>
  </si>
  <si>
    <t>列112224</t>
  </si>
  <si>
    <t>列112223</t>
  </si>
  <si>
    <t>列112222</t>
  </si>
  <si>
    <t>方案设计效率（页/人天）</t>
  </si>
  <si>
    <t>自动化测试用例执行效率(个/人天)</t>
  </si>
  <si>
    <t>手动用例设计效率(个/人天)</t>
  </si>
  <si>
    <t>手动测试用例执行效率(个/人天)</t>
  </si>
  <si>
    <t>测试用例评审缺陷密度（个/个）</t>
  </si>
  <si>
    <t>自动化用例比例(%)</t>
  </si>
  <si>
    <t>自动化用例连跑通过率（%）</t>
  </si>
  <si>
    <t>2014 H2 (核心网)</t>
  </si>
  <si>
    <t>2014 H2 (无线)</t>
  </si>
  <si>
    <t>2016H1（SPO）</t>
  </si>
  <si>
    <t>客户投诉（邮件、电话、email等）次数（次）</t>
  </si>
  <si>
    <t>输出案例率（%）</t>
  </si>
  <si>
    <t>列172</t>
  </si>
  <si>
    <t>列16822</t>
  </si>
  <si>
    <t>列16823</t>
  </si>
  <si>
    <t>列16824</t>
  </si>
  <si>
    <t>列16825</t>
  </si>
  <si>
    <t>2016H2</t>
    <phoneticPr fontId="26" type="noConversion"/>
  </si>
  <si>
    <t>列168224</t>
  </si>
  <si>
    <t>2016H1</t>
    <phoneticPr fontId="26" type="noConversion"/>
  </si>
  <si>
    <t>CI脚本通过率(%)</t>
  </si>
  <si>
    <t>网上问题解决率（%）</t>
  </si>
  <si>
    <t>网上问题处理时长(人天/个)</t>
  </si>
  <si>
    <t>列1682243</t>
  </si>
  <si>
    <t>2017H1</t>
  </si>
  <si>
    <t>列1712</t>
  </si>
  <si>
    <t>列1713</t>
  </si>
  <si>
    <t>列17122</t>
  </si>
  <si>
    <t>进度偏移(%)</t>
  </si>
  <si>
    <t>脚本实现率（%）</t>
  </si>
  <si>
    <t>脚本覆盖率（%）</t>
  </si>
  <si>
    <t>自动化脚本检视率（%）</t>
  </si>
  <si>
    <t>已回溯问题数</t>
  </si>
  <si>
    <t>问题回溯率(%)</t>
  </si>
  <si>
    <t>2017H1(软件产品线、云核心网、企业IT、网络)</t>
  </si>
  <si>
    <t>列1122222</t>
  </si>
  <si>
    <t>列1122223</t>
  </si>
  <si>
    <t>列1122224</t>
  </si>
  <si>
    <t>列1122225</t>
  </si>
  <si>
    <t>2017H1（软件产品线、云核心网、云服务、终端、企业IT、网络）</t>
  </si>
  <si>
    <t>现网问题定位时长超过7个自然日的个数</t>
  </si>
  <si>
    <t>问题单解决率（补丁版本）(%)</t>
  </si>
  <si>
    <t>问题单处理时长（补丁版本）(人天/个)</t>
  </si>
  <si>
    <t>支撑局点效率(人天/个)</t>
  </si>
  <si>
    <t>质量问题平均定位时长（自然日）</t>
  </si>
  <si>
    <t>非质量问题平均定位时长（自然日）</t>
  </si>
  <si>
    <t>网上问题处理无安全违规（个）</t>
  </si>
  <si>
    <t>重大紧急问题恢复时长（分钟）</t>
  </si>
  <si>
    <t>2017H1（软件产品线）</t>
  </si>
  <si>
    <t>需求质量</t>
    <phoneticPr fontId="3" type="noConversion"/>
  </si>
  <si>
    <t>开发质量</t>
    <phoneticPr fontId="3" type="noConversion"/>
  </si>
  <si>
    <t>测试用例设计效率（用例/人天）</t>
    <phoneticPr fontId="3" type="noConversion"/>
  </si>
  <si>
    <t>进度偏差(%)</t>
    <phoneticPr fontId="2" type="noConversion"/>
  </si>
  <si>
    <t>测试用例执行效率（用例/人天）</t>
    <phoneticPr fontId="3" type="noConversion"/>
  </si>
  <si>
    <t>规模偏差(%)</t>
    <phoneticPr fontId="3" type="noConversion"/>
  </si>
  <si>
    <t>项目需求稳定度(%)</t>
    <phoneticPr fontId="3" type="noConversion"/>
  </si>
  <si>
    <t>代码评审缺陷率(个/KLOC)</t>
    <phoneticPr fontId="3" type="noConversion"/>
  </si>
  <si>
    <t>阶段验收</t>
    <phoneticPr fontId="3" type="noConversion"/>
  </si>
  <si>
    <t>发布质量</t>
    <phoneticPr fontId="3" type="noConversion"/>
  </si>
  <si>
    <t>ICP-平均圈复杂度(个)</t>
    <phoneticPr fontId="3" type="noConversion"/>
  </si>
  <si>
    <t>效率</t>
    <phoneticPr fontId="3" type="noConversion"/>
  </si>
  <si>
    <t>规格评审缺陷密度(个/页)</t>
    <phoneticPr fontId="3" type="noConversion"/>
  </si>
  <si>
    <t>测试质量</t>
    <phoneticPr fontId="3" type="noConversion"/>
  </si>
  <si>
    <t>测试方案评审缺陷密度(个/页)</t>
    <phoneticPr fontId="3" type="noConversion"/>
  </si>
  <si>
    <t>测试用例评审缺陷密度(个/个)</t>
    <phoneticPr fontId="3" type="noConversion"/>
  </si>
  <si>
    <t>资料质量</t>
    <phoneticPr fontId="3" type="noConversion"/>
  </si>
  <si>
    <t>阶段验收-代码验收缺陷密度(个/KLOC)</t>
    <phoneticPr fontId="2" type="noConversion"/>
  </si>
  <si>
    <t>CI构建成功率(%)</t>
    <phoneticPr fontId="2" type="noConversion"/>
  </si>
  <si>
    <t>解决方案验证周期（周）</t>
    <phoneticPr fontId="2" type="noConversion"/>
  </si>
  <si>
    <t>持续集成</t>
    <phoneticPr fontId="3" type="noConversion"/>
  </si>
  <si>
    <t>Coverity高、中告警数(CodeCC)</t>
    <phoneticPr fontId="2" type="noConversion"/>
  </si>
  <si>
    <t>Fortify高、中告警数(CodeCC)</t>
    <phoneticPr fontId="2" type="noConversion"/>
  </si>
  <si>
    <t>测试生产率(LOC/人天)</t>
    <phoneticPr fontId="3" type="noConversion"/>
  </si>
  <si>
    <t>阶段验收-需求验收缺陷密度(个/页)</t>
    <phoneticPr fontId="2" type="noConversion"/>
  </si>
  <si>
    <t>华为投入比例(%)</t>
    <phoneticPr fontId="3" type="noConversion"/>
  </si>
  <si>
    <t>测试用例密度(个/KLOC)</t>
    <phoneticPr fontId="3" type="noConversion"/>
  </si>
  <si>
    <t>SDV测试缺陷密度（个/KLOC）</t>
    <phoneticPr fontId="3" type="noConversion"/>
  </si>
  <si>
    <t>列16822254</t>
  </si>
  <si>
    <t>2017H2</t>
  </si>
  <si>
    <t>网络安全遗留问题数（个）</t>
    <phoneticPr fontId="2" type="noConversion"/>
  </si>
  <si>
    <t>Metrics 度量</t>
    <phoneticPr fontId="3" type="noConversion"/>
  </si>
  <si>
    <t>Story/特性开发效率(个/人天)TR2-TR4（转测试）</t>
    <phoneticPr fontId="3" type="noConversion"/>
  </si>
  <si>
    <t>资料生产率(页/人天)</t>
    <phoneticPr fontId="3" type="noConversion"/>
  </si>
  <si>
    <t>需求评审缺陷密度(个/页)</t>
    <phoneticPr fontId="3" type="noConversion"/>
  </si>
  <si>
    <t>开发者测试缺陷密度(个/KLOC)</t>
    <phoneticPr fontId="3" type="noConversion"/>
  </si>
  <si>
    <t>问题单回归不通过个数（个）</t>
    <phoneticPr fontId="3" type="noConversion"/>
  </si>
  <si>
    <t>转测试不通过次数（次）</t>
    <phoneticPr fontId="3" type="noConversion"/>
  </si>
  <si>
    <t>自动化用例比例（%）</t>
    <phoneticPr fontId="3" type="noConversion"/>
  </si>
  <si>
    <t>资料评审缺陷密度(个/页)</t>
    <phoneticPr fontId="2" type="noConversion"/>
  </si>
  <si>
    <t>版本发布遗留DI值（DI值）</t>
    <phoneticPr fontId="3" type="noConversion"/>
  </si>
  <si>
    <t>构建质量</t>
    <phoneticPr fontId="3" type="noConversion"/>
  </si>
  <si>
    <t>全量功能验证周期（天）</t>
    <phoneticPr fontId="2" type="noConversion"/>
  </si>
  <si>
    <t>特性交付周期CycleTime(月)</t>
    <phoneticPr fontId="2" type="noConversion"/>
  </si>
  <si>
    <t>ICP-代码重复率(%)</t>
    <phoneticPr fontId="3" type="noConversion"/>
  </si>
  <si>
    <t>列173</t>
  </si>
  <si>
    <t>列1722</t>
  </si>
  <si>
    <t>列1723</t>
  </si>
  <si>
    <t>列1724</t>
  </si>
  <si>
    <t>2017H2(软件产品线、云核心网、企业IT、网络)</t>
  </si>
  <si>
    <t>列11222225</t>
  </si>
  <si>
    <t>列11222226</t>
  </si>
  <si>
    <t>列11222227</t>
  </si>
  <si>
    <t>列11222228</t>
  </si>
  <si>
    <t>2017H2（软件产品线、云核心网、云服务、终端、企业IT、网络）</t>
  </si>
  <si>
    <t>2017年H2</t>
  </si>
  <si>
    <t>Story/特性开发效率(个/人天)TR2-TR4（转测试）</t>
    <phoneticPr fontId="5" type="noConversion"/>
  </si>
  <si>
    <t>效率</t>
    <phoneticPr fontId="5" type="noConversion"/>
  </si>
  <si>
    <t>软件开发生产率(Loc/人天)TR2-TR4A（发布前）</t>
    <phoneticPr fontId="5" type="noConversion"/>
  </si>
  <si>
    <t>标准差</t>
    <phoneticPr fontId="5" type="noConversion"/>
  </si>
  <si>
    <t>上限</t>
    <phoneticPr fontId="5" type="noConversion"/>
  </si>
  <si>
    <t>下限</t>
    <phoneticPr fontId="5" type="noConversion"/>
  </si>
  <si>
    <t>Story/特性开发效率(个/人天)TR2-TR4A（发布前）</t>
    <phoneticPr fontId="5" type="noConversion"/>
  </si>
  <si>
    <t>测试用例执行效率（用例/人天）</t>
    <phoneticPr fontId="5" type="noConversion"/>
  </si>
  <si>
    <t>测试生产率(LOC/人天)</t>
    <phoneticPr fontId="5" type="noConversion"/>
  </si>
  <si>
    <t>资料生产率(页/人天)</t>
    <phoneticPr fontId="5" type="noConversion"/>
  </si>
  <si>
    <t>华为投入比例(%)</t>
    <phoneticPr fontId="5" type="noConversion"/>
  </si>
  <si>
    <t>规模偏差(%)</t>
    <phoneticPr fontId="5" type="noConversion"/>
  </si>
  <si>
    <t>需求质量</t>
    <phoneticPr fontId="5" type="noConversion"/>
  </si>
  <si>
    <t>项目需求稳定度(%)</t>
    <phoneticPr fontId="5" type="noConversion"/>
  </si>
  <si>
    <t>规格评审缺陷密度(个/页)</t>
    <phoneticPr fontId="5" type="noConversion"/>
  </si>
  <si>
    <t>需求评审缺陷密度(个/页)</t>
    <phoneticPr fontId="5" type="noConversion"/>
  </si>
  <si>
    <t>开发质量</t>
    <phoneticPr fontId="5" type="noConversion"/>
  </si>
  <si>
    <t>开发者测试缺陷密度(个/KLOC)</t>
    <phoneticPr fontId="5" type="noConversion"/>
  </si>
  <si>
    <t>问题单回归不通过个数（个）</t>
    <phoneticPr fontId="5" type="noConversion"/>
  </si>
  <si>
    <t>转测试不通过次数（次）</t>
    <phoneticPr fontId="5" type="noConversion"/>
  </si>
  <si>
    <t>测试质量</t>
    <phoneticPr fontId="5" type="noConversion"/>
  </si>
  <si>
    <t>测试方案评审缺陷密度(个/页)</t>
    <phoneticPr fontId="5" type="noConversion"/>
  </si>
  <si>
    <t>测试用例评审缺陷密度(个/个)</t>
    <phoneticPr fontId="5" type="noConversion"/>
  </si>
  <si>
    <t>测试用例密度(个/KLOC)</t>
    <phoneticPr fontId="5" type="noConversion"/>
  </si>
  <si>
    <t>自动化用例比例（%）</t>
    <phoneticPr fontId="5" type="noConversion"/>
  </si>
  <si>
    <t>SDV测试缺陷密度（个/KLOC）</t>
    <phoneticPr fontId="5" type="noConversion"/>
  </si>
  <si>
    <t>资料质量</t>
    <phoneticPr fontId="5" type="noConversion"/>
  </si>
  <si>
    <t>资料评审缺陷密度(个/页)</t>
    <phoneticPr fontId="31" type="noConversion"/>
  </si>
  <si>
    <t>阶段验收</t>
    <phoneticPr fontId="5" type="noConversion"/>
  </si>
  <si>
    <t>阶段验收-需求验收缺陷密度(个/页)</t>
    <phoneticPr fontId="31" type="noConversion"/>
  </si>
  <si>
    <t>阶段验收-代码验收缺陷密度(个/KLOC)</t>
    <phoneticPr fontId="31" type="noConversion"/>
  </si>
  <si>
    <t>发布质量</t>
    <phoneticPr fontId="5" type="noConversion"/>
  </si>
  <si>
    <t>版本发布遗留DI值（DI值）</t>
    <phoneticPr fontId="5" type="noConversion"/>
  </si>
  <si>
    <t>网络安全遗留问题数（个）</t>
    <phoneticPr fontId="31" type="noConversion"/>
  </si>
  <si>
    <t>构建质量</t>
    <phoneticPr fontId="5" type="noConversion"/>
  </si>
  <si>
    <t>CI构建成功率(%)</t>
    <phoneticPr fontId="31" type="noConversion"/>
  </si>
  <si>
    <t>个人构建平均时长（分钟）</t>
    <phoneticPr fontId="31" type="noConversion"/>
  </si>
  <si>
    <t>项目构建时长(分钟)</t>
    <phoneticPr fontId="31" type="noConversion"/>
  </si>
  <si>
    <t>全量自动化回归验证周期（小时）</t>
    <phoneticPr fontId="31" type="noConversion"/>
  </si>
  <si>
    <t>全量功能验证周期（天）</t>
    <phoneticPr fontId="31" type="noConversion"/>
  </si>
  <si>
    <t>解决方案验证周期（周）</t>
    <phoneticPr fontId="31" type="noConversion"/>
  </si>
  <si>
    <t>特性交付周期CycleTime(月)</t>
    <phoneticPr fontId="31" type="noConversion"/>
  </si>
  <si>
    <t>持续集成</t>
    <phoneticPr fontId="5" type="noConversion"/>
  </si>
  <si>
    <t>ICP-静态检查告警数(个)</t>
    <phoneticPr fontId="5" type="noConversion"/>
  </si>
  <si>
    <t>ICP-平均圈复杂度(个)</t>
    <phoneticPr fontId="5" type="noConversion"/>
  </si>
  <si>
    <t>ICP-代码重复率(%)</t>
    <phoneticPr fontId="5" type="noConversion"/>
  </si>
  <si>
    <t>Coverity高、中告警数(CodeCC)</t>
    <phoneticPr fontId="31" type="noConversion"/>
  </si>
  <si>
    <t>Fortify高、中告警数(CodeCC)</t>
    <phoneticPr fontId="31" type="noConversion"/>
  </si>
  <si>
    <t>代码设计(Infusion检查)QDI</t>
    <phoneticPr fontId="31" type="noConversion"/>
  </si>
  <si>
    <t>代码评审缺陷率(个/KLOC)</t>
    <phoneticPr fontId="5" type="noConversion"/>
  </si>
  <si>
    <t>SDV测试缺陷密度（个/KLOC）</t>
    <phoneticPr fontId="5" type="noConversion"/>
  </si>
  <si>
    <t>方案设计效率（页/人天）</t>
    <phoneticPr fontId="5" type="noConversion"/>
  </si>
  <si>
    <t>自动化测试用例生产率(个/人天)</t>
    <phoneticPr fontId="5" type="noConversion"/>
  </si>
  <si>
    <t>手动用例设计效率(个/人天)</t>
    <phoneticPr fontId="5" type="noConversion"/>
  </si>
  <si>
    <t>手动测试用例执行效率(个/人天)</t>
    <phoneticPr fontId="5" type="noConversion"/>
  </si>
  <si>
    <t>测试用例密度（个/KLOC）</t>
    <phoneticPr fontId="5" type="noConversion"/>
  </si>
  <si>
    <t>首轮测试问题收敛比（%）</t>
    <phoneticPr fontId="5" type="noConversion"/>
  </si>
  <si>
    <t>漏测率(%)</t>
    <phoneticPr fontId="5" type="noConversion"/>
  </si>
  <si>
    <t>用例发现的问题占比（%）</t>
    <phoneticPr fontId="5" type="noConversion"/>
  </si>
  <si>
    <t>自动化用例连跑通过率（%）</t>
    <phoneticPr fontId="5" type="noConversion"/>
  </si>
  <si>
    <t>测试轮次（次）</t>
    <phoneticPr fontId="5" type="noConversion"/>
  </si>
  <si>
    <t>样本点</t>
    <phoneticPr fontId="5" type="noConversion"/>
  </si>
  <si>
    <t>平均值</t>
    <phoneticPr fontId="5" type="noConversion"/>
  </si>
  <si>
    <t>自动化用例比例(%)</t>
    <phoneticPr fontId="5" type="noConversion"/>
  </si>
  <si>
    <t>个人构建平均时长（分钟）</t>
  </si>
  <si>
    <t>项目构建时长(分钟)</t>
  </si>
  <si>
    <t>全量自动化回归验证周期（小时）</t>
  </si>
  <si>
    <t>ICP-静态检查告警数(个)</t>
  </si>
  <si>
    <t>代码设计(Infusion检查)QDI</t>
  </si>
  <si>
    <t>上限</t>
    <phoneticPr fontId="5" type="noConversion"/>
  </si>
  <si>
    <t>测试用例设计效率（用例/人天）</t>
    <phoneticPr fontId="5" type="noConversion"/>
  </si>
  <si>
    <t>软件开发生产率(Loc/人天)TR2-TR4（转测试）(JAVA)</t>
    <phoneticPr fontId="31" type="noConversion"/>
  </si>
  <si>
    <t>软件开发生产率(Loc/人天)TR2-TR4A（发布前）（Python)</t>
    <phoneticPr fontId="31" type="noConversion"/>
  </si>
  <si>
    <t>软件开发生产率(Loc/人天)TR2-TR4（转测试）(Python)</t>
    <phoneticPr fontId="31" type="noConversion"/>
  </si>
  <si>
    <t>软件开发生产率(Loc/人天)TR2-TR4（转测试）</t>
    <phoneticPr fontId="5" type="noConversion"/>
  </si>
  <si>
    <t>用例发现的问题占比（%）</t>
  </si>
  <si>
    <t>漏测率(%)</t>
  </si>
  <si>
    <t>自动化率</t>
  </si>
  <si>
    <t>软件验收</t>
    <phoneticPr fontId="5" type="noConversion"/>
  </si>
  <si>
    <t>验收缺陷密度</t>
    <phoneticPr fontId="5" type="noConversion"/>
  </si>
  <si>
    <t>SIT测试缺陷密度（个/KLOC）</t>
    <phoneticPr fontId="5" type="noConversion"/>
  </si>
  <si>
    <t>样本点</t>
    <phoneticPr fontId="26" type="noConversion"/>
  </si>
  <si>
    <t>Metrics 度量</t>
    <phoneticPr fontId="5" type="noConversion"/>
  </si>
  <si>
    <t>样本点</t>
    <phoneticPr fontId="5" type="noConversion"/>
  </si>
  <si>
    <t>平均值</t>
    <phoneticPr fontId="5" type="noConversion"/>
  </si>
  <si>
    <t>标准差</t>
    <phoneticPr fontId="5" type="noConversion"/>
  </si>
  <si>
    <t>上限</t>
    <phoneticPr fontId="5" type="noConversion"/>
  </si>
  <si>
    <t>下限</t>
    <phoneticPr fontId="5" type="noConversion"/>
  </si>
  <si>
    <t>效率</t>
    <phoneticPr fontId="5" type="noConversion"/>
  </si>
  <si>
    <t>软件开发生产率(Loc/人天)TR2-TR4A（发布前）</t>
    <phoneticPr fontId="5" type="noConversion"/>
  </si>
  <si>
    <t>测试用例设计效率（用例/人天）</t>
    <phoneticPr fontId="5" type="noConversion"/>
  </si>
  <si>
    <t>测试用例执行效率（用例/人天）</t>
    <phoneticPr fontId="5" type="noConversion"/>
  </si>
  <si>
    <t>测试生产率(LOC/人天)</t>
    <phoneticPr fontId="5" type="noConversion"/>
  </si>
  <si>
    <t>资料生产率(页/人天)</t>
    <phoneticPr fontId="5" type="noConversion"/>
  </si>
  <si>
    <t>华为投入比例(%)</t>
    <phoneticPr fontId="5" type="noConversion"/>
  </si>
  <si>
    <t>进度偏差(%)</t>
    <phoneticPr fontId="31" type="noConversion"/>
  </si>
  <si>
    <t>样本点</t>
    <phoneticPr fontId="5" type="noConversion"/>
  </si>
  <si>
    <t>平均值</t>
    <phoneticPr fontId="5" type="noConversion"/>
  </si>
  <si>
    <t>标准差</t>
    <phoneticPr fontId="5" type="noConversion"/>
  </si>
  <si>
    <t>上限</t>
    <phoneticPr fontId="5" type="noConversion"/>
  </si>
  <si>
    <t>下限</t>
    <phoneticPr fontId="5" type="noConversion"/>
  </si>
  <si>
    <t>Story/特性开发效率(个/人天)TR2-TR4A（发布前）</t>
    <phoneticPr fontId="5" type="noConversion"/>
  </si>
  <si>
    <t>Story/特性开发效率(个/人天)TR2-TR4（转测试）</t>
    <phoneticPr fontId="5" type="noConversion"/>
  </si>
  <si>
    <t>标准差</t>
    <phoneticPr fontId="26" type="noConversion"/>
  </si>
  <si>
    <t>基线值</t>
    <phoneticPr fontId="26" type="noConversion"/>
  </si>
  <si>
    <t>年度PCB（2018）</t>
    <phoneticPr fontId="26" type="noConversion"/>
  </si>
  <si>
    <t>BES</t>
    <phoneticPr fontId="26" type="noConversion"/>
  </si>
  <si>
    <t>BPIT</t>
    <phoneticPr fontId="26" type="noConversion"/>
  </si>
  <si>
    <t>公共开发部</t>
    <phoneticPr fontId="26" type="noConversion"/>
  </si>
  <si>
    <t>海思</t>
    <phoneticPr fontId="26" type="noConversion"/>
  </si>
  <si>
    <t>终端芯片</t>
    <phoneticPr fontId="26" type="noConversion"/>
  </si>
  <si>
    <t>企业IT</t>
    <phoneticPr fontId="26" type="noConversion"/>
  </si>
  <si>
    <t>网络</t>
    <phoneticPr fontId="26" type="noConversion"/>
  </si>
  <si>
    <t>网络能源</t>
    <phoneticPr fontId="26" type="noConversion"/>
  </si>
  <si>
    <t>无线</t>
    <phoneticPr fontId="26" type="noConversion"/>
  </si>
  <si>
    <t>消费者硬工</t>
    <phoneticPr fontId="26" type="noConversion"/>
  </si>
  <si>
    <t>消费者云服务</t>
    <phoneticPr fontId="26" type="noConversion"/>
  </si>
  <si>
    <t>云核</t>
    <phoneticPr fontId="26" type="noConversion"/>
  </si>
  <si>
    <t>云BU</t>
    <phoneticPr fontId="26" type="noConversion"/>
  </si>
  <si>
    <t>软件开发生产率(Loc/人天)TR2-TR4（转测试）</t>
    <phoneticPr fontId="3" type="noConversion"/>
  </si>
  <si>
    <t>代码设计(Infusion检查)QDI</t>
    <phoneticPr fontId="31" type="noConversion"/>
  </si>
  <si>
    <t>软件开发生产率(Loc/人天)TR2-TR4A（发布前）</t>
    <phoneticPr fontId="3" type="noConversion"/>
  </si>
  <si>
    <t>Story/特性开发效率(个/人天)TR2-TR4A（发布前）</t>
    <phoneticPr fontId="3" type="noConversion"/>
  </si>
  <si>
    <t>个人构建平均时长（分钟）</t>
    <phoneticPr fontId="2" type="noConversion"/>
  </si>
  <si>
    <t>项目构建时长(分钟)</t>
    <phoneticPr fontId="2" type="noConversion"/>
  </si>
  <si>
    <t>全量自动化回归验证周期（小时）</t>
    <phoneticPr fontId="2" type="noConversion"/>
  </si>
  <si>
    <t>代码设计(Infusion检查)QDI</t>
    <phoneticPr fontId="2" type="noConversion"/>
  </si>
  <si>
    <t>ICP-静态检查告警数(个)</t>
    <phoneticPr fontId="3" type="noConversion"/>
  </si>
  <si>
    <t>自动化测试用例生产率(个/人天)</t>
    <phoneticPr fontId="26" type="noConversion"/>
  </si>
  <si>
    <t>测试用例密度（个/KLOC）</t>
    <phoneticPr fontId="26" type="noConversion"/>
  </si>
  <si>
    <t>用例发现的问题占比（%）</t>
    <phoneticPr fontId="26" type="noConversion"/>
  </si>
  <si>
    <t>测试轮次（次）</t>
    <phoneticPr fontId="26" type="noConversion"/>
  </si>
  <si>
    <t>漏测率(%)</t>
    <phoneticPr fontId="26" type="noConversion"/>
  </si>
  <si>
    <t>首轮测试问题收敛比（%）</t>
    <phoneticPr fontId="26" type="noConversion"/>
  </si>
  <si>
    <t>华为投入比例(%)</t>
    <phoneticPr fontId="26" type="noConversion"/>
  </si>
  <si>
    <t>研发效率</t>
    <phoneticPr fontId="26" type="noConversion"/>
  </si>
  <si>
    <t>2019年质量目标</t>
    <phoneticPr fontId="26" type="noConversion"/>
  </si>
  <si>
    <t>目标值</t>
    <phoneticPr fontId="26" type="noConversion"/>
  </si>
  <si>
    <t>下限</t>
    <phoneticPr fontId="26" type="noConversion"/>
  </si>
  <si>
    <t>上限</t>
    <phoneticPr fontId="26" type="noConversion"/>
  </si>
  <si>
    <t>列20</t>
    <phoneticPr fontId="26" type="noConversion"/>
  </si>
  <si>
    <t>列21</t>
    <phoneticPr fontId="26" type="noConversion"/>
  </si>
  <si>
    <t>列22</t>
    <phoneticPr fontId="26" type="noConversion"/>
  </si>
  <si>
    <t>Metrics 度量项</t>
    <phoneticPr fontId="26" type="noConversion"/>
  </si>
  <si>
    <t>Metrics 度量项</t>
    <phoneticPr fontId="26" type="noConversion"/>
  </si>
  <si>
    <t>Metrics 度量项</t>
    <phoneticPr fontId="26" type="noConversion"/>
  </si>
  <si>
    <t>ICP-静态检查告警数(个)</t>
    <phoneticPr fontId="26" type="noConversion"/>
  </si>
  <si>
    <t>代码设计(Infusion检查)QDI</t>
    <phoneticPr fontId="26" type="noConversion"/>
  </si>
  <si>
    <t>个人构建平均时长（分钟）</t>
    <phoneticPr fontId="26" type="noConversion"/>
  </si>
  <si>
    <t>项目构建时长(分钟)</t>
    <phoneticPr fontId="26" type="noConversion"/>
  </si>
  <si>
    <t>全量自动化回归验证周期（小时）</t>
    <phoneticPr fontId="26" type="noConversion"/>
  </si>
  <si>
    <t>筛选</t>
    <phoneticPr fontId="26" type="noConversion"/>
  </si>
  <si>
    <t>是</t>
    <phoneticPr fontId="26" type="noConversion"/>
  </si>
  <si>
    <t>列23</t>
    <phoneticPr fontId="26" type="noConversion"/>
  </si>
  <si>
    <t>是</t>
    <phoneticPr fontId="26" type="noConversion"/>
  </si>
  <si>
    <t>筛选</t>
    <phoneticPr fontId="26" type="noConversion"/>
  </si>
  <si>
    <t>是</t>
    <phoneticPr fontId="26" type="noConversion"/>
  </si>
  <si>
    <t>是</t>
    <phoneticPr fontId="26" type="noConversion"/>
  </si>
  <si>
    <t>是</t>
    <phoneticPr fontId="26" type="noConversion"/>
  </si>
  <si>
    <t>趋势</t>
    <phoneticPr fontId="26" type="noConversion"/>
  </si>
  <si>
    <t>列24</t>
    <phoneticPr fontId="26" type="noConversion"/>
  </si>
  <si>
    <t>列16822255</t>
  </si>
  <si>
    <t>2017年度</t>
    <phoneticPr fontId="26" type="noConversion"/>
  </si>
  <si>
    <t>年度PCB（2017）</t>
    <phoneticPr fontId="26" type="noConversion"/>
  </si>
  <si>
    <t>列174</t>
    <phoneticPr fontId="26" type="noConversion"/>
  </si>
  <si>
    <t>列112222252</t>
  </si>
  <si>
    <t>基线值</t>
    <phoneticPr fontId="26" type="noConversion"/>
  </si>
  <si>
    <t>列1122226</t>
  </si>
  <si>
    <t>年度PCB（2016）</t>
    <phoneticPr fontId="26" type="noConversion"/>
  </si>
  <si>
    <t>列1714</t>
  </si>
  <si>
    <t>年度2016</t>
    <phoneticPr fontId="26" type="noConversion"/>
  </si>
  <si>
    <t>2018年度</t>
    <phoneticPr fontId="26" type="noConversion"/>
  </si>
  <si>
    <t>2016年度</t>
    <phoneticPr fontId="26" type="noConversion"/>
  </si>
  <si>
    <r>
      <rPr>
        <b/>
        <sz val="10"/>
        <color rgb="FF000000"/>
        <rFont val="微软雅黑"/>
        <family val="2"/>
        <charset val="134"/>
      </rPr>
      <t>度量分类</t>
    </r>
  </si>
  <si>
    <r>
      <rPr>
        <b/>
        <sz val="10"/>
        <color rgb="FF000000"/>
        <rFont val="微软雅黑"/>
        <family val="2"/>
        <charset val="134"/>
      </rPr>
      <t>指标项</t>
    </r>
  </si>
  <si>
    <r>
      <t>2016</t>
    </r>
    <r>
      <rPr>
        <b/>
        <sz val="10"/>
        <color rgb="FF000000"/>
        <rFont val="微软雅黑"/>
        <family val="2"/>
        <charset val="134"/>
      </rPr>
      <t>年基线</t>
    </r>
    <phoneticPr fontId="26" type="noConversion"/>
  </si>
  <si>
    <r>
      <t>2017</t>
    </r>
    <r>
      <rPr>
        <b/>
        <sz val="10"/>
        <color rgb="FF000000"/>
        <rFont val="微软雅黑"/>
        <family val="2"/>
        <charset val="134"/>
      </rPr>
      <t>年基线</t>
    </r>
    <phoneticPr fontId="26" type="noConversion"/>
  </si>
  <si>
    <r>
      <t>2018</t>
    </r>
    <r>
      <rPr>
        <b/>
        <sz val="10"/>
        <color rgb="FF000000"/>
        <rFont val="微软雅黑"/>
        <family val="2"/>
        <charset val="134"/>
      </rPr>
      <t>年基线</t>
    </r>
    <phoneticPr fontId="26" type="noConversion"/>
  </si>
  <si>
    <r>
      <rPr>
        <sz val="10"/>
        <color theme="1"/>
        <rFont val="微软雅黑"/>
        <family val="2"/>
        <charset val="134"/>
      </rPr>
      <t>研发效率</t>
    </r>
    <phoneticPr fontId="26" type="noConversion"/>
  </si>
  <si>
    <r>
      <rPr>
        <sz val="10"/>
        <color theme="1"/>
        <rFont val="微软雅黑"/>
        <family val="2"/>
        <charset val="134"/>
      </rPr>
      <t>研发效率</t>
    </r>
    <phoneticPr fontId="26" type="noConversion"/>
  </si>
  <si>
    <r>
      <t>(JAVA)</t>
    </r>
    <r>
      <rPr>
        <sz val="10"/>
        <color rgb="FF000000"/>
        <rFont val="微软雅黑"/>
        <family val="2"/>
        <charset val="134"/>
      </rPr>
      <t>软件开发生产率</t>
    </r>
    <r>
      <rPr>
        <sz val="10"/>
        <color rgb="FF000000"/>
        <rFont val="Arial"/>
        <family val="2"/>
      </rPr>
      <t>(Loc/</t>
    </r>
    <r>
      <rPr>
        <sz val="10"/>
        <color rgb="FF000000"/>
        <rFont val="微软雅黑"/>
        <family val="2"/>
        <charset val="134"/>
      </rPr>
      <t>人天</t>
    </r>
    <r>
      <rPr>
        <sz val="10"/>
        <color rgb="FF000000"/>
        <rFont val="Arial"/>
        <family val="2"/>
      </rPr>
      <t>)TR2-TR5</t>
    </r>
  </si>
  <si>
    <r>
      <t>(C/C++)</t>
    </r>
    <r>
      <rPr>
        <sz val="10"/>
        <color rgb="FF000000"/>
        <rFont val="微软雅黑"/>
        <family val="2"/>
        <charset val="134"/>
      </rPr>
      <t>软件开发生产率</t>
    </r>
    <r>
      <rPr>
        <sz val="10"/>
        <color rgb="FF000000"/>
        <rFont val="Arial"/>
        <family val="2"/>
      </rPr>
      <t>(Loc/</t>
    </r>
    <r>
      <rPr>
        <sz val="10"/>
        <color rgb="FF000000"/>
        <rFont val="微软雅黑"/>
        <family val="2"/>
        <charset val="134"/>
      </rPr>
      <t>人天</t>
    </r>
    <r>
      <rPr>
        <sz val="10"/>
        <color rgb="FF000000"/>
        <rFont val="Arial"/>
        <family val="2"/>
      </rPr>
      <t>)TR2-TR5</t>
    </r>
  </si>
  <si>
    <r>
      <t>Story</t>
    </r>
    <r>
      <rPr>
        <sz val="10"/>
        <color rgb="FF000000"/>
        <rFont val="微软雅黑"/>
        <family val="2"/>
        <charset val="134"/>
      </rPr>
      <t>生产率</t>
    </r>
    <r>
      <rPr>
        <sz val="10"/>
        <color rgb="FF000000"/>
        <rFont val="Arial"/>
        <family val="2"/>
      </rPr>
      <t>(</t>
    </r>
    <r>
      <rPr>
        <sz val="10"/>
        <color rgb="FF000000"/>
        <rFont val="微软雅黑"/>
        <family val="2"/>
        <charset val="134"/>
      </rPr>
      <t>个</t>
    </r>
    <r>
      <rPr>
        <sz val="10"/>
        <color rgb="FF000000"/>
        <rFont val="Arial"/>
        <family val="2"/>
      </rPr>
      <t>/</t>
    </r>
    <r>
      <rPr>
        <sz val="10"/>
        <color rgb="FF000000"/>
        <rFont val="微软雅黑"/>
        <family val="2"/>
        <charset val="134"/>
      </rPr>
      <t>人月</t>
    </r>
    <r>
      <rPr>
        <sz val="10"/>
        <color rgb="FF000000"/>
        <rFont val="Arial"/>
        <family val="2"/>
      </rPr>
      <t>)TR2-TR5</t>
    </r>
  </si>
  <si>
    <t>测试效率</t>
    <phoneticPr fontId="26" type="noConversion"/>
  </si>
  <si>
    <r>
      <t>网上问题解决率（</t>
    </r>
    <r>
      <rPr>
        <sz val="8"/>
        <color rgb="FF000000"/>
        <rFont val="Arial"/>
        <family val="2"/>
      </rPr>
      <t>%</t>
    </r>
    <r>
      <rPr>
        <sz val="8"/>
        <color rgb="FF000000"/>
        <rFont val="微软雅黑"/>
        <family val="2"/>
        <charset val="134"/>
      </rPr>
      <t>）</t>
    </r>
  </si>
  <si>
    <t>维护效率</t>
    <phoneticPr fontId="26" type="noConversion"/>
  </si>
  <si>
    <t>↑</t>
  </si>
  <si>
    <t>→</t>
  </si>
  <si>
    <t>自动化脚本开发效率</t>
    <phoneticPr fontId="26" type="noConversion"/>
  </si>
  <si>
    <t>↓</t>
  </si>
  <si>
    <t>工程能力</t>
  </si>
  <si>
    <t>自动化脚本质量</t>
    <phoneticPr fontId="26" type="noConversion"/>
  </si>
  <si>
    <t>维护质量</t>
    <phoneticPr fontId="26" type="noConversion"/>
  </si>
  <si>
    <r>
      <t>网上问题处理时长</t>
    </r>
    <r>
      <rPr>
        <sz val="8"/>
        <color rgb="FF000000"/>
        <rFont val="Arial"/>
        <family val="2"/>
      </rPr>
      <t>(</t>
    </r>
    <r>
      <rPr>
        <sz val="8"/>
        <color rgb="FF000000"/>
        <rFont val="微软雅黑"/>
        <family val="2"/>
        <charset val="134"/>
      </rPr>
      <t>人天</t>
    </r>
    <r>
      <rPr>
        <sz val="8"/>
        <color rgb="FF000000"/>
        <rFont val="Arial"/>
        <family val="2"/>
      </rPr>
      <t>/</t>
    </r>
    <r>
      <rPr>
        <sz val="8"/>
        <color rgb="FF000000"/>
        <rFont val="微软雅黑"/>
        <family val="2"/>
        <charset val="134"/>
      </rPr>
      <t>个</t>
    </r>
    <r>
      <rPr>
        <sz val="8"/>
        <color rgb="FF000000"/>
        <rFont val="Arial"/>
        <family val="2"/>
      </rPr>
      <t>)</t>
    </r>
  </si>
  <si>
    <t>测试执行质量</t>
    <phoneticPr fontId="26" type="noConversion"/>
  </si>
  <si>
    <t>Fortify告警数</t>
    <phoneticPr fontId="26" type="noConversion"/>
  </si>
  <si>
    <t>Coverity告警数</t>
    <phoneticPr fontId="26" type="noConversion"/>
  </si>
  <si>
    <t>Story生产率(个/人月)TR2-TR4</t>
    <phoneticPr fontId="26" type="noConversion"/>
  </si>
  <si>
    <t>PCB基线(2019H1)</t>
    <phoneticPr fontId="5" type="noConversion"/>
  </si>
  <si>
    <t>PCB基线(2019H2)</t>
    <phoneticPr fontId="5" type="noConversion"/>
  </si>
  <si>
    <t>PCB基线(2019年度)</t>
    <phoneticPr fontId="5" type="noConversion"/>
  </si>
  <si>
    <t>E2E生产率(Loc/人天)TR2-TR5</t>
    <phoneticPr fontId="5" type="noConversion"/>
  </si>
  <si>
    <t>自动化测试用例生产率(个/人天)</t>
  </si>
  <si>
    <t>测试用例密度（个/KLOC）</t>
  </si>
  <si>
    <t>首轮测试问题收敛比（%）</t>
  </si>
  <si>
    <t>测试轮次（次）</t>
  </si>
  <si>
    <t>效率</t>
    <phoneticPr fontId="5" type="noConversion"/>
  </si>
  <si>
    <t>软件开发生产率(Loc/人天)TR2-TR4A（发布前）（JAVA)</t>
    <phoneticPr fontId="31" type="noConversion"/>
  </si>
  <si>
    <t>版本周期（天）</t>
  </si>
  <si>
    <t>需求交付周期（天）</t>
  </si>
  <si>
    <t>需求变更率（%）</t>
  </si>
  <si>
    <t>版本测试阶段缺陷密度（DI/KLOC）</t>
  </si>
  <si>
    <t>回归不通过数（个）</t>
  </si>
  <si>
    <t>漏测问题（个）</t>
  </si>
  <si>
    <t>现网问题(个)</t>
  </si>
  <si>
    <t>变更失败次数（次）</t>
  </si>
  <si>
    <t>ST+SDV首轮发现问题DI占比</t>
  </si>
  <si>
    <t>缺陷平均关闭周期（天）</t>
  </si>
  <si>
    <t>自动化通过率（%）</t>
  </si>
  <si>
    <t>BU定制指标</t>
    <phoneticPr fontId="26" type="noConversion"/>
  </si>
  <si>
    <r>
      <t>软件开发生产率(Loc/人天)TR2-TR4（转测试）</t>
    </r>
    <r>
      <rPr>
        <sz val="9"/>
        <color rgb="FF00B0F0"/>
        <rFont val="宋体"/>
        <family val="3"/>
        <charset val="134"/>
      </rPr>
      <t>（已折算成C/C++）</t>
    </r>
    <phoneticPr fontId="5" type="noConversion"/>
  </si>
  <si>
    <r>
      <t>软件开发生产率(Loc/人天)TR2-TR4A（发布前）</t>
    </r>
    <r>
      <rPr>
        <sz val="9"/>
        <color rgb="FF00B0F0"/>
        <rFont val="宋体"/>
        <family val="3"/>
        <charset val="134"/>
      </rPr>
      <t>（已折算成C/C++）</t>
    </r>
    <phoneticPr fontId="5" type="noConversion"/>
  </si>
  <si>
    <t>方案设计效率（页/人天）</t>
    <phoneticPr fontId="5" type="noConversion"/>
  </si>
  <si>
    <t>自动化测试用例生产率(个/人天)</t>
    <phoneticPr fontId="5" type="noConversion"/>
  </si>
  <si>
    <t>手动用例设计效率(个/人天)</t>
    <phoneticPr fontId="5" type="noConversion"/>
  </si>
  <si>
    <t>手动测试用例执行效率(个/人天)</t>
    <phoneticPr fontId="5" type="noConversion"/>
  </si>
  <si>
    <t>华为投入比例(%)</t>
    <phoneticPr fontId="5" type="noConversion"/>
  </si>
  <si>
    <t>测试用例密度（个/KLOC）</t>
    <phoneticPr fontId="5" type="noConversion"/>
  </si>
  <si>
    <t>漏测问题数（个）</t>
    <phoneticPr fontId="5" type="noConversion"/>
  </si>
  <si>
    <r>
      <t>自动化用例连跑通过率（</t>
    </r>
    <r>
      <rPr>
        <sz val="9"/>
        <rFont val="Times New Roman"/>
        <family val="1"/>
      </rPr>
      <t>%</t>
    </r>
    <r>
      <rPr>
        <sz val="9"/>
        <rFont val="宋体"/>
        <family val="3"/>
        <charset val="134"/>
      </rPr>
      <t>）</t>
    </r>
    <phoneticPr fontId="5" type="noConversion"/>
  </si>
  <si>
    <t>年度PCB（2019）</t>
    <phoneticPr fontId="26" type="noConversion"/>
  </si>
  <si>
    <t>测试项目效率</t>
    <phoneticPr fontId="31" type="noConversion"/>
  </si>
  <si>
    <t>测试项目质量</t>
    <phoneticPr fontId="31" type="noConversion"/>
  </si>
  <si>
    <t>测试项目</t>
    <phoneticPr fontId="5" type="noConversion"/>
  </si>
  <si>
    <t>PCB基线(2019年度)</t>
    <phoneticPr fontId="2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</si>
</sst>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76" formatCode="0.0_ "/>
    <numFmt numFmtId="177" formatCode="0.00_);[Red]\(0.00\)"/>
    <numFmt numFmtId="178" formatCode="0.0_);[Red]\(0.0\)"/>
    <numFmt numFmtId="179" formatCode="0_ "/>
    <numFmt numFmtId="180" formatCode="0.00_ "/>
    <numFmt numFmtId="181" formatCode="0.0%"/>
    <numFmt numFmtId="182" formatCode="0_);[Red]\(0\)"/>
    <numFmt numFmtId="183" formatCode="0.0"/>
  </numFmts>
  <fonts count="57">
    <font>
      <sz val="11"/>
      <color theme="1"/>
      <name val="宋体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2"/>
      <name val="宋体"/>
      <family val="3"/>
      <charset val="134"/>
    </font>
    <font>
      <b/>
      <sz val="9"/>
      <name val="宋体"/>
      <family val="3"/>
      <charset val="134"/>
    </font>
    <font>
      <sz val="9"/>
      <name val="宋体"/>
      <family val="3"/>
      <charset val="134"/>
    </font>
    <font>
      <sz val="11"/>
      <name val="宋体"/>
      <family val="3"/>
      <charset val="134"/>
    </font>
    <font>
      <sz val="11"/>
      <color indexed="8"/>
      <name val="宋体"/>
      <family val="3"/>
      <charset val="134"/>
    </font>
    <font>
      <sz val="10"/>
      <name val="微软雅黑"/>
      <family val="2"/>
      <charset val="134"/>
    </font>
    <font>
      <sz val="12"/>
      <color indexed="8"/>
      <name val="宋体"/>
      <family val="3"/>
      <charset val="134"/>
    </font>
    <font>
      <b/>
      <sz val="10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b/>
      <sz val="9"/>
      <name val="微软雅黑"/>
      <family val="2"/>
      <charset val="134"/>
    </font>
    <font>
      <b/>
      <sz val="11"/>
      <color indexed="8"/>
      <name val="微软雅黑"/>
      <family val="2"/>
      <charset val="134"/>
    </font>
    <font>
      <sz val="9"/>
      <name val="微软雅黑"/>
      <family val="2"/>
      <charset val="134"/>
    </font>
    <font>
      <b/>
      <sz val="11"/>
      <name val="微软雅黑"/>
      <family val="2"/>
      <charset val="134"/>
    </font>
    <font>
      <sz val="9"/>
      <color theme="1"/>
      <name val="微软雅黑"/>
      <family val="2"/>
      <charset val="134"/>
    </font>
    <font>
      <sz val="8"/>
      <name val="微软雅黑"/>
      <family val="2"/>
      <charset val="134"/>
    </font>
    <font>
      <b/>
      <sz val="10"/>
      <color theme="1"/>
      <name val="微软雅黑"/>
      <family val="2"/>
      <charset val="134"/>
    </font>
    <font>
      <sz val="12"/>
      <name val="微软雅黑"/>
      <family val="2"/>
      <charset val="134"/>
    </font>
    <font>
      <sz val="11"/>
      <name val="微软雅黑"/>
      <family val="2"/>
      <charset val="134"/>
    </font>
    <font>
      <sz val="12"/>
      <color indexed="8"/>
      <name val="微软雅黑"/>
      <family val="2"/>
      <charset val="134"/>
    </font>
    <font>
      <sz val="11"/>
      <color theme="1"/>
      <name val="宋体"/>
      <family val="3"/>
      <charset val="134"/>
      <scheme val="minor"/>
    </font>
    <font>
      <b/>
      <sz val="9"/>
      <name val="Tahoma"/>
      <family val="2"/>
    </font>
    <font>
      <sz val="9"/>
      <name val="Tahoma"/>
      <family val="2"/>
    </font>
    <font>
      <sz val="9"/>
      <name val="宋体"/>
      <family val="3"/>
      <charset val="134"/>
      <scheme val="minor"/>
    </font>
    <font>
      <sz val="12"/>
      <name val="宋体"/>
      <family val="3"/>
      <charset val="134"/>
    </font>
    <font>
      <b/>
      <sz val="9"/>
      <color theme="1"/>
      <name val="微软雅黑"/>
      <family val="2"/>
      <charset val="134"/>
    </font>
    <font>
      <sz val="11"/>
      <color theme="1"/>
      <name val="宋体"/>
      <family val="2"/>
      <scheme val="minor"/>
    </font>
    <font>
      <sz val="10"/>
      <color theme="1"/>
      <name val="微软雅黑"/>
      <family val="2"/>
      <charset val="134"/>
    </font>
    <font>
      <sz val="9"/>
      <name val="宋体"/>
      <family val="2"/>
      <charset val="134"/>
      <scheme val="minor"/>
    </font>
    <font>
      <sz val="11"/>
      <color rgb="FFFF0000"/>
      <name val="宋体"/>
      <family val="3"/>
      <charset val="134"/>
    </font>
    <font>
      <b/>
      <sz val="10"/>
      <color rgb="FF000000"/>
      <name val="微软雅黑"/>
      <family val="2"/>
      <charset val="134"/>
    </font>
    <font>
      <sz val="10"/>
      <color rgb="FF000000"/>
      <name val="微软雅黑"/>
      <family val="2"/>
      <charset val="134"/>
    </font>
    <font>
      <sz val="12"/>
      <name val="FrutigerNext LT Regular"/>
      <family val="2"/>
    </font>
    <font>
      <sz val="8"/>
      <color rgb="FFFF0000"/>
      <name val="微软雅黑"/>
      <family val="2"/>
      <charset val="134"/>
    </font>
    <font>
      <sz val="10"/>
      <name val="宋体"/>
      <family val="3"/>
      <charset val="134"/>
    </font>
    <font>
      <b/>
      <sz val="10"/>
      <name val="宋体"/>
      <family val="3"/>
      <charset val="134"/>
    </font>
    <font>
      <sz val="9"/>
      <color rgb="FFFF0000"/>
      <name val="宋体"/>
      <family val="3"/>
      <charset val="134"/>
    </font>
    <font>
      <sz val="9"/>
      <color theme="1"/>
      <name val="宋体"/>
      <family val="3"/>
      <charset val="134"/>
    </font>
    <font>
      <sz val="8"/>
      <color theme="1"/>
      <name val="宋体"/>
      <family val="3"/>
      <charset val="134"/>
    </font>
    <font>
      <b/>
      <sz val="8"/>
      <color rgb="FF000000"/>
      <name val="微软雅黑"/>
      <family val="2"/>
      <charset val="134"/>
    </font>
    <font>
      <sz val="8"/>
      <color rgb="FF000000"/>
      <name val="微软雅黑"/>
      <family val="2"/>
      <charset val="134"/>
    </font>
    <font>
      <b/>
      <sz val="10"/>
      <color rgb="FF000000"/>
      <name val="Arial"/>
      <family val="2"/>
    </font>
    <font>
      <sz val="10"/>
      <color theme="1"/>
      <name val="Arial"/>
      <family val="2"/>
    </font>
    <font>
      <sz val="10"/>
      <color rgb="FF000000"/>
      <name val="Arial"/>
      <family val="2"/>
    </font>
    <font>
      <sz val="8"/>
      <color rgb="FF000000"/>
      <name val="Arial"/>
      <family val="2"/>
    </font>
    <font>
      <sz val="8"/>
      <color rgb="FF00B050"/>
      <name val="微软雅黑"/>
      <family val="2"/>
      <charset val="134"/>
    </font>
    <font>
      <b/>
      <sz val="8"/>
      <color rgb="FF000000"/>
      <name val="宋体"/>
      <family val="3"/>
      <charset val="134"/>
    </font>
    <font>
      <sz val="8"/>
      <color rgb="FFFF0000"/>
      <name val="Arial"/>
      <family val="2"/>
    </font>
    <font>
      <sz val="8"/>
      <color rgb="FF00B050"/>
      <name val="Arial"/>
      <family val="2"/>
    </font>
    <font>
      <sz val="9"/>
      <color rgb="FF000000"/>
      <name val="微软雅黑"/>
      <family val="2"/>
      <charset val="134"/>
    </font>
    <font>
      <sz val="11"/>
      <color rgb="FF000000"/>
      <name val="宋体"/>
      <family val="3"/>
      <charset val="134"/>
    </font>
    <font>
      <sz val="9"/>
      <color rgb="FF00B0F0"/>
      <name val="宋体"/>
      <family val="3"/>
      <charset val="134"/>
    </font>
    <font>
      <sz val="9"/>
      <name val="Times New Roman"/>
      <family val="1"/>
    </font>
    <font>
      <sz val="11"/>
      <color theme="1"/>
      <name val="宋体"/>
      <family val="3"/>
      <charset val="134"/>
      <scheme val="minor"/>
    </font>
  </fonts>
  <fills count="25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149937437055574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2065187536243"/>
        <bgColor indexed="64"/>
      </patternFill>
    </fill>
    <fill>
      <patternFill patternType="solid">
        <fgColor theme="8" tint="0.3999145481734672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92CDDC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92CDDC"/>
        <bgColor rgb="FF000000"/>
      </patternFill>
    </fill>
    <fill>
      <patternFill patternType="solid">
        <fgColor rgb="FFD8E4BC"/>
        <bgColor rgb="FF000000"/>
      </patternFill>
    </fill>
    <fill>
      <patternFill patternType="solid">
        <fgColor rgb="FF00B050"/>
        <bgColor rgb="FF000000"/>
      </patternFill>
    </fill>
    <fill>
      <patternFill patternType="solid">
        <fgColor rgb="FFFCD5B4"/>
        <bgColor rgb="FF000000"/>
      </patternFill>
    </fill>
  </fills>
  <borders count="2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</borders>
  <cellStyleXfs count="26">
    <xf numFmtId="0" fontId="0" fillId="0" borderId="0">
      <alignment vertical="center"/>
    </xf>
    <xf numFmtId="0" fontId="56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3" fillId="0" borderId="0"/>
    <xf numFmtId="9" fontId="23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23" fillId="0" borderId="0">
      <alignment vertical="center"/>
    </xf>
    <xf numFmtId="0" fontId="27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9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35" fillId="0" borderId="0"/>
    <xf numFmtId="0" fontId="23" fillId="0" borderId="0">
      <alignment vertical="center"/>
    </xf>
  </cellStyleXfs>
  <cellXfs count="395">
    <xf numFmtId="0" fontId="56" fillId="0" borderId="0">
      <alignment vertical="center"/>
    </xf>
    <xf numFmtId="0" fontId="42" fillId="0" borderId="23" xfId="0" applyFont="1" applyBorder="1" applyAlignment="1">
      <alignment horizontal="center" vertical="center" wrapText="1" readingOrder="1"/>
    </xf>
    <xf numFmtId="0" fontId="13" fillId="0" borderId="1" xfId="0" applyNumberFormat="1" applyFont="1" applyFill="1" applyBorder="1" applyAlignment="1" applyProtection="1">
      <alignment horizontal="left" vertical="center" wrapText="1"/>
      <protection locked="0"/>
    </xf>
    <xf numFmtId="179" fontId="15" fillId="0" borderId="1" xfId="0" applyNumberFormat="1" applyFont="1" applyFill="1" applyBorder="1" applyAlignment="1">
      <alignment horizontal="center" vertical="center"/>
    </xf>
    <xf numFmtId="176" fontId="15" fillId="0" borderId="1" xfId="0" applyNumberFormat="1" applyFont="1" applyFill="1" applyBorder="1" applyAlignment="1">
      <alignment horizontal="center" vertical="center"/>
    </xf>
    <xf numFmtId="181" fontId="15" fillId="0" borderId="1" xfId="2" applyNumberFormat="1" applyFont="1" applyFill="1" applyBorder="1" applyAlignment="1">
      <alignment horizontal="center" vertical="center"/>
    </xf>
    <xf numFmtId="180" fontId="15" fillId="0" borderId="1" xfId="0" applyNumberFormat="1" applyFont="1" applyFill="1" applyBorder="1" applyAlignment="1">
      <alignment horizontal="center" vertical="center"/>
    </xf>
    <xf numFmtId="176" fontId="15" fillId="0" borderId="1" xfId="2" applyNumberFormat="1" applyFont="1" applyFill="1" applyBorder="1" applyAlignment="1">
      <alignment horizontal="center" vertical="center"/>
    </xf>
    <xf numFmtId="179" fontId="15" fillId="0" borderId="1" xfId="10" applyNumberFormat="1" applyFont="1" applyFill="1" applyBorder="1" applyAlignment="1">
      <alignment horizontal="center" vertical="center"/>
    </xf>
    <xf numFmtId="176" fontId="15" fillId="0" borderId="1" xfId="10" applyNumberFormat="1" applyFont="1" applyFill="1" applyBorder="1" applyAlignment="1">
      <alignment horizontal="center" vertical="center"/>
    </xf>
    <xf numFmtId="179" fontId="15" fillId="0" borderId="1" xfId="2" applyNumberFormat="1" applyFont="1" applyFill="1" applyBorder="1" applyAlignment="1">
      <alignment horizontal="center" vertical="center"/>
    </xf>
    <xf numFmtId="177" fontId="15" fillId="0" borderId="1" xfId="2" applyNumberFormat="1" applyFont="1" applyFill="1" applyBorder="1" applyAlignment="1">
      <alignment horizontal="center" vertical="center"/>
    </xf>
    <xf numFmtId="178" fontId="15" fillId="0" borderId="1" xfId="2" applyNumberFormat="1" applyFont="1" applyFill="1" applyBorder="1" applyAlignment="1">
      <alignment horizontal="center" vertical="center"/>
    </xf>
    <xf numFmtId="182" fontId="15" fillId="0" borderId="1" xfId="2" applyNumberFormat="1" applyFont="1" applyFill="1" applyBorder="1" applyAlignment="1">
      <alignment horizontal="center" vertical="center"/>
    </xf>
    <xf numFmtId="179" fontId="15" fillId="0" borderId="7" xfId="0" applyNumberFormat="1" applyFont="1" applyFill="1" applyBorder="1" applyAlignment="1">
      <alignment horizontal="center" vertical="center"/>
    </xf>
    <xf numFmtId="0" fontId="15" fillId="0" borderId="1" xfId="0" applyNumberFormat="1" applyFont="1" applyFill="1" applyBorder="1" applyAlignment="1">
      <alignment horizontal="center" vertical="center"/>
    </xf>
    <xf numFmtId="9" fontId="15" fillId="0" borderId="1" xfId="2" applyFont="1" applyFill="1" applyBorder="1" applyAlignment="1">
      <alignment horizontal="center" vertical="center"/>
    </xf>
    <xf numFmtId="182" fontId="15" fillId="0" borderId="1" xfId="0" applyNumberFormat="1" applyFont="1" applyFill="1" applyBorder="1" applyAlignment="1">
      <alignment horizontal="center" vertical="center"/>
    </xf>
    <xf numFmtId="0" fontId="13" fillId="9" borderId="1" xfId="0" applyFont="1" applyFill="1" applyBorder="1" applyAlignment="1">
      <alignment horizontal="center" vertical="center" wrapText="1"/>
    </xf>
    <xf numFmtId="176" fontId="8" fillId="10" borderId="1" xfId="0" applyNumberFormat="1" applyFont="1" applyFill="1" applyBorder="1" applyAlignment="1">
      <alignment horizontal="center" vertical="center"/>
    </xf>
    <xf numFmtId="180" fontId="8" fillId="10" borderId="1" xfId="0" applyNumberFormat="1" applyFont="1" applyFill="1" applyBorder="1" applyAlignment="1">
      <alignment horizontal="center" vertical="center"/>
    </xf>
    <xf numFmtId="0" fontId="15" fillId="0" borderId="1" xfId="0" applyNumberFormat="1" applyFont="1" applyFill="1" applyBorder="1" applyAlignment="1" applyProtection="1">
      <alignment horizontal="left" vertical="center" wrapText="1"/>
      <protection locked="0"/>
    </xf>
    <xf numFmtId="10" fontId="15" fillId="0" borderId="1" xfId="2" applyNumberFormat="1" applyFont="1" applyFill="1" applyBorder="1" applyAlignment="1">
      <alignment horizontal="center" vertical="center"/>
    </xf>
    <xf numFmtId="10" fontId="15" fillId="0" borderId="1" xfId="0" applyNumberFormat="1" applyFont="1" applyFill="1" applyBorder="1" applyAlignment="1">
      <alignment horizontal="center" vertical="center"/>
    </xf>
    <xf numFmtId="0" fontId="3" fillId="6" borderId="0" xfId="10" applyFill="1">
      <alignment vertical="center"/>
    </xf>
    <xf numFmtId="0" fontId="0" fillId="6" borderId="0" xfId="0" applyFont="1" applyFill="1" applyAlignment="1"/>
    <xf numFmtId="0" fontId="3" fillId="0" borderId="0" xfId="10">
      <alignment vertical="center"/>
    </xf>
    <xf numFmtId="0" fontId="15" fillId="0" borderId="11" xfId="0" applyNumberFormat="1" applyFont="1" applyFill="1" applyBorder="1" applyAlignment="1" applyProtection="1">
      <alignment horizontal="left" vertical="center" wrapText="1"/>
      <protection locked="0"/>
    </xf>
    <xf numFmtId="179" fontId="15" fillId="0" borderId="3" xfId="0" applyNumberFormat="1" applyFont="1" applyFill="1" applyBorder="1" applyAlignment="1">
      <alignment horizontal="center" vertical="center"/>
    </xf>
    <xf numFmtId="177" fontId="15" fillId="0" borderId="3" xfId="2" applyNumberFormat="1" applyFont="1" applyFill="1" applyBorder="1" applyAlignment="1">
      <alignment horizontal="center" vertical="center"/>
    </xf>
    <xf numFmtId="179" fontId="15" fillId="0" borderId="3" xfId="10" applyNumberFormat="1" applyFont="1" applyFill="1" applyBorder="1" applyAlignment="1">
      <alignment horizontal="center" vertical="center"/>
    </xf>
    <xf numFmtId="0" fontId="10" fillId="7" borderId="1" xfId="0" applyFont="1" applyFill="1" applyBorder="1" applyAlignment="1">
      <alignment horizontal="center" vertical="center" wrapText="1"/>
    </xf>
    <xf numFmtId="181" fontId="15" fillId="0" borderId="2" xfId="2" applyNumberFormat="1" applyFont="1" applyFill="1" applyBorder="1" applyAlignment="1">
      <alignment horizontal="center" vertical="center"/>
    </xf>
    <xf numFmtId="0" fontId="15" fillId="8" borderId="1" xfId="0" applyNumberFormat="1" applyFont="1" applyFill="1" applyBorder="1" applyAlignment="1">
      <alignment horizontal="center" vertical="center"/>
    </xf>
    <xf numFmtId="10" fontId="15" fillId="8" borderId="1" xfId="0" applyNumberFormat="1" applyFont="1" applyFill="1" applyBorder="1" applyAlignment="1">
      <alignment horizontal="center" vertical="center"/>
    </xf>
    <xf numFmtId="0" fontId="15" fillId="0" borderId="0" xfId="10" applyFont="1" applyFill="1" applyBorder="1">
      <alignment vertical="center"/>
    </xf>
    <xf numFmtId="0" fontId="11" fillId="6" borderId="0" xfId="0" applyFont="1" applyFill="1" applyAlignment="1"/>
    <xf numFmtId="0" fontId="20" fillId="0" borderId="0" xfId="10" applyFont="1">
      <alignment vertical="center"/>
    </xf>
    <xf numFmtId="0" fontId="4" fillId="9" borderId="1" xfId="0" applyFont="1" applyFill="1" applyBorder="1" applyAlignment="1">
      <alignment horizontal="center" vertical="center" wrapText="1"/>
    </xf>
    <xf numFmtId="0" fontId="5" fillId="0" borderId="1" xfId="0" applyNumberFormat="1" applyFont="1" applyFill="1" applyBorder="1" applyAlignment="1" applyProtection="1">
      <alignment horizontal="left" vertical="center" wrapText="1"/>
      <protection locked="0"/>
    </xf>
    <xf numFmtId="0" fontId="4" fillId="0" borderId="1" xfId="0" applyFont="1" applyFill="1" applyBorder="1" applyAlignment="1">
      <alignment horizontal="center" vertical="center" wrapText="1"/>
    </xf>
    <xf numFmtId="0" fontId="15" fillId="0" borderId="1" xfId="0" applyFont="1" applyFill="1" applyBorder="1" applyAlignment="1">
      <alignment horizontal="center" vertical="center" wrapText="1"/>
    </xf>
    <xf numFmtId="0" fontId="20" fillId="0" borderId="1" xfId="10" applyFont="1" applyFill="1" applyBorder="1">
      <alignment vertical="center"/>
    </xf>
    <xf numFmtId="176" fontId="15" fillId="0" borderId="1" xfId="0" applyNumberFormat="1" applyFont="1" applyFill="1" applyBorder="1" applyAlignment="1">
      <alignment horizontal="center" vertical="center" wrapText="1"/>
    </xf>
    <xf numFmtId="179" fontId="15" fillId="10" borderId="1" xfId="0" applyNumberFormat="1" applyFont="1" applyFill="1" applyBorder="1" applyAlignment="1">
      <alignment horizontal="center" vertical="center"/>
    </xf>
    <xf numFmtId="176" fontId="15" fillId="10" borderId="1" xfId="0" applyNumberFormat="1" applyFont="1" applyFill="1" applyBorder="1" applyAlignment="1">
      <alignment horizontal="center" vertical="center"/>
    </xf>
    <xf numFmtId="182" fontId="15" fillId="0" borderId="3" xfId="2" applyNumberFormat="1" applyFont="1" applyFill="1" applyBorder="1" applyAlignment="1">
      <alignment horizontal="center" vertical="center"/>
    </xf>
    <xf numFmtId="179" fontId="15" fillId="0" borderId="0" xfId="0" applyNumberFormat="1" applyFont="1" applyFill="1" applyBorder="1" applyAlignment="1">
      <alignment horizontal="center" vertical="center"/>
    </xf>
    <xf numFmtId="182" fontId="15" fillId="0" borderId="0" xfId="2" applyNumberFormat="1" applyFont="1" applyFill="1" applyBorder="1" applyAlignment="1">
      <alignment horizontal="center" vertical="center"/>
    </xf>
    <xf numFmtId="179" fontId="15" fillId="0" borderId="3" xfId="2" applyNumberFormat="1" applyFont="1" applyFill="1" applyBorder="1" applyAlignment="1">
      <alignment horizontal="center" vertical="center"/>
    </xf>
    <xf numFmtId="180" fontId="15" fillId="8" borderId="1" xfId="0" applyNumberFormat="1" applyFont="1" applyFill="1" applyBorder="1" applyAlignment="1">
      <alignment horizontal="center" vertical="center"/>
    </xf>
    <xf numFmtId="181" fontId="15" fillId="8" borderId="1" xfId="2" applyNumberFormat="1" applyFont="1" applyFill="1" applyBorder="1" applyAlignment="1">
      <alignment horizontal="center" vertical="center"/>
    </xf>
    <xf numFmtId="182" fontId="15" fillId="8" borderId="1" xfId="0" applyNumberFormat="1" applyFont="1" applyFill="1" applyBorder="1" applyAlignment="1">
      <alignment horizontal="center" vertical="center"/>
    </xf>
    <xf numFmtId="182" fontId="15" fillId="8" borderId="1" xfId="2" applyNumberFormat="1" applyFont="1" applyFill="1" applyBorder="1" applyAlignment="1">
      <alignment horizontal="center" vertical="center"/>
    </xf>
    <xf numFmtId="0" fontId="20" fillId="6" borderId="0" xfId="10" applyFont="1" applyFill="1">
      <alignment vertical="center"/>
    </xf>
    <xf numFmtId="0" fontId="15" fillId="6" borderId="0" xfId="0" applyFont="1" applyFill="1" applyBorder="1" applyAlignment="1">
      <alignment horizontal="left" vertical="center" wrapText="1"/>
    </xf>
    <xf numFmtId="0" fontId="22" fillId="6" borderId="0" xfId="0" applyFont="1" applyFill="1" applyAlignment="1"/>
    <xf numFmtId="0" fontId="13" fillId="5" borderId="11" xfId="0" applyNumberFormat="1" applyFont="1" applyFill="1" applyBorder="1" applyAlignment="1" applyProtection="1">
      <alignment horizontal="left" vertical="center" wrapText="1"/>
      <protection locked="0"/>
    </xf>
    <xf numFmtId="179" fontId="8" fillId="10" borderId="1" xfId="0" applyNumberFormat="1" applyFont="1" applyFill="1" applyBorder="1" applyAlignment="1">
      <alignment horizontal="center" vertical="center"/>
    </xf>
    <xf numFmtId="0" fontId="13" fillId="0" borderId="11" xfId="0" applyNumberFormat="1" applyFont="1" applyFill="1" applyBorder="1" applyAlignment="1" applyProtection="1">
      <alignment horizontal="left" vertical="center" wrapText="1"/>
      <protection locked="0"/>
    </xf>
    <xf numFmtId="0" fontId="14" fillId="0" borderId="1" xfId="0" applyFont="1" applyFill="1" applyBorder="1" applyAlignment="1">
      <alignment horizontal="center" vertical="center" wrapText="1"/>
    </xf>
    <xf numFmtId="176" fontId="15" fillId="0" borderId="3" xfId="10" applyNumberFormat="1" applyFont="1" applyFill="1" applyBorder="1" applyAlignment="1">
      <alignment horizontal="center" vertical="center"/>
    </xf>
    <xf numFmtId="179" fontId="21" fillId="10" borderId="1" xfId="0" applyNumberFormat="1" applyFont="1" applyFill="1" applyBorder="1" applyAlignment="1">
      <alignment horizontal="center" vertical="center"/>
    </xf>
    <xf numFmtId="176" fontId="21" fillId="10" borderId="1" xfId="0" applyNumberFormat="1" applyFont="1" applyFill="1" applyBorder="1" applyAlignment="1">
      <alignment horizontal="center" vertical="center"/>
    </xf>
    <xf numFmtId="179" fontId="15" fillId="0" borderId="7" xfId="10" applyNumberFormat="1" applyFont="1" applyFill="1" applyBorder="1" applyAlignment="1">
      <alignment horizontal="center" vertical="center"/>
    </xf>
    <xf numFmtId="179" fontId="15" fillId="0" borderId="7" xfId="2" applyNumberFormat="1" applyFont="1" applyFill="1" applyBorder="1" applyAlignment="1">
      <alignment horizontal="center" vertical="center"/>
    </xf>
    <xf numFmtId="179" fontId="15" fillId="0" borderId="10" xfId="10" applyNumberFormat="1" applyFont="1" applyFill="1" applyBorder="1" applyAlignment="1">
      <alignment horizontal="center" vertical="center"/>
    </xf>
    <xf numFmtId="176" fontId="15" fillId="0" borderId="3" xfId="2" applyNumberFormat="1" applyFont="1" applyFill="1" applyBorder="1" applyAlignment="1">
      <alignment horizontal="center" vertical="center"/>
    </xf>
    <xf numFmtId="9" fontId="15" fillId="0" borderId="3" xfId="2" applyFont="1" applyFill="1" applyBorder="1" applyAlignment="1">
      <alignment horizontal="center" vertical="center"/>
    </xf>
    <xf numFmtId="0" fontId="13" fillId="9" borderId="1" xfId="0" applyFont="1" applyFill="1" applyBorder="1" applyAlignment="1">
      <alignment horizontal="center" vertical="center" wrapText="1"/>
    </xf>
    <xf numFmtId="0" fontId="17" fillId="0" borderId="4" xfId="0" applyFont="1" applyFill="1" applyBorder="1" applyAlignment="1">
      <alignment horizontal="center" vertical="center"/>
    </xf>
    <xf numFmtId="0" fontId="4" fillId="9" borderId="1" xfId="0" applyFont="1" applyFill="1" applyBorder="1" applyAlignment="1">
      <alignment horizontal="center" vertical="center" wrapText="1"/>
    </xf>
    <xf numFmtId="0" fontId="10" fillId="7" borderId="1" xfId="0" applyFont="1" applyFill="1" applyBorder="1" applyAlignment="1">
      <alignment horizontal="center" vertical="center" wrapText="1"/>
    </xf>
    <xf numFmtId="179" fontId="15" fillId="0" borderId="0" xfId="2" applyNumberFormat="1" applyFont="1" applyFill="1" applyBorder="1" applyAlignment="1">
      <alignment horizontal="center" vertical="center"/>
    </xf>
    <xf numFmtId="181" fontId="15" fillId="0" borderId="5" xfId="2" applyNumberFormat="1" applyFont="1" applyFill="1" applyBorder="1" applyAlignment="1">
      <alignment horizontal="center" vertical="center"/>
    </xf>
    <xf numFmtId="10" fontId="15" fillId="0" borderId="5" xfId="2" applyNumberFormat="1" applyFont="1" applyFill="1" applyBorder="1" applyAlignment="1">
      <alignment horizontal="center" vertical="center"/>
    </xf>
    <xf numFmtId="179" fontId="18" fillId="0" borderId="1" xfId="0" applyNumberFormat="1" applyFont="1" applyBorder="1" applyAlignment="1">
      <alignment horizontal="center" vertical="center"/>
    </xf>
    <xf numFmtId="10" fontId="18" fillId="0" borderId="1" xfId="0" applyNumberFormat="1" applyFont="1" applyBorder="1" applyAlignment="1">
      <alignment horizontal="center" vertical="center"/>
    </xf>
    <xf numFmtId="177" fontId="18" fillId="0" borderId="1" xfId="0" applyNumberFormat="1" applyFont="1" applyBorder="1" applyAlignment="1">
      <alignment horizontal="center" vertical="center"/>
    </xf>
    <xf numFmtId="2" fontId="18" fillId="0" borderId="0" xfId="0" applyNumberFormat="1" applyFont="1" applyFill="1" applyBorder="1" applyAlignment="1">
      <alignment horizontal="center" vertical="center"/>
    </xf>
    <xf numFmtId="10" fontId="18" fillId="0" borderId="0" xfId="0" applyNumberFormat="1" applyFont="1" applyFill="1" applyBorder="1" applyAlignment="1">
      <alignment horizontal="center" vertical="center"/>
    </xf>
    <xf numFmtId="181" fontId="15" fillId="6" borderId="1" xfId="2" applyNumberFormat="1" applyFont="1" applyFill="1" applyBorder="1" applyAlignment="1">
      <alignment horizontal="center" vertical="center"/>
    </xf>
    <xf numFmtId="0" fontId="14" fillId="0" borderId="1" xfId="0" applyFont="1" applyFill="1" applyBorder="1" applyAlignment="1">
      <alignment horizontal="center" vertical="center" wrapText="1"/>
    </xf>
    <xf numFmtId="0" fontId="13" fillId="9" borderId="1" xfId="0" applyFont="1" applyFill="1" applyBorder="1" applyAlignment="1">
      <alignment horizontal="center" vertical="center" wrapText="1"/>
    </xf>
    <xf numFmtId="0" fontId="4" fillId="9" borderId="1" xfId="0" applyFont="1" applyFill="1" applyBorder="1" applyAlignment="1">
      <alignment horizontal="center" vertical="center" wrapText="1"/>
    </xf>
    <xf numFmtId="0" fontId="1" fillId="0" borderId="0" xfId="21" applyAlignment="1"/>
    <xf numFmtId="0" fontId="4" fillId="0" borderId="0" xfId="21" applyFont="1" applyFill="1" applyBorder="1" applyAlignment="1">
      <alignment horizontal="left" vertical="center" wrapText="1"/>
    </xf>
    <xf numFmtId="0" fontId="9" fillId="0" borderId="0" xfId="21" applyFont="1" applyAlignment="1"/>
    <xf numFmtId="0" fontId="7" fillId="0" borderId="1" xfId="21" applyFont="1" applyBorder="1" applyAlignment="1">
      <alignment horizontal="center" vertical="center" wrapText="1"/>
    </xf>
    <xf numFmtId="182" fontId="15" fillId="6" borderId="1" xfId="0" applyNumberFormat="1" applyFont="1" applyFill="1" applyBorder="1" applyAlignment="1">
      <alignment horizontal="center" vertical="center"/>
    </xf>
    <xf numFmtId="10" fontId="15" fillId="6" borderId="1" xfId="0" applyNumberFormat="1" applyFont="1" applyFill="1" applyBorder="1" applyAlignment="1">
      <alignment horizontal="center" vertical="center"/>
    </xf>
    <xf numFmtId="182" fontId="15" fillId="6" borderId="1" xfId="2" applyNumberFormat="1" applyFont="1" applyFill="1" applyBorder="1" applyAlignment="1">
      <alignment horizontal="center" vertical="center"/>
    </xf>
    <xf numFmtId="177" fontId="15" fillId="6" borderId="1" xfId="2" applyNumberFormat="1" applyFont="1" applyFill="1" applyBorder="1" applyAlignment="1">
      <alignment horizontal="center" vertical="center"/>
    </xf>
    <xf numFmtId="180" fontId="15" fillId="6" borderId="1" xfId="0" applyNumberFormat="1" applyFont="1" applyFill="1" applyBorder="1" applyAlignment="1">
      <alignment horizontal="center" vertical="center"/>
    </xf>
    <xf numFmtId="182" fontId="15" fillId="0" borderId="9" xfId="2" applyNumberFormat="1" applyFont="1" applyFill="1" applyBorder="1" applyAlignment="1">
      <alignment horizontal="center" vertical="center"/>
    </xf>
    <xf numFmtId="0" fontId="15" fillId="0" borderId="1" xfId="0" applyNumberFormat="1" applyFont="1" applyFill="1" applyBorder="1" applyAlignment="1">
      <alignment horizontal="center" vertical="center" wrapText="1"/>
    </xf>
    <xf numFmtId="0" fontId="15" fillId="0" borderId="1" xfId="2" applyNumberFormat="1" applyFont="1" applyFill="1" applyBorder="1" applyAlignment="1">
      <alignment horizontal="center" vertical="center"/>
    </xf>
    <xf numFmtId="0" fontId="15" fillId="0" borderId="5" xfId="2" applyNumberFormat="1" applyFont="1" applyFill="1" applyBorder="1" applyAlignment="1">
      <alignment horizontal="center" vertical="center"/>
    </xf>
    <xf numFmtId="0" fontId="15" fillId="6" borderId="1" xfId="0" applyNumberFormat="1" applyFont="1" applyFill="1" applyBorder="1" applyAlignment="1">
      <alignment horizontal="center" vertical="center"/>
    </xf>
    <xf numFmtId="183" fontId="15" fillId="0" borderId="1" xfId="2" applyNumberFormat="1" applyFont="1" applyFill="1" applyBorder="1" applyAlignment="1">
      <alignment horizontal="center" vertical="center"/>
    </xf>
    <xf numFmtId="0" fontId="10" fillId="9" borderId="6" xfId="10" applyFont="1" applyFill="1" applyBorder="1" applyAlignment="1">
      <alignment horizontal="center" vertical="center"/>
    </xf>
    <xf numFmtId="179" fontId="15" fillId="0" borderId="1" xfId="0" applyNumberFormat="1" applyFont="1" applyFill="1" applyBorder="1" applyAlignment="1">
      <alignment horizontal="center" vertical="center" wrapText="1"/>
    </xf>
    <xf numFmtId="183" fontId="15" fillId="0" borderId="1" xfId="0" applyNumberFormat="1" applyFont="1" applyFill="1" applyBorder="1" applyAlignment="1">
      <alignment horizontal="center" vertical="center" wrapText="1"/>
    </xf>
    <xf numFmtId="183" fontId="15" fillId="0" borderId="1" xfId="0" applyNumberFormat="1" applyFont="1" applyFill="1" applyBorder="1" applyAlignment="1">
      <alignment horizontal="center" vertical="center"/>
    </xf>
    <xf numFmtId="179" fontId="15" fillId="8" borderId="1" xfId="0" applyNumberFormat="1" applyFont="1" applyFill="1" applyBorder="1" applyAlignment="1">
      <alignment horizontal="center" vertical="center"/>
    </xf>
    <xf numFmtId="9" fontId="15" fillId="8" borderId="1" xfId="0" applyNumberFormat="1" applyFont="1" applyFill="1" applyBorder="1" applyAlignment="1">
      <alignment horizontal="center" vertical="center"/>
    </xf>
    <xf numFmtId="179" fontId="15" fillId="0" borderId="5" xfId="2" applyNumberFormat="1" applyFont="1" applyFill="1" applyBorder="1" applyAlignment="1">
      <alignment horizontal="center" vertical="center"/>
    </xf>
    <xf numFmtId="9" fontId="15" fillId="0" borderId="5" xfId="2" applyFont="1" applyFill="1" applyBorder="1" applyAlignment="1">
      <alignment horizontal="center" vertical="center"/>
    </xf>
    <xf numFmtId="179" fontId="15" fillId="6" borderId="1" xfId="0" applyNumberFormat="1" applyFont="1" applyFill="1" applyBorder="1" applyAlignment="1">
      <alignment horizontal="center" vertical="center"/>
    </xf>
    <xf numFmtId="9" fontId="15" fillId="6" borderId="1" xfId="0" applyNumberFormat="1" applyFont="1" applyFill="1" applyBorder="1" applyAlignment="1">
      <alignment horizontal="center" vertical="center"/>
    </xf>
    <xf numFmtId="9" fontId="15" fillId="0" borderId="1" xfId="0" applyNumberFormat="1" applyFont="1" applyFill="1" applyBorder="1" applyAlignment="1">
      <alignment horizontal="center" vertical="center"/>
    </xf>
    <xf numFmtId="9" fontId="18" fillId="0" borderId="1" xfId="0" applyNumberFormat="1" applyFont="1" applyBorder="1" applyAlignment="1">
      <alignment horizontal="center" vertical="center"/>
    </xf>
    <xf numFmtId="183" fontId="18" fillId="0" borderId="1" xfId="0" applyNumberFormat="1" applyFont="1" applyBorder="1" applyAlignment="1">
      <alignment horizontal="center" vertical="center"/>
    </xf>
    <xf numFmtId="179" fontId="18" fillId="0" borderId="0" xfId="0" applyNumberFormat="1" applyFont="1" applyFill="1" applyBorder="1" applyAlignment="1">
      <alignment horizontal="center" vertical="center"/>
    </xf>
    <xf numFmtId="183" fontId="18" fillId="0" borderId="0" xfId="0" applyNumberFormat="1" applyFont="1" applyFill="1" applyBorder="1" applyAlignment="1">
      <alignment horizontal="center" vertical="center"/>
    </xf>
    <xf numFmtId="9" fontId="15" fillId="8" borderId="1" xfId="2" applyNumberFormat="1" applyFont="1" applyFill="1" applyBorder="1" applyAlignment="1">
      <alignment horizontal="center" vertical="center"/>
    </xf>
    <xf numFmtId="0" fontId="3" fillId="0" borderId="0" xfId="7">
      <alignment vertical="center"/>
    </xf>
    <xf numFmtId="0" fontId="5" fillId="4" borderId="2" xfId="0" applyNumberFormat="1" applyFont="1" applyFill="1" applyBorder="1" applyAlignment="1" applyProtection="1">
      <alignment horizontal="left" vertical="center" wrapText="1"/>
      <protection locked="0"/>
    </xf>
    <xf numFmtId="0" fontId="5" fillId="4" borderId="1" xfId="0" applyNumberFormat="1" applyFont="1" applyFill="1" applyBorder="1" applyAlignment="1" applyProtection="1">
      <alignment horizontal="left" vertical="center" wrapText="1"/>
      <protection locked="0"/>
    </xf>
    <xf numFmtId="9" fontId="6" fillId="0" borderId="1" xfId="2" applyFont="1" applyBorder="1" applyAlignment="1">
      <alignment horizontal="center" vertical="center"/>
    </xf>
    <xf numFmtId="0" fontId="5" fillId="3" borderId="1" xfId="0" applyNumberFormat="1" applyFont="1" applyFill="1" applyBorder="1" applyAlignment="1" applyProtection="1">
      <alignment horizontal="left" vertical="center" wrapText="1"/>
      <protection locked="0"/>
    </xf>
    <xf numFmtId="0" fontId="30" fillId="6" borderId="1" xfId="0" applyFont="1" applyFill="1" applyBorder="1" applyAlignment="1">
      <alignment vertical="center" wrapText="1"/>
    </xf>
    <xf numFmtId="0" fontId="13" fillId="9" borderId="1" xfId="0" applyFont="1" applyFill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4" fillId="2" borderId="1" xfId="0" applyFont="1" applyFill="1" applyBorder="1" applyAlignment="1">
      <alignment horizontal="center" vertical="center" wrapText="1"/>
    </xf>
    <xf numFmtId="0" fontId="5" fillId="11" borderId="1" xfId="0" applyNumberFormat="1" applyFont="1" applyFill="1" applyBorder="1" applyAlignment="1" applyProtection="1">
      <alignment horizontal="left" vertical="center" wrapText="1"/>
      <protection locked="0"/>
    </xf>
    <xf numFmtId="0" fontId="5" fillId="12" borderId="1" xfId="0" applyNumberFormat="1" applyFont="1" applyFill="1" applyBorder="1" applyAlignment="1" applyProtection="1">
      <alignment horizontal="left" vertical="center" wrapText="1"/>
      <protection locked="0"/>
    </xf>
    <xf numFmtId="0" fontId="5" fillId="13" borderId="1" xfId="0" applyNumberFormat="1" applyFont="1" applyFill="1" applyBorder="1" applyAlignment="1" applyProtection="1">
      <alignment horizontal="left" vertical="center" wrapText="1"/>
      <protection locked="0"/>
    </xf>
    <xf numFmtId="0" fontId="3" fillId="0" borderId="0" xfId="7" applyAlignment="1">
      <alignment vertical="center"/>
    </xf>
    <xf numFmtId="0" fontId="5" fillId="16" borderId="1" xfId="13" applyFont="1" applyFill="1" applyBorder="1">
      <alignment vertical="center"/>
    </xf>
    <xf numFmtId="0" fontId="3" fillId="0" borderId="1" xfId="10" applyBorder="1">
      <alignment vertical="center"/>
    </xf>
    <xf numFmtId="0" fontId="8" fillId="14" borderId="1" xfId="10" applyFont="1" applyFill="1" applyBorder="1">
      <alignment vertical="center"/>
    </xf>
    <xf numFmtId="177" fontId="15" fillId="0" borderId="1" xfId="0" applyNumberFormat="1" applyFont="1" applyFill="1" applyBorder="1" applyAlignment="1">
      <alignment horizontal="center" vertical="center"/>
    </xf>
    <xf numFmtId="2" fontId="15" fillId="0" borderId="1" xfId="0" applyNumberFormat="1" applyFont="1" applyBorder="1" applyAlignment="1">
      <alignment horizontal="center" vertical="center"/>
    </xf>
    <xf numFmtId="10" fontId="15" fillId="0" borderId="1" xfId="2" applyNumberFormat="1" applyFont="1" applyBorder="1" applyAlignment="1">
      <alignment horizontal="center" vertical="center"/>
    </xf>
    <xf numFmtId="179" fontId="3" fillId="0" borderId="1" xfId="7" applyNumberFormat="1" applyBorder="1">
      <alignment vertical="center"/>
    </xf>
    <xf numFmtId="0" fontId="3" fillId="0" borderId="1" xfId="7" applyBorder="1">
      <alignment vertical="center"/>
    </xf>
    <xf numFmtId="0" fontId="5" fillId="4" borderId="8" xfId="21" applyNumberFormat="1" applyFont="1" applyFill="1" applyBorder="1" applyAlignment="1" applyProtection="1">
      <alignment horizontal="left" vertical="center" wrapText="1"/>
      <protection locked="0"/>
    </xf>
    <xf numFmtId="0" fontId="5" fillId="4" borderId="5" xfId="21" applyNumberFormat="1" applyFont="1" applyFill="1" applyBorder="1" applyAlignment="1" applyProtection="1">
      <alignment horizontal="left" vertical="center" wrapText="1"/>
      <protection locked="0"/>
    </xf>
    <xf numFmtId="0" fontId="5" fillId="3" borderId="5" xfId="21" applyNumberFormat="1" applyFont="1" applyFill="1" applyBorder="1" applyAlignment="1" applyProtection="1">
      <alignment horizontal="left" vertical="center" wrapText="1"/>
      <protection locked="0"/>
    </xf>
    <xf numFmtId="0" fontId="13" fillId="9" borderId="13" xfId="0" applyFont="1" applyFill="1" applyBorder="1" applyAlignment="1">
      <alignment horizontal="center" vertical="center" wrapText="1"/>
    </xf>
    <xf numFmtId="0" fontId="13" fillId="9" borderId="14" xfId="0" applyFont="1" applyFill="1" applyBorder="1" applyAlignment="1">
      <alignment horizontal="center" vertical="center" wrapText="1"/>
    </xf>
    <xf numFmtId="176" fontId="15" fillId="0" borderId="13" xfId="0" applyNumberFormat="1" applyFont="1" applyFill="1" applyBorder="1" applyAlignment="1">
      <alignment horizontal="center" vertical="center"/>
    </xf>
    <xf numFmtId="176" fontId="15" fillId="0" borderId="14" xfId="0" applyNumberFormat="1" applyFont="1" applyFill="1" applyBorder="1" applyAlignment="1">
      <alignment horizontal="center" vertical="center"/>
    </xf>
    <xf numFmtId="0" fontId="15" fillId="0" borderId="7" xfId="0" applyNumberFormat="1" applyFont="1" applyFill="1" applyBorder="1" applyAlignment="1">
      <alignment horizontal="center" vertical="center"/>
    </xf>
    <xf numFmtId="0" fontId="13" fillId="9" borderId="1" xfId="0" applyFont="1" applyFill="1" applyBorder="1" applyAlignment="1">
      <alignment horizontal="center" vertical="center" wrapText="1"/>
    </xf>
    <xf numFmtId="0" fontId="13" fillId="15" borderId="7" xfId="0" applyFont="1" applyFill="1" applyBorder="1" applyAlignment="1">
      <alignment horizontal="center" vertical="center" wrapText="1"/>
    </xf>
    <xf numFmtId="0" fontId="13" fillId="15" borderId="1" xfId="0" applyFont="1" applyFill="1" applyBorder="1" applyAlignment="1">
      <alignment horizontal="center" vertical="center" wrapText="1"/>
    </xf>
    <xf numFmtId="0" fontId="13" fillId="9" borderId="1" xfId="0" applyNumberFormat="1" applyFont="1" applyFill="1" applyBorder="1" applyAlignment="1">
      <alignment horizontal="center" vertical="center" wrapText="1"/>
    </xf>
    <xf numFmtId="0" fontId="8" fillId="10" borderId="1" xfId="0" applyNumberFormat="1" applyFont="1" applyFill="1" applyBorder="1" applyAlignment="1">
      <alignment horizontal="center" vertical="center"/>
    </xf>
    <xf numFmtId="0" fontId="15" fillId="0" borderId="1" xfId="10" applyNumberFormat="1" applyFont="1" applyFill="1" applyBorder="1" applyAlignment="1">
      <alignment horizontal="center" vertical="center"/>
    </xf>
    <xf numFmtId="0" fontId="0" fillId="0" borderId="0" xfId="0" applyNumberFormat="1" applyFont="1">
      <alignment vertical="center"/>
    </xf>
    <xf numFmtId="0" fontId="11" fillId="6" borderId="1" xfId="0" applyFont="1" applyFill="1" applyBorder="1" applyAlignment="1"/>
    <xf numFmtId="0" fontId="20" fillId="0" borderId="1" xfId="10" applyFont="1" applyBorder="1">
      <alignment vertical="center"/>
    </xf>
    <xf numFmtId="176" fontId="15" fillId="0" borderId="5" xfId="0" applyNumberFormat="1" applyFont="1" applyFill="1" applyBorder="1" applyAlignment="1">
      <alignment horizontal="center" vertical="center"/>
    </xf>
    <xf numFmtId="0" fontId="28" fillId="6" borderId="7" xfId="0" applyNumberFormat="1" applyFont="1" applyFill="1" applyBorder="1" applyAlignment="1" applyProtection="1">
      <alignment horizontal="left" vertical="center" wrapText="1"/>
      <protection locked="0"/>
    </xf>
    <xf numFmtId="0" fontId="28" fillId="0" borderId="7" xfId="0" applyNumberFormat="1" applyFont="1" applyFill="1" applyBorder="1" applyAlignment="1" applyProtection="1">
      <alignment horizontal="left" vertical="center" wrapText="1"/>
      <protection locked="0"/>
    </xf>
    <xf numFmtId="0" fontId="28" fillId="0" borderId="7" xfId="10" applyNumberFormat="1" applyFont="1" applyFill="1" applyBorder="1" applyAlignment="1" applyProtection="1">
      <alignment horizontal="left" vertical="center" wrapText="1"/>
      <protection locked="0"/>
    </xf>
    <xf numFmtId="0" fontId="28" fillId="0" borderId="10" xfId="10" applyNumberFormat="1" applyFont="1" applyFill="1" applyBorder="1" applyAlignment="1" applyProtection="1">
      <alignment horizontal="left" vertical="center" wrapText="1"/>
      <protection locked="0"/>
    </xf>
    <xf numFmtId="10" fontId="15" fillId="0" borderId="14" xfId="0" applyNumberFormat="1" applyFont="1" applyFill="1" applyBorder="1" applyAlignment="1">
      <alignment horizontal="center" vertical="center"/>
    </xf>
    <xf numFmtId="179" fontId="15" fillId="0" borderId="2" xfId="0" applyNumberFormat="1" applyFont="1" applyFill="1" applyBorder="1" applyAlignment="1">
      <alignment horizontal="center" vertical="center"/>
    </xf>
    <xf numFmtId="181" fontId="15" fillId="0" borderId="4" xfId="2" applyNumberFormat="1" applyFont="1" applyFill="1" applyBorder="1" applyAlignment="1">
      <alignment horizontal="center" vertical="center"/>
    </xf>
    <xf numFmtId="179" fontId="15" fillId="0" borderId="2" xfId="2" applyNumberFormat="1" applyFont="1" applyFill="1" applyBorder="1" applyAlignment="1">
      <alignment horizontal="center" vertical="center"/>
    </xf>
    <xf numFmtId="0" fontId="15" fillId="0" borderId="2" xfId="0" applyNumberFormat="1" applyFont="1" applyFill="1" applyBorder="1" applyAlignment="1">
      <alignment horizontal="center" vertical="center"/>
    </xf>
    <xf numFmtId="182" fontId="15" fillId="0" borderId="2" xfId="2" applyNumberFormat="1" applyFont="1" applyFill="1" applyBorder="1" applyAlignment="1">
      <alignment horizontal="center" vertical="center"/>
    </xf>
    <xf numFmtId="181" fontId="15" fillId="0" borderId="8" xfId="2" applyNumberFormat="1" applyFont="1" applyFill="1" applyBorder="1" applyAlignment="1">
      <alignment horizontal="center" vertical="center"/>
    </xf>
    <xf numFmtId="182" fontId="15" fillId="8" borderId="2" xfId="0" applyNumberFormat="1" applyFont="1" applyFill="1" applyBorder="1" applyAlignment="1">
      <alignment horizontal="center" vertical="center"/>
    </xf>
    <xf numFmtId="176" fontId="15" fillId="0" borderId="15" xfId="0" applyNumberFormat="1" applyFont="1" applyFill="1" applyBorder="1" applyAlignment="1">
      <alignment horizontal="center" vertical="center"/>
    </xf>
    <xf numFmtId="10" fontId="15" fillId="0" borderId="2" xfId="0" applyNumberFormat="1" applyFont="1" applyFill="1" applyBorder="1" applyAlignment="1">
      <alignment horizontal="center" vertical="center"/>
    </xf>
    <xf numFmtId="176" fontId="15" fillId="0" borderId="2" xfId="0" applyNumberFormat="1" applyFont="1" applyFill="1" applyBorder="1" applyAlignment="1">
      <alignment horizontal="center" vertical="center"/>
    </xf>
    <xf numFmtId="176" fontId="15" fillId="0" borderId="21" xfId="0" applyNumberFormat="1" applyFont="1" applyFill="1" applyBorder="1" applyAlignment="1">
      <alignment horizontal="center" vertical="center"/>
    </xf>
    <xf numFmtId="0" fontId="15" fillId="5" borderId="1" xfId="0" applyNumberFormat="1" applyFont="1" applyFill="1" applyBorder="1" applyAlignment="1" applyProtection="1">
      <alignment horizontal="left" vertical="center" wrapText="1"/>
      <protection locked="0"/>
    </xf>
    <xf numFmtId="9" fontId="40" fillId="0" borderId="1" xfId="0" applyNumberFormat="1" applyFont="1" applyFill="1" applyBorder="1" applyAlignment="1">
      <alignment horizontal="center" vertical="center"/>
    </xf>
    <xf numFmtId="10" fontId="41" fillId="0" borderId="19" xfId="0" applyNumberFormat="1" applyFont="1" applyFill="1" applyBorder="1" applyAlignment="1">
      <alignment horizontal="center" vertical="center"/>
    </xf>
    <xf numFmtId="10" fontId="41" fillId="0" borderId="20" xfId="0" applyNumberFormat="1" applyFont="1" applyFill="1" applyBorder="1" applyAlignment="1">
      <alignment horizontal="center" vertical="center"/>
    </xf>
    <xf numFmtId="0" fontId="28" fillId="6" borderId="11" xfId="0" applyNumberFormat="1" applyFont="1" applyFill="1" applyBorder="1" applyAlignment="1" applyProtection="1">
      <alignment horizontal="left" vertical="center" wrapText="1"/>
      <protection locked="0"/>
    </xf>
    <xf numFmtId="0" fontId="28" fillId="0" borderId="11" xfId="0" applyNumberFormat="1" applyFont="1" applyFill="1" applyBorder="1" applyAlignment="1" applyProtection="1">
      <alignment horizontal="left" vertical="center" wrapText="1"/>
      <protection locked="0"/>
    </xf>
    <xf numFmtId="0" fontId="13" fillId="9" borderId="1" xfId="0" applyFont="1" applyFill="1" applyBorder="1" applyAlignment="1">
      <alignment horizontal="center" vertical="center" wrapText="1"/>
    </xf>
    <xf numFmtId="0" fontId="10" fillId="9" borderId="6" xfId="10" applyFont="1" applyFill="1" applyBorder="1" applyAlignment="1">
      <alignment horizontal="center" vertical="center"/>
    </xf>
    <xf numFmtId="0" fontId="13" fillId="9" borderId="1" xfId="10" applyFont="1" applyFill="1" applyBorder="1" applyAlignment="1">
      <alignment horizontal="center" vertical="center" wrapText="1"/>
    </xf>
    <xf numFmtId="0" fontId="13" fillId="9" borderId="6" xfId="10" applyFont="1" applyFill="1" applyBorder="1" applyAlignment="1">
      <alignment horizontal="center" vertical="center"/>
    </xf>
    <xf numFmtId="0" fontId="4" fillId="9" borderId="1" xfId="0" applyFont="1" applyFill="1" applyBorder="1" applyAlignment="1">
      <alignment horizontal="center" vertical="center" wrapText="1"/>
    </xf>
    <xf numFmtId="0" fontId="13" fillId="9" borderId="7" xfId="10" applyFont="1" applyFill="1" applyBorder="1" applyAlignment="1">
      <alignment horizontal="center" vertical="center" wrapText="1"/>
    </xf>
    <xf numFmtId="0" fontId="17" fillId="0" borderId="1" xfId="0" applyFont="1" applyFill="1" applyBorder="1" applyAlignment="1">
      <alignment horizontal="center" vertical="center"/>
    </xf>
    <xf numFmtId="0" fontId="10" fillId="9" borderId="6" xfId="10" applyFont="1" applyFill="1" applyBorder="1" applyAlignment="1">
      <alignment horizontal="center" vertical="center"/>
    </xf>
    <xf numFmtId="0" fontId="13" fillId="9" borderId="1" xfId="0" applyFont="1" applyFill="1" applyBorder="1" applyAlignment="1">
      <alignment horizontal="center" vertical="center" wrapText="1"/>
    </xf>
    <xf numFmtId="0" fontId="23" fillId="4" borderId="7" xfId="0" applyFont="1" applyFill="1" applyBorder="1" applyAlignment="1">
      <alignment horizontal="center" vertical="center"/>
    </xf>
    <xf numFmtId="0" fontId="23" fillId="4" borderId="1" xfId="0" applyFont="1" applyFill="1" applyBorder="1" applyAlignment="1">
      <alignment horizontal="center" vertical="center"/>
    </xf>
    <xf numFmtId="176" fontId="15" fillId="0" borderId="7" xfId="0" applyNumberFormat="1" applyFont="1" applyFill="1" applyBorder="1" applyAlignment="1">
      <alignment horizontal="center" vertical="center"/>
    </xf>
    <xf numFmtId="10" fontId="15" fillId="0" borderId="7" xfId="0" applyNumberFormat="1" applyFont="1" applyFill="1" applyBorder="1" applyAlignment="1">
      <alignment horizontal="center" vertical="center"/>
    </xf>
    <xf numFmtId="179" fontId="15" fillId="0" borderId="11" xfId="0" applyNumberFormat="1" applyFont="1" applyFill="1" applyBorder="1" applyAlignment="1">
      <alignment horizontal="center" vertical="center"/>
    </xf>
    <xf numFmtId="179" fontId="15" fillId="0" borderId="10" xfId="0" applyNumberFormat="1" applyFont="1" applyFill="1" applyBorder="1" applyAlignment="1">
      <alignment horizontal="center" vertical="center"/>
    </xf>
    <xf numFmtId="0" fontId="13" fillId="8" borderId="1" xfId="0" applyNumberFormat="1" applyFont="1" applyFill="1" applyBorder="1" applyAlignment="1" applyProtection="1">
      <alignment horizontal="left" vertical="center" wrapText="1"/>
      <protection locked="0"/>
    </xf>
    <xf numFmtId="0" fontId="15" fillId="0" borderId="1" xfId="10" applyFont="1" applyFill="1" applyBorder="1">
      <alignment vertical="center"/>
    </xf>
    <xf numFmtId="176" fontId="15" fillId="8" borderId="2" xfId="0" applyNumberFormat="1" applyFont="1" applyFill="1" applyBorder="1" applyAlignment="1">
      <alignment horizontal="center" vertical="center"/>
    </xf>
    <xf numFmtId="10" fontId="15" fillId="8" borderId="2" xfId="0" applyNumberFormat="1" applyFont="1" applyFill="1" applyBorder="1" applyAlignment="1">
      <alignment horizontal="center" vertical="center"/>
    </xf>
    <xf numFmtId="0" fontId="19" fillId="4" borderId="7" xfId="0" applyFont="1" applyFill="1" applyBorder="1" applyAlignment="1">
      <alignment horizontal="center" vertical="center" wrapText="1"/>
    </xf>
    <xf numFmtId="177" fontId="18" fillId="8" borderId="2" xfId="0" applyNumberFormat="1" applyFont="1" applyFill="1" applyBorder="1" applyAlignment="1">
      <alignment horizontal="center" vertical="center"/>
    </xf>
    <xf numFmtId="10" fontId="18" fillId="8" borderId="2" xfId="0" applyNumberFormat="1" applyFont="1" applyFill="1" applyBorder="1" applyAlignment="1">
      <alignment horizontal="center" vertical="center"/>
    </xf>
    <xf numFmtId="10" fontId="15" fillId="0" borderId="1" xfId="0" applyNumberFormat="1" applyFont="1" applyFill="1" applyBorder="1" applyAlignment="1">
      <alignment horizontal="center" vertical="center" wrapText="1"/>
    </xf>
    <xf numFmtId="0" fontId="43" fillId="0" borderId="22" xfId="0" applyFont="1" applyBorder="1" applyAlignment="1">
      <alignment horizontal="left" vertical="center" wrapText="1" readingOrder="1"/>
    </xf>
    <xf numFmtId="0" fontId="43" fillId="0" borderId="22" xfId="0" applyFont="1" applyBorder="1" applyAlignment="1">
      <alignment horizontal="center" vertical="center" wrapText="1" readingOrder="1"/>
    </xf>
    <xf numFmtId="0" fontId="44" fillId="18" borderId="23" xfId="0" applyFont="1" applyFill="1" applyBorder="1" applyAlignment="1">
      <alignment horizontal="center" vertical="center" wrapText="1" readingOrder="1"/>
    </xf>
    <xf numFmtId="0" fontId="46" fillId="0" borderId="1" xfId="0" applyFont="1" applyBorder="1" applyAlignment="1">
      <alignment horizontal="left" vertical="center" wrapText="1" readingOrder="1"/>
    </xf>
    <xf numFmtId="0" fontId="46" fillId="0" borderId="1" xfId="0" applyFont="1" applyBorder="1" applyAlignment="1">
      <alignment horizontal="center" vertical="center" wrapText="1" readingOrder="1"/>
    </xf>
    <xf numFmtId="0" fontId="45" fillId="0" borderId="1" xfId="0" applyFont="1" applyBorder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42" fillId="0" borderId="22" xfId="0" applyFont="1" applyBorder="1" applyAlignment="1">
      <alignment horizontal="left" vertical="center" wrapText="1" readingOrder="1"/>
    </xf>
    <xf numFmtId="0" fontId="23" fillId="0" borderId="0" xfId="0" applyFont="1" applyAlignment="1">
      <alignment horizontal="center" vertical="center"/>
    </xf>
    <xf numFmtId="10" fontId="47" fillId="0" borderId="22" xfId="0" applyNumberFormat="1" applyFont="1" applyBorder="1" applyAlignment="1">
      <alignment horizontal="center" vertical="center" wrapText="1" readingOrder="1"/>
    </xf>
    <xf numFmtId="10" fontId="43" fillId="0" borderId="22" xfId="0" applyNumberFormat="1" applyFont="1" applyBorder="1" applyAlignment="1">
      <alignment horizontal="center" vertical="center" wrapText="1" readingOrder="1"/>
    </xf>
    <xf numFmtId="0" fontId="48" fillId="0" borderId="22" xfId="0" applyFont="1" applyBorder="1" applyAlignment="1">
      <alignment horizontal="center" vertical="center" wrapText="1" readingOrder="1"/>
    </xf>
    <xf numFmtId="0" fontId="49" fillId="0" borderId="22" xfId="0" applyFont="1" applyBorder="1" applyAlignment="1">
      <alignment horizontal="center" vertical="center" wrapText="1" readingOrder="1"/>
    </xf>
    <xf numFmtId="9" fontId="43" fillId="0" borderId="22" xfId="0" applyNumberFormat="1" applyFont="1" applyBorder="1" applyAlignment="1">
      <alignment horizontal="center" vertical="center" wrapText="1" readingOrder="1"/>
    </xf>
    <xf numFmtId="0" fontId="36" fillId="0" borderId="22" xfId="0" applyFont="1" applyBorder="1" applyAlignment="1">
      <alignment horizontal="center" vertical="center" wrapText="1" readingOrder="1"/>
    </xf>
    <xf numFmtId="0" fontId="42" fillId="0" borderId="0" xfId="0" applyFont="1" applyBorder="1" applyAlignment="1">
      <alignment horizontal="center" vertical="center" wrapText="1" readingOrder="1"/>
    </xf>
    <xf numFmtId="0" fontId="43" fillId="0" borderId="0" xfId="0" applyFont="1" applyBorder="1" applyAlignment="1">
      <alignment horizontal="center" vertical="center" wrapText="1" readingOrder="1"/>
    </xf>
    <xf numFmtId="0" fontId="42" fillId="0" borderId="0" xfId="0" applyFont="1" applyBorder="1" applyAlignment="1">
      <alignment horizontal="left" vertical="center" wrapText="1" readingOrder="1"/>
    </xf>
    <xf numFmtId="10" fontId="43" fillId="0" borderId="0" xfId="0" applyNumberFormat="1" applyFont="1" applyBorder="1" applyAlignment="1">
      <alignment horizontal="center" vertical="center" wrapText="1" readingOrder="1"/>
    </xf>
    <xf numFmtId="0" fontId="48" fillId="0" borderId="0" xfId="0" applyFont="1" applyBorder="1" applyAlignment="1">
      <alignment horizontal="center" vertical="center" wrapText="1" readingOrder="1"/>
    </xf>
    <xf numFmtId="0" fontId="42" fillId="0" borderId="22" xfId="0" applyFont="1" applyBorder="1" applyAlignment="1">
      <alignment horizontal="center" vertical="center" wrapText="1" readingOrder="1"/>
    </xf>
    <xf numFmtId="0" fontId="47" fillId="0" borderId="22" xfId="0" applyFont="1" applyBorder="1" applyAlignment="1">
      <alignment horizontal="center" vertical="center" wrapText="1" readingOrder="1"/>
    </xf>
    <xf numFmtId="0" fontId="50" fillId="0" borderId="22" xfId="0" applyFont="1" applyBorder="1" applyAlignment="1">
      <alignment horizontal="center" wrapText="1" readingOrder="1"/>
    </xf>
    <xf numFmtId="0" fontId="51" fillId="0" borderId="22" xfId="0" applyFont="1" applyBorder="1" applyAlignment="1">
      <alignment horizontal="center" wrapText="1" readingOrder="1"/>
    </xf>
    <xf numFmtId="0" fontId="7" fillId="0" borderId="1" xfId="0" applyFont="1" applyBorder="1" applyAlignment="1">
      <alignment horizontal="center" vertical="center" wrapText="1"/>
    </xf>
    <xf numFmtId="0" fontId="4" fillId="2" borderId="1" xfId="0" applyFont="1" applyFill="1" applyBorder="1" applyAlignment="1">
      <alignment horizontal="center" vertical="center" wrapText="1"/>
    </xf>
    <xf numFmtId="180" fontId="15" fillId="17" borderId="1" xfId="0" applyNumberFormat="1" applyFont="1" applyFill="1" applyBorder="1" applyAlignment="1">
      <alignment horizontal="center" vertical="center"/>
    </xf>
    <xf numFmtId="180" fontId="15" fillId="0" borderId="1" xfId="0" applyNumberFormat="1" applyFont="1" applyBorder="1" applyAlignment="1">
      <alignment horizontal="center" vertical="center"/>
    </xf>
    <xf numFmtId="177" fontId="15" fillId="0" borderId="7" xfId="0" applyNumberFormat="1" applyFont="1" applyFill="1" applyBorder="1" applyAlignment="1">
      <alignment horizontal="center" vertical="center"/>
    </xf>
    <xf numFmtId="0" fontId="52" fillId="0" borderId="1" xfId="0" applyFont="1" applyBorder="1" applyAlignment="1">
      <alignment horizontal="center" vertical="center"/>
    </xf>
    <xf numFmtId="0" fontId="52" fillId="4" borderId="1" xfId="0" applyFont="1" applyFill="1" applyBorder="1" applyAlignment="1">
      <alignment horizontal="center" vertical="center"/>
    </xf>
    <xf numFmtId="177" fontId="15" fillId="0" borderId="14" xfId="0" applyNumberFormat="1" applyFont="1" applyFill="1" applyBorder="1" applyAlignment="1">
      <alignment horizontal="center" vertical="center"/>
    </xf>
    <xf numFmtId="0" fontId="15" fillId="0" borderId="13" xfId="0" applyNumberFormat="1" applyFont="1" applyFill="1" applyBorder="1" applyAlignment="1">
      <alignment horizontal="center" vertical="center"/>
    </xf>
    <xf numFmtId="177" fontId="40" fillId="0" borderId="19" xfId="0" applyNumberFormat="1" applyFont="1" applyBorder="1" applyAlignment="1">
      <alignment horizontal="center" vertical="center"/>
    </xf>
    <xf numFmtId="177" fontId="40" fillId="0" borderId="20" xfId="0" applyNumberFormat="1" applyFont="1" applyBorder="1" applyAlignment="1">
      <alignment horizontal="center" vertical="center"/>
    </xf>
    <xf numFmtId="177" fontId="40" fillId="0" borderId="1" xfId="0" applyNumberFormat="1" applyFont="1" applyFill="1" applyBorder="1" applyAlignment="1">
      <alignment horizontal="center" vertical="center"/>
    </xf>
    <xf numFmtId="177" fontId="41" fillId="0" borderId="19" xfId="0" applyNumberFormat="1" applyFont="1" applyFill="1" applyBorder="1" applyAlignment="1">
      <alignment horizontal="center" vertical="center"/>
    </xf>
    <xf numFmtId="177" fontId="41" fillId="0" borderId="20" xfId="0" applyNumberFormat="1" applyFont="1" applyFill="1" applyBorder="1" applyAlignment="1">
      <alignment horizontal="center" vertical="center"/>
    </xf>
    <xf numFmtId="177" fontId="15" fillId="0" borderId="1" xfId="10" applyNumberFormat="1" applyFont="1" applyFill="1" applyBorder="1" applyAlignment="1">
      <alignment horizontal="center" vertical="center"/>
    </xf>
    <xf numFmtId="177" fontId="15" fillId="0" borderId="7" xfId="0" applyNumberFormat="1" applyFont="1" applyFill="1" applyBorder="1" applyAlignment="1" applyProtection="1">
      <alignment horizontal="center" vertical="center"/>
      <protection locked="0"/>
    </xf>
    <xf numFmtId="176" fontId="15" fillId="0" borderId="6" xfId="0" applyNumberFormat="1" applyFont="1" applyFill="1" applyBorder="1" applyAlignment="1">
      <alignment horizontal="center" vertical="center"/>
    </xf>
    <xf numFmtId="2" fontId="15" fillId="0" borderId="1" xfId="0" applyNumberFormat="1" applyFont="1" applyFill="1" applyBorder="1" applyAlignment="1">
      <alignment horizontal="center" vertical="center"/>
    </xf>
    <xf numFmtId="181" fontId="15" fillId="0" borderId="1" xfId="23" applyNumberFormat="1" applyFont="1" applyBorder="1" applyAlignment="1">
      <alignment horizontal="center" vertical="center"/>
    </xf>
    <xf numFmtId="9" fontId="15" fillId="0" borderId="1" xfId="23" applyFont="1" applyBorder="1" applyAlignment="1">
      <alignment horizontal="center" vertical="center"/>
    </xf>
    <xf numFmtId="177" fontId="15" fillId="0" borderId="1" xfId="0" applyNumberFormat="1" applyFont="1" applyFill="1" applyBorder="1" applyAlignment="1">
      <alignment horizontal="center" vertical="center" wrapText="1"/>
    </xf>
    <xf numFmtId="177" fontId="15" fillId="8" borderId="2" xfId="0" applyNumberFormat="1" applyFont="1" applyFill="1" applyBorder="1" applyAlignment="1">
      <alignment horizontal="center" vertical="center"/>
    </xf>
    <xf numFmtId="2" fontId="6" fillId="0" borderId="1" xfId="0" applyNumberFormat="1" applyFont="1" applyFill="1" applyBorder="1" applyAlignment="1">
      <alignment horizontal="center" vertical="center"/>
    </xf>
    <xf numFmtId="9" fontId="6" fillId="0" borderId="1" xfId="2" applyFont="1" applyFill="1" applyBorder="1" applyAlignment="1">
      <alignment horizontal="center" vertical="center"/>
    </xf>
    <xf numFmtId="179" fontId="6" fillId="0" borderId="1" xfId="0" applyNumberFormat="1" applyFont="1" applyFill="1" applyBorder="1" applyAlignment="1">
      <alignment horizontal="center" vertical="center"/>
    </xf>
    <xf numFmtId="9" fontId="53" fillId="0" borderId="1" xfId="2" applyFont="1" applyFill="1" applyBorder="1" applyAlignment="1">
      <alignment horizontal="center" vertical="center"/>
    </xf>
    <xf numFmtId="2" fontId="53" fillId="0" borderId="1" xfId="0" applyNumberFormat="1" applyFont="1" applyFill="1" applyBorder="1" applyAlignment="1">
      <alignment horizontal="center" vertical="center"/>
    </xf>
    <xf numFmtId="2" fontId="6" fillId="12" borderId="1" xfId="0" applyNumberFormat="1" applyFont="1" applyFill="1" applyBorder="1" applyAlignment="1">
      <alignment horizontal="center" vertical="center"/>
    </xf>
    <xf numFmtId="9" fontId="6" fillId="12" borderId="1" xfId="2" applyFont="1" applyFill="1" applyBorder="1" applyAlignment="1">
      <alignment horizontal="center" vertical="center"/>
    </xf>
    <xf numFmtId="179" fontId="8" fillId="0" borderId="1" xfId="10" applyNumberFormat="1" applyFont="1" applyFill="1" applyBorder="1">
      <alignment vertical="center"/>
    </xf>
    <xf numFmtId="2" fontId="8" fillId="0" borderId="1" xfId="10" applyNumberFormat="1" applyFont="1" applyFill="1" applyBorder="1">
      <alignment vertical="center"/>
    </xf>
    <xf numFmtId="179" fontId="8" fillId="20" borderId="1" xfId="10" applyNumberFormat="1" applyFont="1" applyFill="1" applyBorder="1">
      <alignment vertical="center"/>
    </xf>
    <xf numFmtId="2" fontId="8" fillId="20" borderId="1" xfId="10" applyNumberFormat="1" applyFont="1" applyFill="1" applyBorder="1">
      <alignment vertical="center"/>
    </xf>
    <xf numFmtId="9" fontId="8" fillId="0" borderId="1" xfId="10" applyNumberFormat="1" applyFont="1" applyFill="1" applyBorder="1">
      <alignment vertical="center"/>
    </xf>
    <xf numFmtId="181" fontId="8" fillId="0" borderId="1" xfId="10" applyNumberFormat="1" applyFont="1" applyFill="1" applyBorder="1">
      <alignment vertical="center"/>
    </xf>
    <xf numFmtId="10" fontId="8" fillId="0" borderId="1" xfId="10" applyNumberFormat="1" applyFont="1" applyFill="1" applyBorder="1">
      <alignment vertical="center"/>
    </xf>
    <xf numFmtId="179" fontId="8" fillId="0" borderId="1" xfId="10" applyNumberFormat="1" applyFont="1" applyFill="1" applyBorder="1" applyAlignment="1">
      <alignment horizontal="center" vertical="center"/>
    </xf>
    <xf numFmtId="2" fontId="8" fillId="0" borderId="1" xfId="10" applyNumberFormat="1" applyFont="1" applyFill="1" applyBorder="1" applyAlignment="1">
      <alignment horizontal="center" vertical="center"/>
    </xf>
    <xf numFmtId="9" fontId="8" fillId="0" borderId="1" xfId="10" applyNumberFormat="1" applyFont="1" applyFill="1" applyBorder="1" applyAlignment="1">
      <alignment horizontal="center" vertical="center"/>
    </xf>
    <xf numFmtId="181" fontId="8" fillId="0" borderId="1" xfId="10" applyNumberFormat="1" applyFont="1" applyFill="1" applyBorder="1" applyAlignment="1">
      <alignment horizontal="center" vertical="center"/>
    </xf>
    <xf numFmtId="10" fontId="8" fillId="0" borderId="1" xfId="10" applyNumberFormat="1" applyFont="1" applyFill="1" applyBorder="1" applyAlignment="1">
      <alignment horizontal="center" vertical="center"/>
    </xf>
    <xf numFmtId="10" fontId="8" fillId="0" borderId="1" xfId="2" applyNumberFormat="1" applyFont="1" applyFill="1" applyBorder="1" applyAlignment="1">
      <alignment horizontal="center" vertical="center"/>
    </xf>
    <xf numFmtId="177" fontId="8" fillId="0" borderId="1" xfId="0" applyNumberFormat="1" applyFont="1" applyFill="1" applyBorder="1" applyAlignment="1">
      <alignment horizontal="center" vertical="center"/>
    </xf>
    <xf numFmtId="179" fontId="8" fillId="0" borderId="1" xfId="0" applyNumberFormat="1" applyFont="1" applyFill="1" applyBorder="1" applyAlignment="1">
      <alignment horizontal="center" vertical="center"/>
    </xf>
    <xf numFmtId="180" fontId="8" fillId="0" borderId="1" xfId="0" applyNumberFormat="1" applyFont="1" applyFill="1" applyBorder="1" applyAlignment="1">
      <alignment horizontal="center" vertical="center"/>
    </xf>
    <xf numFmtId="179" fontId="8" fillId="21" borderId="1" xfId="0" applyNumberFormat="1" applyFont="1" applyFill="1" applyBorder="1" applyAlignment="1">
      <alignment horizontal="center" vertical="center"/>
    </xf>
    <xf numFmtId="177" fontId="8" fillId="21" borderId="1" xfId="0" applyNumberFormat="1" applyFont="1" applyFill="1" applyBorder="1" applyAlignment="1">
      <alignment horizontal="center" vertical="center"/>
    </xf>
    <xf numFmtId="179" fontId="8" fillId="22" borderId="1" xfId="0" applyNumberFormat="1" applyFont="1" applyFill="1" applyBorder="1" applyAlignment="1">
      <alignment horizontal="center" vertical="center"/>
    </xf>
    <xf numFmtId="177" fontId="8" fillId="22" borderId="1" xfId="0" applyNumberFormat="1" applyFont="1" applyFill="1" applyBorder="1" applyAlignment="1">
      <alignment horizontal="center" vertical="center"/>
    </xf>
    <xf numFmtId="10" fontId="8" fillId="0" borderId="1" xfId="0" applyNumberFormat="1" applyFont="1" applyFill="1" applyBorder="1" applyAlignment="1">
      <alignment horizontal="center" vertical="center"/>
    </xf>
    <xf numFmtId="2" fontId="10" fillId="0" borderId="1" xfId="0" applyNumberFormat="1" applyFont="1" applyFill="1" applyBorder="1" applyAlignment="1">
      <alignment horizontal="center" vertical="center"/>
    </xf>
    <xf numFmtId="2" fontId="8" fillId="0" borderId="1" xfId="0" applyNumberFormat="1" applyFont="1" applyFill="1" applyBorder="1" applyAlignment="1">
      <alignment horizontal="center" vertical="center"/>
    </xf>
    <xf numFmtId="9" fontId="10" fillId="0" borderId="1" xfId="2" applyFont="1" applyFill="1" applyBorder="1" applyAlignment="1">
      <alignment horizontal="center" vertical="center"/>
    </xf>
    <xf numFmtId="9" fontId="8" fillId="0" borderId="1" xfId="2" applyFont="1" applyFill="1" applyBorder="1" applyAlignment="1">
      <alignment horizontal="center" vertical="center"/>
    </xf>
    <xf numFmtId="2" fontId="53" fillId="13" borderId="1" xfId="0" applyNumberFormat="1" applyFont="1" applyFill="1" applyBorder="1" applyAlignment="1">
      <alignment horizontal="center" vertical="center"/>
    </xf>
    <xf numFmtId="2" fontId="32" fillId="0" borderId="1" xfId="0" applyNumberFormat="1" applyFont="1" applyFill="1" applyBorder="1" applyAlignment="1">
      <alignment horizontal="center" vertical="center"/>
    </xf>
    <xf numFmtId="179" fontId="6" fillId="13" borderId="1" xfId="0" applyNumberFormat="1" applyFont="1" applyFill="1" applyBorder="1" applyAlignment="1">
      <alignment horizontal="center" vertical="center"/>
    </xf>
    <xf numFmtId="179" fontId="37" fillId="23" borderId="1" xfId="0" applyNumberFormat="1" applyFont="1" applyFill="1" applyBorder="1" applyAlignment="1">
      <alignment horizontal="center" vertical="center"/>
    </xf>
    <xf numFmtId="2" fontId="37" fillId="24" borderId="1" xfId="0" applyNumberFormat="1" applyFont="1" applyFill="1" applyBorder="1" applyAlignment="1">
      <alignment horizontal="center" vertical="center"/>
    </xf>
    <xf numFmtId="2" fontId="37" fillId="0" borderId="1" xfId="0" applyNumberFormat="1" applyFont="1" applyFill="1" applyBorder="1" applyAlignment="1">
      <alignment horizontal="center" vertical="center"/>
    </xf>
    <xf numFmtId="10" fontId="37" fillId="24" borderId="1" xfId="2" applyNumberFormat="1" applyFont="1" applyFill="1" applyBorder="1" applyAlignment="1">
      <alignment horizontal="center" vertical="center"/>
    </xf>
    <xf numFmtId="9" fontId="37" fillId="0" borderId="1" xfId="2" applyFont="1" applyFill="1" applyBorder="1" applyAlignment="1">
      <alignment horizontal="center" vertical="center"/>
    </xf>
    <xf numFmtId="9" fontId="37" fillId="24" borderId="1" xfId="2" applyFont="1" applyFill="1" applyBorder="1" applyAlignment="1">
      <alignment horizontal="center" vertical="center"/>
    </xf>
    <xf numFmtId="179" fontId="37" fillId="0" borderId="1" xfId="0" applyNumberFormat="1" applyFont="1" applyFill="1" applyBorder="1" applyAlignment="1">
      <alignment horizontal="center" vertical="center"/>
    </xf>
    <xf numFmtId="2" fontId="6" fillId="22" borderId="1" xfId="0" applyNumberFormat="1" applyFont="1" applyFill="1" applyBorder="1" applyAlignment="1">
      <alignment horizontal="center" vertical="center"/>
    </xf>
    <xf numFmtId="2" fontId="5" fillId="22" borderId="1" xfId="0" applyNumberFormat="1" applyFont="1" applyFill="1" applyBorder="1" applyAlignment="1">
      <alignment horizontal="center" vertical="center"/>
    </xf>
    <xf numFmtId="9" fontId="6" fillId="22" borderId="1" xfId="2" applyFont="1" applyFill="1" applyBorder="1" applyAlignment="1">
      <alignment horizontal="center" vertical="center"/>
    </xf>
    <xf numFmtId="10" fontId="6" fillId="22" borderId="1" xfId="2" applyNumberFormat="1" applyFont="1" applyFill="1" applyBorder="1" applyAlignment="1">
      <alignment horizontal="center" vertical="center"/>
    </xf>
    <xf numFmtId="2" fontId="5" fillId="22" borderId="3" xfId="10" applyNumberFormat="1" applyFont="1" applyFill="1" applyBorder="1" applyAlignment="1">
      <alignment horizontal="center" vertical="center"/>
    </xf>
    <xf numFmtId="182" fontId="6" fillId="22" borderId="1" xfId="0" applyNumberFormat="1" applyFont="1" applyFill="1" applyBorder="1" applyAlignment="1">
      <alignment horizontal="center" vertical="center"/>
    </xf>
    <xf numFmtId="9" fontId="6" fillId="22" borderId="1" xfId="0" applyNumberFormat="1" applyFont="1" applyFill="1" applyBorder="1" applyAlignment="1">
      <alignment horizontal="center" vertical="center"/>
    </xf>
    <xf numFmtId="179" fontId="6" fillId="22" borderId="1" xfId="0" applyNumberFormat="1" applyFont="1" applyFill="1" applyBorder="1" applyAlignment="1">
      <alignment horizontal="center" vertical="center"/>
    </xf>
    <xf numFmtId="182" fontId="6" fillId="22" borderId="1" xfId="2" applyNumberFormat="1" applyFont="1" applyFill="1" applyBorder="1" applyAlignment="1">
      <alignment horizontal="center" vertical="center"/>
    </xf>
    <xf numFmtId="10" fontId="6" fillId="22" borderId="1" xfId="0" applyNumberFormat="1" applyFont="1" applyFill="1" applyBorder="1" applyAlignment="1">
      <alignment horizontal="center" vertical="center"/>
    </xf>
    <xf numFmtId="179" fontId="5" fillId="0" borderId="1" xfId="0" applyNumberFormat="1" applyFont="1" applyFill="1" applyBorder="1" applyAlignment="1">
      <alignment horizontal="center" vertical="center"/>
    </xf>
    <xf numFmtId="2" fontId="5" fillId="0" borderId="1" xfId="0" applyNumberFormat="1" applyFont="1" applyFill="1" applyBorder="1" applyAlignment="1">
      <alignment horizontal="center" vertical="center"/>
    </xf>
    <xf numFmtId="10" fontId="5" fillId="0" borderId="1" xfId="2" applyNumberFormat="1" applyFont="1" applyFill="1" applyBorder="1" applyAlignment="1">
      <alignment horizontal="center" vertical="center"/>
    </xf>
    <xf numFmtId="9" fontId="5" fillId="0" borderId="1" xfId="2" applyFont="1" applyFill="1" applyBorder="1" applyAlignment="1">
      <alignment horizontal="center" vertical="center"/>
    </xf>
    <xf numFmtId="10" fontId="3" fillId="0" borderId="1" xfId="7" applyNumberFormat="1" applyBorder="1">
      <alignment vertical="center"/>
    </xf>
    <xf numFmtId="179" fontId="6" fillId="0" borderId="1" xfId="0" applyNumberFormat="1" applyFont="1" applyFill="1" applyBorder="1" applyAlignment="1">
      <alignment horizontal="center" vertical="center"/>
    </xf>
    <xf numFmtId="2" fontId="6" fillId="0" borderId="1" xfId="0" applyNumberFormat="1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5" fillId="12" borderId="2" xfId="0" applyNumberFormat="1" applyFont="1" applyFill="1" applyBorder="1" applyAlignment="1" applyProtection="1">
      <alignment horizontal="left" vertical="center"/>
      <protection locked="0"/>
    </xf>
    <xf numFmtId="0" fontId="5" fillId="12" borderId="1" xfId="0" applyNumberFormat="1" applyFont="1" applyFill="1" applyBorder="1" applyAlignment="1" applyProtection="1">
      <alignment horizontal="left" vertical="center"/>
      <protection locked="0"/>
    </xf>
    <xf numFmtId="0" fontId="5" fillId="19" borderId="1" xfId="0" applyNumberFormat="1" applyFont="1" applyFill="1" applyBorder="1" applyAlignment="1" applyProtection="1">
      <alignment horizontal="left" vertical="center"/>
      <protection locked="0"/>
    </xf>
    <xf numFmtId="0" fontId="38" fillId="24" borderId="3" xfId="0" applyFont="1" applyFill="1" applyBorder="1" applyAlignment="1">
      <alignment horizontal="center" vertical="center"/>
    </xf>
    <xf numFmtId="0" fontId="33" fillId="24" borderId="3" xfId="0" applyFont="1" applyFill="1" applyBorder="1" applyAlignment="1">
      <alignment horizontal="center" vertical="center"/>
    </xf>
    <xf numFmtId="0" fontId="10" fillId="24" borderId="3" xfId="0" applyFont="1" applyFill="1" applyBorder="1" applyAlignment="1">
      <alignment horizontal="center" vertical="center"/>
    </xf>
    <xf numFmtId="0" fontId="33" fillId="24" borderId="1" xfId="0" applyFont="1" applyFill="1" applyBorder="1" applyAlignment="1">
      <alignment horizontal="center" vertical="center"/>
    </xf>
    <xf numFmtId="0" fontId="38" fillId="24" borderId="1" xfId="0" applyFont="1" applyFill="1" applyBorder="1" applyAlignment="1">
      <alignment horizontal="center" vertical="center"/>
    </xf>
    <xf numFmtId="0" fontId="10" fillId="24" borderId="1" xfId="0" applyFont="1" applyFill="1" applyBorder="1" applyAlignment="1">
      <alignment horizontal="center" vertical="center"/>
    </xf>
    <xf numFmtId="179" fontId="6" fillId="20" borderId="1" xfId="0" applyNumberFormat="1" applyFont="1" applyFill="1" applyBorder="1" applyAlignment="1">
      <alignment horizontal="center" vertical="center"/>
    </xf>
    <xf numFmtId="9" fontId="6" fillId="20" borderId="1" xfId="2" applyFont="1" applyFill="1" applyBorder="1" applyAlignment="1">
      <alignment horizontal="center" vertical="center"/>
    </xf>
    <xf numFmtId="0" fontId="39" fillId="4" borderId="1" xfId="0" applyNumberFormat="1" applyFont="1" applyFill="1" applyBorder="1" applyAlignment="1" applyProtection="1">
      <alignment horizontal="left" vertical="center" wrapText="1"/>
      <protection locked="0"/>
    </xf>
    <xf numFmtId="180" fontId="6" fillId="0" borderId="1" xfId="0" applyNumberFormat="1" applyFont="1" applyFill="1" applyBorder="1" applyAlignment="1">
      <alignment horizontal="center" vertical="center"/>
    </xf>
    <xf numFmtId="10" fontId="6" fillId="0" borderId="1" xfId="0" applyNumberFormat="1" applyFont="1" applyFill="1" applyBorder="1" applyAlignment="1">
      <alignment horizontal="center" vertical="center"/>
    </xf>
    <xf numFmtId="177" fontId="6" fillId="0" borderId="1" xfId="0" applyNumberFormat="1" applyFont="1" applyFill="1" applyBorder="1" applyAlignment="1">
      <alignment horizontal="center" vertical="center"/>
    </xf>
    <xf numFmtId="0" fontId="5" fillId="4" borderId="1" xfId="0" applyNumberFormat="1" applyFont="1" applyFill="1" applyBorder="1" applyAlignment="1" applyProtection="1">
      <alignment horizontal="left" vertical="center"/>
      <protection locked="0"/>
    </xf>
    <xf numFmtId="0" fontId="5" fillId="3" borderId="1" xfId="0" applyNumberFormat="1" applyFont="1" applyFill="1" applyBorder="1" applyAlignment="1" applyProtection="1">
      <alignment horizontal="left" vertical="center"/>
      <protection locked="0"/>
    </xf>
    <xf numFmtId="0" fontId="30" fillId="6" borderId="1" xfId="0" applyFont="1" applyFill="1" applyBorder="1" applyAlignment="1">
      <alignment vertical="center"/>
    </xf>
    <xf numFmtId="0" fontId="13" fillId="9" borderId="1" xfId="0" applyFont="1" applyFill="1" applyBorder="1" applyAlignment="1">
      <alignment horizontal="center" vertical="center" wrapText="1"/>
    </xf>
    <xf numFmtId="0" fontId="42" fillId="0" borderId="25" xfId="0" applyFont="1" applyBorder="1" applyAlignment="1">
      <alignment horizontal="center" vertical="center" wrapText="1" readingOrder="1"/>
    </xf>
    <xf numFmtId="0" fontId="42" fillId="0" borderId="24" xfId="0" applyFont="1" applyBorder="1" applyAlignment="1">
      <alignment horizontal="center" vertical="center" wrapText="1" readingOrder="1"/>
    </xf>
    <xf numFmtId="0" fontId="10" fillId="9" borderId="5" xfId="10" applyFont="1" applyFill="1" applyBorder="1" applyAlignment="1">
      <alignment horizontal="center" vertical="center"/>
    </xf>
    <xf numFmtId="0" fontId="0" fillId="0" borderId="6" xfId="0" applyFont="1" applyBorder="1" applyAlignment="1">
      <alignment horizontal="center" vertical="center"/>
    </xf>
    <xf numFmtId="0" fontId="0" fillId="0" borderId="7" xfId="0" applyFont="1" applyBorder="1" applyAlignment="1">
      <alignment horizontal="center" vertical="center"/>
    </xf>
    <xf numFmtId="0" fontId="10" fillId="9" borderId="1" xfId="10" applyFont="1" applyFill="1" applyBorder="1" applyAlignment="1">
      <alignment horizontal="center" vertical="center"/>
    </xf>
    <xf numFmtId="0" fontId="16" fillId="0" borderId="1" xfId="10" applyFont="1" applyFill="1" applyBorder="1" applyAlignment="1">
      <alignment horizontal="center" vertical="center" wrapText="1"/>
    </xf>
    <xf numFmtId="0" fontId="13" fillId="9" borderId="1" xfId="0" applyFont="1" applyFill="1" applyBorder="1" applyAlignment="1">
      <alignment horizontal="center" vertical="center" wrapText="1"/>
    </xf>
    <xf numFmtId="0" fontId="12" fillId="0" borderId="1" xfId="0" applyFont="1" applyFill="1" applyBorder="1" applyAlignment="1">
      <alignment horizontal="center" vertical="center"/>
    </xf>
    <xf numFmtId="0" fontId="14" fillId="0" borderId="1" xfId="0" applyFont="1" applyFill="1" applyBorder="1" applyAlignment="1">
      <alignment horizontal="center" vertical="center" wrapText="1"/>
    </xf>
    <xf numFmtId="0" fontId="14" fillId="0" borderId="3" xfId="0" applyFont="1" applyFill="1" applyBorder="1" applyAlignment="1">
      <alignment horizontal="center" vertical="center" wrapText="1"/>
    </xf>
    <xf numFmtId="0" fontId="14" fillId="0" borderId="4" xfId="0" applyFont="1" applyFill="1" applyBorder="1" applyAlignment="1">
      <alignment horizontal="center" vertical="center" wrapText="1"/>
    </xf>
    <xf numFmtId="0" fontId="14" fillId="0" borderId="2" xfId="0" applyFont="1" applyFill="1" applyBorder="1" applyAlignment="1">
      <alignment horizontal="center" vertical="center" wrapText="1"/>
    </xf>
    <xf numFmtId="0" fontId="10" fillId="9" borderId="6" xfId="10" applyFont="1" applyFill="1" applyBorder="1" applyAlignment="1">
      <alignment horizontal="center" vertical="center"/>
    </xf>
    <xf numFmtId="0" fontId="10" fillId="9" borderId="7" xfId="10" applyFont="1" applyFill="1" applyBorder="1" applyAlignment="1">
      <alignment horizontal="center" vertical="center"/>
    </xf>
    <xf numFmtId="0" fontId="13" fillId="9" borderId="5" xfId="10" applyFont="1" applyFill="1" applyBorder="1" applyAlignment="1">
      <alignment horizontal="center" vertical="center" wrapText="1"/>
    </xf>
    <xf numFmtId="0" fontId="13" fillId="9" borderId="6" xfId="10" applyFont="1" applyFill="1" applyBorder="1" applyAlignment="1">
      <alignment horizontal="center" vertical="center" wrapText="1"/>
    </xf>
    <xf numFmtId="0" fontId="13" fillId="9" borderId="7" xfId="10" applyFont="1" applyFill="1" applyBorder="1" applyAlignment="1">
      <alignment horizontal="center" vertical="center" wrapText="1"/>
    </xf>
    <xf numFmtId="0" fontId="13" fillId="9" borderId="5" xfId="10" applyFont="1" applyFill="1" applyBorder="1" applyAlignment="1">
      <alignment horizontal="center" vertical="center"/>
    </xf>
    <xf numFmtId="0" fontId="13" fillId="9" borderId="6" xfId="10" applyFont="1" applyFill="1" applyBorder="1" applyAlignment="1">
      <alignment horizontal="center" vertical="center"/>
    </xf>
    <xf numFmtId="0" fontId="13" fillId="9" borderId="7" xfId="1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11" fillId="0" borderId="3" xfId="0" applyFont="1" applyFill="1" applyBorder="1" applyAlignment="1">
      <alignment horizontal="center" vertical="center" wrapText="1"/>
    </xf>
    <xf numFmtId="0" fontId="11" fillId="0" borderId="4" xfId="0" applyFont="1" applyFill="1" applyBorder="1" applyAlignment="1">
      <alignment horizontal="center" vertical="center" wrapText="1"/>
    </xf>
    <xf numFmtId="0" fontId="11" fillId="0" borderId="2" xfId="0" applyFont="1" applyFill="1" applyBorder="1" applyAlignment="1">
      <alignment horizontal="center" vertical="center" wrapText="1"/>
    </xf>
    <xf numFmtId="0" fontId="4" fillId="9" borderId="1" xfId="0" applyFont="1" applyFill="1" applyBorder="1" applyAlignment="1">
      <alignment horizontal="center" vertical="center" wrapText="1"/>
    </xf>
    <xf numFmtId="0" fontId="0" fillId="0" borderId="1" xfId="0" applyFont="1" applyBorder="1" applyAlignment="1">
      <alignment horizontal="center" vertical="center"/>
    </xf>
    <xf numFmtId="0" fontId="0" fillId="0" borderId="1" xfId="0" applyFont="1" applyBorder="1" applyAlignment="1">
      <alignment horizontal="center" vertical="center" wrapText="1"/>
    </xf>
    <xf numFmtId="0" fontId="13" fillId="9" borderId="1" xfId="10" applyFont="1" applyFill="1" applyBorder="1" applyAlignment="1">
      <alignment horizontal="center" vertical="center" wrapText="1"/>
    </xf>
    <xf numFmtId="0" fontId="17" fillId="0" borderId="3" xfId="0" applyFont="1" applyFill="1" applyBorder="1" applyAlignment="1">
      <alignment horizontal="center" vertical="center"/>
    </xf>
    <xf numFmtId="0" fontId="17" fillId="0" borderId="4" xfId="0" applyFont="1" applyFill="1" applyBorder="1" applyAlignment="1">
      <alignment horizontal="center" vertical="center"/>
    </xf>
    <xf numFmtId="0" fontId="17" fillId="0" borderId="2" xfId="0" applyFont="1" applyFill="1" applyBorder="1" applyAlignment="1">
      <alignment horizontal="center" vertical="center"/>
    </xf>
    <xf numFmtId="0" fontId="13" fillId="9" borderId="1" xfId="10" applyFont="1" applyFill="1" applyBorder="1" applyAlignment="1">
      <alignment horizontal="center" vertical="center"/>
    </xf>
    <xf numFmtId="0" fontId="19" fillId="7" borderId="1" xfId="0" applyFont="1" applyFill="1" applyBorder="1" applyAlignment="1">
      <alignment horizontal="center" vertical="center"/>
    </xf>
    <xf numFmtId="0" fontId="19" fillId="7" borderId="5" xfId="0" applyFont="1" applyFill="1" applyBorder="1" applyAlignment="1">
      <alignment horizontal="center" vertical="center"/>
    </xf>
    <xf numFmtId="0" fontId="19" fillId="7" borderId="6" xfId="0" applyFont="1" applyFill="1" applyBorder="1" applyAlignment="1">
      <alignment horizontal="center" vertical="center"/>
    </xf>
    <xf numFmtId="0" fontId="19" fillId="7" borderId="7" xfId="0" applyFont="1" applyFill="1" applyBorder="1" applyAlignment="1">
      <alignment horizontal="center" vertical="center"/>
    </xf>
    <xf numFmtId="0" fontId="17" fillId="0" borderId="1" xfId="0" applyFont="1" applyFill="1" applyBorder="1" applyAlignment="1">
      <alignment horizontal="center" vertical="center"/>
    </xf>
    <xf numFmtId="0" fontId="10" fillId="15" borderId="1" xfId="10" applyFont="1" applyFill="1" applyBorder="1" applyAlignment="1">
      <alignment horizontal="center" vertical="center"/>
    </xf>
    <xf numFmtId="0" fontId="6" fillId="0" borderId="1" xfId="10" applyFont="1" applyBorder="1" applyAlignment="1">
      <alignment horizontal="center" vertical="center" wrapText="1"/>
    </xf>
    <xf numFmtId="0" fontId="7" fillId="0" borderId="3" xfId="21" applyFont="1" applyBorder="1" applyAlignment="1">
      <alignment horizontal="center" vertical="center" wrapText="1"/>
    </xf>
    <xf numFmtId="0" fontId="7" fillId="0" borderId="4" xfId="21" applyFont="1" applyBorder="1" applyAlignment="1">
      <alignment horizontal="center" vertical="center" wrapText="1"/>
    </xf>
    <xf numFmtId="0" fontId="7" fillId="0" borderId="2" xfId="21" applyFont="1" applyBorder="1" applyAlignment="1">
      <alignment horizontal="center" vertical="center" wrapText="1"/>
    </xf>
    <xf numFmtId="0" fontId="1" fillId="0" borderId="1" xfId="21" applyBorder="1" applyAlignment="1">
      <alignment horizontal="center" vertical="center"/>
    </xf>
    <xf numFmtId="0" fontId="7" fillId="0" borderId="1" xfId="21" applyFont="1" applyBorder="1" applyAlignment="1">
      <alignment horizontal="center" vertical="center" wrapText="1"/>
    </xf>
    <xf numFmtId="0" fontId="4" fillId="2" borderId="1" xfId="21" applyFont="1" applyFill="1" applyBorder="1" applyAlignment="1">
      <alignment horizontal="center" vertical="center" wrapText="1"/>
    </xf>
    <xf numFmtId="0" fontId="4" fillId="2" borderId="5" xfId="21" applyFont="1" applyFill="1" applyBorder="1" applyAlignment="1">
      <alignment horizontal="center" vertical="center" wrapText="1"/>
    </xf>
    <xf numFmtId="0" fontId="10" fillId="9" borderId="16" xfId="10" applyFont="1" applyFill="1" applyBorder="1" applyAlignment="1">
      <alignment horizontal="center" vertical="center"/>
    </xf>
    <xf numFmtId="0" fontId="10" fillId="9" borderId="17" xfId="10" applyFont="1" applyFill="1" applyBorder="1" applyAlignment="1">
      <alignment horizontal="center" vertical="center"/>
    </xf>
    <xf numFmtId="0" fontId="10" fillId="9" borderId="18" xfId="10" applyFont="1" applyFill="1" applyBorder="1" applyAlignment="1">
      <alignment horizontal="center" vertical="center"/>
    </xf>
    <xf numFmtId="0" fontId="10" fillId="15" borderId="7" xfId="10" applyFont="1" applyFill="1" applyBorder="1" applyAlignment="1">
      <alignment horizontal="center" vertical="center"/>
    </xf>
    <xf numFmtId="0" fontId="3" fillId="3" borderId="1" xfId="10" applyFont="1" applyFill="1" applyBorder="1" applyAlignment="1">
      <alignment horizontal="center" vertical="center"/>
    </xf>
    <xf numFmtId="0" fontId="3" fillId="3" borderId="1" xfId="10" applyFill="1" applyBorder="1" applyAlignment="1">
      <alignment horizontal="center" vertical="center"/>
    </xf>
    <xf numFmtId="0" fontId="7" fillId="0" borderId="1" xfId="0" applyFont="1" applyBorder="1" applyAlignment="1">
      <alignment horizontal="center" vertical="center" wrapText="1"/>
    </xf>
    <xf numFmtId="0" fontId="4" fillId="2" borderId="1" xfId="0" applyFont="1" applyFill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0" fontId="7" fillId="0" borderId="4" xfId="0" applyFont="1" applyBorder="1" applyAlignment="1">
      <alignment horizontal="center" vertical="center" wrapText="1"/>
    </xf>
    <xf numFmtId="0" fontId="0" fillId="0" borderId="4" xfId="0" applyFont="1" applyBorder="1" applyAlignment="1">
      <alignment horizontal="center" vertical="center" wrapText="1"/>
    </xf>
    <xf numFmtId="0" fontId="0" fillId="0" borderId="2" xfId="0" applyFont="1" applyBorder="1" applyAlignment="1">
      <alignment horizontal="center" vertical="center" wrapText="1"/>
    </xf>
    <xf numFmtId="0" fontId="3" fillId="0" borderId="10" xfId="7" applyBorder="1" applyAlignment="1">
      <alignment vertical="center"/>
    </xf>
    <xf numFmtId="0" fontId="0" fillId="0" borderId="12" xfId="0" applyFont="1" applyBorder="1" applyAlignment="1">
      <alignment vertical="center"/>
    </xf>
    <xf numFmtId="0" fontId="3" fillId="0" borderId="3" xfId="13" applyFont="1" applyBorder="1" applyAlignment="1">
      <alignment vertical="center"/>
    </xf>
    <xf numFmtId="0" fontId="0" fillId="0" borderId="4" xfId="0" applyFont="1" applyBorder="1" applyAlignment="1">
      <alignment vertical="center"/>
    </xf>
    <xf numFmtId="0" fontId="0" fillId="0" borderId="2" xfId="0" applyFont="1" applyBorder="1" applyAlignment="1">
      <alignment vertical="center"/>
    </xf>
    <xf numFmtId="0" fontId="23" fillId="0" borderId="1" xfId="0" applyFont="1" applyBorder="1" applyAlignment="1">
      <alignment horizontal="center" vertical="center"/>
    </xf>
    <xf numFmtId="0" fontId="3" fillId="0" borderId="3" xfId="10" applyFont="1" applyBorder="1" applyAlignment="1">
      <alignment horizontal="center" vertical="center"/>
    </xf>
    <xf numFmtId="0" fontId="3" fillId="0" borderId="4" xfId="10" applyFont="1" applyBorder="1" applyAlignment="1">
      <alignment horizontal="center" vertical="center"/>
    </xf>
    <xf numFmtId="0" fontId="3" fillId="0" borderId="2" xfId="10" applyFont="1" applyBorder="1" applyAlignment="1">
      <alignment horizontal="center" vertical="center"/>
    </xf>
    <xf numFmtId="0" fontId="3" fillId="0" borderId="10" xfId="7" applyBorder="1" applyAlignment="1">
      <alignment vertical="center" wrapText="1"/>
    </xf>
    <xf numFmtId="0" fontId="0" fillId="0" borderId="12" xfId="0" applyFont="1" applyBorder="1" applyAlignment="1">
      <alignment vertical="center" wrapText="1"/>
    </xf>
  </cellXfs>
  <cellStyles count="26">
    <cellStyle name="RowLevel_8" xfId="0" builtinId="1" iLevel="7"/>
    <cellStyle name="百分比" xfId="2" builtinId="5"/>
    <cellStyle name="百分比 2" xfId="4"/>
    <cellStyle name="百分比 2 2" xfId="23"/>
    <cellStyle name="百分比 3" xfId="18"/>
    <cellStyle name="百分比 4" xfId="22"/>
    <cellStyle name="常规" xfId="0" builtinId="0"/>
    <cellStyle name="常规 10" xfId="21"/>
    <cellStyle name="常规 10 2" xfId="7"/>
    <cellStyle name="常规 11" xfId="8"/>
    <cellStyle name="常规 11 2" xfId="16"/>
    <cellStyle name="常规 14" xfId="14"/>
    <cellStyle name="常规 2" xfId="9"/>
    <cellStyle name="常规 2 2" xfId="6"/>
    <cellStyle name="常规 2 2 3" xfId="25"/>
    <cellStyle name="常规 2 8" xfId="24"/>
    <cellStyle name="常规 3" xfId="10"/>
    <cellStyle name="常规 3 2" xfId="13"/>
    <cellStyle name="常规 4" xfId="11"/>
    <cellStyle name="常规 4 2" xfId="20"/>
    <cellStyle name="常规 5" xfId="12"/>
    <cellStyle name="常规 6" xfId="3"/>
    <cellStyle name="常规 6 2" xfId="5"/>
    <cellStyle name="常规 7" xfId="15"/>
    <cellStyle name="常规 8" xfId="17"/>
    <cellStyle name="常规 9" xfId="19"/>
  </cellStyles>
  <dxfs count="249"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软雅黑"/>
        <scheme val="none"/>
      </font>
      <numFmt numFmtId="177" formatCode="0.00_);[Red]\(0.00\)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软雅黑"/>
        <scheme val="none"/>
      </font>
      <numFmt numFmtId="177" formatCode="0.00_);[Red]\(0.00\)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软雅黑"/>
        <scheme val="none"/>
      </font>
      <numFmt numFmtId="177" formatCode="0.00_);[Red]\(0.00\)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软雅黑"/>
        <scheme val="none"/>
      </font>
      <numFmt numFmtId="177" formatCode="0.00_);[Red]\(0.00\)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软雅黑"/>
        <scheme val="none"/>
      </font>
      <numFmt numFmtId="177" formatCode="0.00_);[Red]\(0.00\)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软雅黑"/>
        <scheme val="none"/>
      </font>
      <numFmt numFmtId="180" formatCode="0.00_ 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软雅黑"/>
        <scheme val="none"/>
      </font>
      <numFmt numFmtId="180" formatCode="0.00_ 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软雅黑"/>
        <scheme val="none"/>
      </font>
      <numFmt numFmtId="180" formatCode="0.00_ 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软雅黑"/>
        <scheme val="none"/>
      </font>
      <numFmt numFmtId="180" formatCode="0.00_ 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76" formatCode="0.0_ 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76" formatCode="0.0_ 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76" formatCode="0.0_ 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76" formatCode="0.0_ 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82" formatCode="0_);[Red]\(0\)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微软雅黑"/>
        <scheme val="none"/>
      </font>
      <numFmt numFmtId="176" formatCode="0.0_ 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微软雅黑"/>
        <scheme val="none"/>
      </font>
      <numFmt numFmtId="176" formatCode="0.0_ 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sz val="9"/>
        <color auto="1"/>
        <name val="微软雅黑"/>
        <scheme val="none"/>
      </font>
      <numFmt numFmtId="176" formatCode="0.0_ "/>
    </dxf>
    <dxf>
      <font>
        <strike val="0"/>
        <outline val="0"/>
        <shadow val="0"/>
        <u val="none"/>
        <vertAlign val="baseline"/>
        <sz val="9"/>
        <color auto="1"/>
        <name val="微软雅黑"/>
        <scheme val="none"/>
      </font>
      <numFmt numFmtId="176" formatCode="0.0_ "/>
    </dxf>
    <dxf>
      <font>
        <strike val="0"/>
        <outline val="0"/>
        <shadow val="0"/>
        <u val="none"/>
        <vertAlign val="baseline"/>
        <sz val="9"/>
        <color auto="1"/>
        <name val="微软雅黑"/>
        <scheme val="none"/>
      </font>
      <numFmt numFmtId="14" formatCode="0.00%"/>
    </dxf>
    <dxf>
      <font>
        <strike val="0"/>
        <outline val="0"/>
        <shadow val="0"/>
        <u val="none"/>
        <vertAlign val="baseline"/>
        <sz val="9"/>
        <color auto="1"/>
        <name val="微软雅黑"/>
        <scheme val="none"/>
      </font>
      <numFmt numFmtId="176" formatCode="0.0_ 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9"/>
        <color auto="1"/>
        <name val="微软雅黑"/>
        <scheme val="none"/>
      </font>
      <numFmt numFmtId="176" formatCode="0.0_ 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微软雅黑"/>
        <scheme val="none"/>
      </font>
      <numFmt numFmtId="176" formatCode="0.0_ 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微软雅黑"/>
        <scheme val="none"/>
      </font>
      <numFmt numFmtId="176" formatCode="0.0_ 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9"/>
        <color auto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微软雅黑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微软雅黑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微软雅黑"/>
        <scheme val="none"/>
      </font>
      <numFmt numFmtId="176" formatCode="0.0_ 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微软雅黑"/>
        <scheme val="none"/>
      </font>
      <numFmt numFmtId="176" formatCode="0.0_ 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微软雅黑"/>
        <scheme val="none"/>
      </font>
      <numFmt numFmtId="176" formatCode="0.0_ 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微软雅黑"/>
        <scheme val="none"/>
      </font>
      <numFmt numFmtId="176" formatCode="0.0_ 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微软雅黑"/>
        <scheme val="none"/>
      </font>
      <numFmt numFmtId="176" formatCode="0.0_ 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微软雅黑"/>
        <scheme val="none"/>
      </font>
      <numFmt numFmtId="176" formatCode="0.0_ 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微软雅黑"/>
        <scheme val="none"/>
      </font>
      <numFmt numFmtId="179" formatCode="0_ 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微软雅黑"/>
        <scheme val="none"/>
      </font>
      <numFmt numFmtId="176" formatCode="0.0_ 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微软雅黑"/>
        <scheme val="none"/>
      </font>
      <numFmt numFmtId="176" formatCode="0.0_ 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微软雅黑"/>
        <scheme val="none"/>
      </font>
      <numFmt numFmtId="176" formatCode="0.0_ 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微软雅黑"/>
        <scheme val="none"/>
      </font>
      <numFmt numFmtId="179" formatCode="0_ 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微软雅黑"/>
        <scheme val="none"/>
      </font>
      <numFmt numFmtId="176" formatCode="0.0_ 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微软雅黑"/>
        <scheme val="none"/>
      </font>
      <numFmt numFmtId="176" formatCode="0.0_ 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微软雅黑"/>
        <scheme val="none"/>
      </font>
      <numFmt numFmtId="176" formatCode="0.0_ 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微软雅黑"/>
        <scheme val="none"/>
      </font>
      <numFmt numFmtId="179" formatCode="0_ 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微软雅黑"/>
        <scheme val="none"/>
      </font>
      <numFmt numFmtId="176" formatCode="0.0_ 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微软雅黑"/>
        <scheme val="none"/>
      </font>
      <numFmt numFmtId="176" formatCode="0.0_ 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微软雅黑"/>
        <scheme val="none"/>
      </font>
      <numFmt numFmtId="176" formatCode="0.0_ 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微软雅黑"/>
        <scheme val="none"/>
      </font>
      <numFmt numFmtId="176" formatCode="0.0_ 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微软雅黑"/>
        <scheme val="none"/>
      </font>
      <numFmt numFmtId="179" formatCode="0_ 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微软雅黑"/>
        <scheme val="none"/>
      </font>
      <numFmt numFmtId="176" formatCode="0.0_ 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微软雅黑"/>
        <scheme val="none"/>
      </font>
      <numFmt numFmtId="176" formatCode="0.0_ 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微软雅黑"/>
        <scheme val="none"/>
      </font>
      <numFmt numFmtId="176" formatCode="0.0_ 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微软雅黑"/>
        <scheme val="none"/>
      </font>
      <numFmt numFmtId="176" formatCode="0.0_ 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微软雅黑"/>
        <scheme val="none"/>
      </font>
      <numFmt numFmtId="179" formatCode="0_ 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微软雅黑"/>
        <scheme val="none"/>
      </font>
      <numFmt numFmtId="176" formatCode="0.0_ 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微软雅黑"/>
        <scheme val="none"/>
      </font>
      <numFmt numFmtId="176" formatCode="0.0_ 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微软雅黑"/>
        <scheme val="none"/>
      </font>
      <numFmt numFmtId="176" formatCode="0.0_ 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微软雅黑"/>
        <scheme val="none"/>
      </font>
      <numFmt numFmtId="176" formatCode="0.0_ 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微软雅黑"/>
        <scheme val="none"/>
      </font>
      <numFmt numFmtId="179" formatCode="0_ 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微软雅黑"/>
        <scheme val="none"/>
      </font>
      <numFmt numFmtId="176" formatCode="0.0_ 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微软雅黑"/>
        <scheme val="none"/>
      </font>
      <numFmt numFmtId="176" formatCode="0.0_ 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微软雅黑"/>
        <scheme val="none"/>
      </font>
      <numFmt numFmtId="176" formatCode="0.0_ 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微软雅黑"/>
        <scheme val="none"/>
      </font>
      <numFmt numFmtId="176" formatCode="0.0_ 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微软雅黑"/>
        <scheme val="none"/>
      </font>
      <numFmt numFmtId="179" formatCode="0_ 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strike val="0"/>
        <outline val="0"/>
        <shadow val="0"/>
        <u val="none"/>
        <vertAlign val="baseline"/>
        <sz val="9"/>
        <color theme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/>
      </border>
      <protection locked="0" hidden="0"/>
    </dxf>
    <dxf>
      <font>
        <b/>
        <i val="0"/>
        <color rgb="FFFF0000"/>
      </font>
    </dxf>
    <dxf>
      <fill>
        <patternFill>
          <bgColor rgb="FFFFC000"/>
        </patternFill>
      </fill>
    </dxf>
    <dxf>
      <font>
        <b/>
        <i val="0"/>
        <color rgb="FFFF0000"/>
      </font>
    </dxf>
    <dxf>
      <fill>
        <patternFill>
          <bgColor rgb="FFFFC000"/>
        </patternFill>
      </fill>
    </dxf>
    <dxf>
      <font>
        <b/>
        <i val="0"/>
        <color rgb="FFFF0000"/>
      </font>
    </dxf>
    <dxf>
      <fill>
        <patternFill>
          <bgColor rgb="FFFFC000"/>
        </patternFill>
      </fill>
    </dxf>
    <dxf>
      <font>
        <b/>
        <i val="0"/>
        <color rgb="FFFF0000"/>
      </font>
    </dxf>
    <dxf>
      <fill>
        <patternFill>
          <bgColor rgb="FFFFC000"/>
        </patternFill>
      </fill>
    </dxf>
    <dxf>
      <font>
        <b/>
        <i val="0"/>
        <color rgb="FFFF0000"/>
      </font>
    </dxf>
    <dxf>
      <fill>
        <patternFill>
          <bgColor rgb="FFFFC000"/>
        </patternFill>
      </fill>
    </dxf>
    <dxf>
      <font>
        <b/>
        <i val="0"/>
        <color rgb="FFFF0000"/>
      </font>
    </dxf>
    <dxf>
      <fill>
        <patternFill>
          <bgColor rgb="FFFFC000"/>
        </patternFill>
      </fill>
    </dxf>
    <dxf>
      <font>
        <b/>
        <i val="0"/>
        <color rgb="FFFF0000"/>
      </font>
    </dxf>
    <dxf>
      <fill>
        <patternFill>
          <bgColor rgb="FFFFC000"/>
        </patternFill>
      </fill>
    </dxf>
    <dxf>
      <font>
        <b/>
        <i val="0"/>
        <color rgb="FFFF0000"/>
      </font>
    </dxf>
    <dxf>
      <fill>
        <patternFill>
          <bgColor rgb="FFFFC000"/>
        </patternFill>
      </fill>
    </dxf>
    <dxf>
      <font>
        <b/>
        <i val="0"/>
        <color rgb="FFFF0000"/>
      </font>
    </dxf>
    <dxf>
      <fill>
        <patternFill>
          <bgColor rgb="FFFFC000"/>
        </patternFill>
      </fill>
    </dxf>
    <dxf>
      <font>
        <b/>
        <i val="0"/>
        <color rgb="FFFF0000"/>
      </font>
    </dxf>
    <dxf>
      <fill>
        <patternFill>
          <bgColor rgb="FFFFC000"/>
        </patternFill>
      </fill>
    </dxf>
    <dxf>
      <font>
        <b/>
        <i val="0"/>
        <color rgb="FFFF0000"/>
      </font>
    </dxf>
    <dxf>
      <fill>
        <patternFill>
          <bgColor rgb="FFFFC000"/>
        </patternFill>
      </fill>
    </dxf>
    <dxf>
      <font>
        <b/>
        <i val="0"/>
        <color rgb="FFFF0000"/>
      </font>
    </dxf>
    <dxf>
      <fill>
        <patternFill>
          <bgColor rgb="FFFFC000"/>
        </patternFill>
      </fill>
    </dxf>
    <dxf>
      <font>
        <b/>
        <i val="0"/>
        <color rgb="FFFF0000"/>
      </font>
    </dxf>
    <dxf>
      <fill>
        <patternFill>
          <bgColor rgb="FFFFC000"/>
        </patternFill>
      </fill>
    </dxf>
    <dxf>
      <font>
        <b/>
        <i val="0"/>
        <color rgb="FFFF0000"/>
      </font>
    </dxf>
    <dxf>
      <fill>
        <patternFill>
          <bgColor rgb="FFFFC000"/>
        </patternFill>
      </fill>
    </dxf>
    <dxf>
      <font>
        <b/>
        <i val="0"/>
        <color rgb="FFFF0000"/>
      </font>
    </dxf>
    <dxf>
      <fill>
        <patternFill>
          <bgColor rgb="FFFFC000"/>
        </patternFill>
      </fill>
    </dxf>
    <dxf>
      <font>
        <b/>
        <i val="0"/>
        <color rgb="FFFF0000"/>
      </font>
    </dxf>
    <dxf>
      <fill>
        <patternFill>
          <bgColor rgb="FFFFC000"/>
        </patternFill>
      </fill>
    </dxf>
    <dxf>
      <font>
        <b/>
        <i val="0"/>
        <color rgb="FFFF0000"/>
      </font>
    </dxf>
    <dxf>
      <fill>
        <patternFill>
          <bgColor rgb="FFFFC000"/>
        </patternFill>
      </fill>
    </dxf>
    <dxf>
      <font>
        <b/>
        <i val="0"/>
        <color rgb="FFFF0000"/>
      </font>
    </dxf>
    <dxf>
      <fill>
        <patternFill>
          <bgColor rgb="FFFFC000"/>
        </patternFill>
      </fill>
    </dxf>
    <dxf>
      <font>
        <b/>
        <i val="0"/>
        <color rgb="FFFF0000"/>
      </font>
    </dxf>
    <dxf>
      <fill>
        <patternFill>
          <bgColor rgb="FFFFC000"/>
        </patternFill>
      </fill>
    </dxf>
    <dxf>
      <font>
        <b/>
        <i val="0"/>
        <color rgb="FFFF0000"/>
      </font>
    </dxf>
    <dxf>
      <fill>
        <patternFill>
          <bgColor rgb="FFFFC000"/>
        </patternFill>
      </fill>
    </dxf>
    <dxf>
      <font>
        <b/>
        <i val="0"/>
        <color rgb="FFFF0000"/>
      </font>
    </dxf>
    <dxf>
      <fill>
        <patternFill>
          <bgColor rgb="FFFFC000"/>
        </patternFill>
      </fill>
    </dxf>
    <dxf>
      <font>
        <b/>
        <i val="0"/>
        <color rgb="FFFF0000"/>
      </font>
    </dxf>
    <dxf>
      <fill>
        <patternFill>
          <bgColor rgb="FFFFC000"/>
        </patternFill>
      </fill>
    </dxf>
    <dxf>
      <font>
        <b/>
        <i val="0"/>
        <color rgb="FFFF0000"/>
      </font>
    </dxf>
    <dxf>
      <fill>
        <patternFill>
          <bgColor rgb="FFFFC000"/>
        </patternFill>
      </fill>
    </dxf>
    <dxf>
      <font>
        <b/>
        <i val="0"/>
        <color rgb="FFFF0000"/>
      </font>
    </dxf>
    <dxf>
      <fill>
        <patternFill>
          <bgColor rgb="FFFFC000"/>
        </patternFill>
      </fill>
    </dxf>
    <dxf>
      <font>
        <b/>
        <i val="0"/>
        <color rgb="FFFF0000"/>
      </font>
    </dxf>
    <dxf>
      <fill>
        <patternFill>
          <bgColor rgb="FFFFC000"/>
        </patternFill>
      </fill>
    </dxf>
    <dxf>
      <font>
        <b/>
        <i val="0"/>
        <color rgb="FFFF0000"/>
      </font>
    </dxf>
    <dxf>
      <fill>
        <patternFill>
          <bgColor rgb="FFFFC000"/>
        </patternFill>
      </fill>
    </dxf>
    <dxf>
      <font>
        <b/>
        <i val="0"/>
        <color rgb="FFFF0000"/>
      </font>
    </dxf>
    <dxf>
      <fill>
        <patternFill>
          <bgColor rgb="FFFFC000"/>
        </patternFill>
      </fill>
    </dxf>
    <dxf>
      <font>
        <b/>
        <i val="0"/>
        <color rgb="FFFF0000"/>
      </font>
    </dxf>
    <dxf>
      <fill>
        <patternFill>
          <bgColor rgb="FFFFC000"/>
        </patternFill>
      </fill>
    </dxf>
    <dxf>
      <font>
        <b/>
        <i val="0"/>
        <color rgb="FFFF0000"/>
      </font>
    </dxf>
    <dxf>
      <fill>
        <patternFill>
          <bgColor rgb="FFFFC000"/>
        </patternFill>
      </fill>
    </dxf>
    <dxf>
      <font>
        <b/>
        <i val="0"/>
        <color rgb="FFFF0000"/>
      </font>
    </dxf>
    <dxf>
      <fill>
        <patternFill>
          <bgColor rgb="FFFFC000"/>
        </patternFill>
      </fill>
    </dxf>
    <dxf>
      <font>
        <b/>
        <i val="0"/>
        <color rgb="FFFF0000"/>
      </font>
    </dxf>
    <dxf>
      <fill>
        <patternFill>
          <bgColor rgb="FFFFC000"/>
        </patternFill>
      </fill>
    </dxf>
    <dxf>
      <font>
        <b/>
        <i val="0"/>
        <color rgb="FFFF0000"/>
      </font>
    </dxf>
    <dxf>
      <fill>
        <patternFill>
          <bgColor rgb="FFFFC000"/>
        </patternFill>
      </fill>
    </dxf>
    <dxf>
      <font>
        <b/>
        <i val="0"/>
        <color rgb="FFFF0000"/>
      </font>
    </dxf>
    <dxf>
      <fill>
        <patternFill>
          <bgColor rgb="FFFFC000"/>
        </patternFill>
      </fill>
    </dxf>
    <dxf>
      <font>
        <b/>
        <i val="0"/>
        <color rgb="FFFF0000"/>
      </font>
    </dxf>
    <dxf>
      <fill>
        <patternFill>
          <bgColor rgb="FFFFC000"/>
        </patternFill>
      </fill>
    </dxf>
    <dxf>
      <font>
        <b/>
        <i val="0"/>
        <color rgb="FFFF0000"/>
      </font>
    </dxf>
    <dxf>
      <fill>
        <patternFill>
          <bgColor rgb="FFFFC000"/>
        </patternFill>
      </fill>
    </dxf>
    <dxf>
      <font>
        <b/>
        <i val="0"/>
        <color rgb="FFFF0000"/>
      </font>
    </dxf>
    <dxf>
      <fill>
        <patternFill>
          <bgColor rgb="FFFFC000"/>
        </patternFill>
      </fill>
    </dxf>
    <dxf>
      <font>
        <b/>
        <i val="0"/>
        <color rgb="FFFF0000"/>
      </font>
    </dxf>
    <dxf>
      <fill>
        <patternFill>
          <bgColor rgb="FFFFC000"/>
        </patternFill>
      </fill>
    </dxf>
    <dxf>
      <font>
        <b/>
        <i val="0"/>
        <color rgb="FFFF0000"/>
      </font>
    </dxf>
    <dxf>
      <fill>
        <patternFill>
          <bgColor rgb="FFFFC000"/>
        </patternFill>
      </fill>
    </dxf>
    <dxf>
      <font>
        <b/>
        <i val="0"/>
        <color rgb="FFFF0000"/>
      </font>
    </dxf>
    <dxf>
      <fill>
        <patternFill>
          <bgColor rgb="FFFFC000"/>
        </patternFill>
      </fill>
    </dxf>
    <dxf>
      <font>
        <b/>
        <i val="0"/>
        <color rgb="FFFF0000"/>
      </font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9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开发效率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charts!$B$2</c:f>
              <c:strCache>
                <c:ptCount val="1"/>
                <c:pt idx="0">
                  <c:v>(JAVA)软件开发生产率(Loc/人天)TR2-TR5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charts!$C$1:$E$1</c:f>
              <c:strCache>
                <c:ptCount val="3"/>
                <c:pt idx="0">
                  <c:v>2016年基线</c:v>
                </c:pt>
                <c:pt idx="1">
                  <c:v>2017年基线</c:v>
                </c:pt>
                <c:pt idx="2">
                  <c:v>2018年基线</c:v>
                </c:pt>
              </c:strCache>
            </c:strRef>
          </c:cat>
          <c:val>
            <c:numRef>
              <c:f>charts!$C$2:$E$2</c:f>
              <c:numCache>
                <c:formatCode>General</c:formatCode>
                <c:ptCount val="3"/>
                <c:pt idx="0">
                  <c:v>45.8</c:v>
                </c:pt>
                <c:pt idx="1">
                  <c:v>37.299999999999997</c:v>
                </c:pt>
                <c:pt idx="2">
                  <c:v>36.83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charts!$B$3</c:f>
              <c:strCache>
                <c:ptCount val="1"/>
                <c:pt idx="0">
                  <c:v>(C/C++)软件开发生产率(Loc/人天)TR2-TR5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charts!$C$1:$E$1</c:f>
              <c:strCache>
                <c:ptCount val="3"/>
                <c:pt idx="0">
                  <c:v>2016年基线</c:v>
                </c:pt>
                <c:pt idx="1">
                  <c:v>2017年基线</c:v>
                </c:pt>
                <c:pt idx="2">
                  <c:v>2018年基线</c:v>
                </c:pt>
              </c:strCache>
            </c:strRef>
          </c:cat>
          <c:val>
            <c:numRef>
              <c:f>charts!$C$3:$E$3</c:f>
              <c:numCache>
                <c:formatCode>General</c:formatCode>
                <c:ptCount val="3"/>
                <c:pt idx="0">
                  <c:v>20.5</c:v>
                </c:pt>
                <c:pt idx="1">
                  <c:v>43</c:v>
                </c:pt>
                <c:pt idx="2">
                  <c:v>36.590000000000003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charts!$B$4</c:f>
              <c:strCache>
                <c:ptCount val="1"/>
                <c:pt idx="0">
                  <c:v>Story生产率(个/人月)TR2-TR5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charts!$C$1:$E$1</c:f>
              <c:strCache>
                <c:ptCount val="3"/>
                <c:pt idx="0">
                  <c:v>2016年基线</c:v>
                </c:pt>
                <c:pt idx="1">
                  <c:v>2017年基线</c:v>
                </c:pt>
                <c:pt idx="2">
                  <c:v>2018年基线</c:v>
                </c:pt>
              </c:strCache>
            </c:strRef>
          </c:cat>
          <c:val>
            <c:numRef>
              <c:f>charts!$C$4:$E$4</c:f>
              <c:numCache>
                <c:formatCode>General</c:formatCode>
                <c:ptCount val="3"/>
                <c:pt idx="0">
                  <c:v>2.7</c:v>
                </c:pt>
                <c:pt idx="1">
                  <c:v>1.5</c:v>
                </c:pt>
                <c:pt idx="2">
                  <c:v>1.79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0810944"/>
        <c:axId val="310811504"/>
      </c:lineChart>
      <c:catAx>
        <c:axId val="3108109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10811504"/>
        <c:crosses val="autoZero"/>
        <c:auto val="1"/>
        <c:lblAlgn val="ctr"/>
        <c:lblOffset val="100"/>
        <c:noMultiLvlLbl val="0"/>
      </c:catAx>
      <c:valAx>
        <c:axId val="310811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108109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测试效率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charts!$B$5</c:f>
              <c:strCache>
                <c:ptCount val="1"/>
                <c:pt idx="0">
                  <c:v>方案设计效率（页/人天）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charts!$C$1:$E$1</c:f>
              <c:strCache>
                <c:ptCount val="3"/>
                <c:pt idx="0">
                  <c:v>2016年基线</c:v>
                </c:pt>
                <c:pt idx="1">
                  <c:v>2017年基线</c:v>
                </c:pt>
                <c:pt idx="2">
                  <c:v>2018年基线</c:v>
                </c:pt>
              </c:strCache>
            </c:strRef>
          </c:cat>
          <c:val>
            <c:numRef>
              <c:f>charts!$C$5:$E$5</c:f>
              <c:numCache>
                <c:formatCode>General</c:formatCode>
                <c:ptCount val="3"/>
                <c:pt idx="0">
                  <c:v>3.8</c:v>
                </c:pt>
                <c:pt idx="1">
                  <c:v>3</c:v>
                </c:pt>
                <c:pt idx="2">
                  <c:v>4.3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charts!$B$6</c:f>
              <c:strCache>
                <c:ptCount val="1"/>
                <c:pt idx="0">
                  <c:v>手动用例设计效率(个/人天)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charts!$C$1:$E$1</c:f>
              <c:strCache>
                <c:ptCount val="3"/>
                <c:pt idx="0">
                  <c:v>2016年基线</c:v>
                </c:pt>
                <c:pt idx="1">
                  <c:v>2017年基线</c:v>
                </c:pt>
                <c:pt idx="2">
                  <c:v>2018年基线</c:v>
                </c:pt>
              </c:strCache>
            </c:strRef>
          </c:cat>
          <c:val>
            <c:numRef>
              <c:f>charts!$C$6:$E$6</c:f>
              <c:numCache>
                <c:formatCode>General</c:formatCode>
                <c:ptCount val="3"/>
                <c:pt idx="0">
                  <c:v>13.1</c:v>
                </c:pt>
                <c:pt idx="1">
                  <c:v>18</c:v>
                </c:pt>
                <c:pt idx="2">
                  <c:v>13.98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charts!$B$7</c:f>
              <c:strCache>
                <c:ptCount val="1"/>
                <c:pt idx="0">
                  <c:v>手动测试用例执行效率(个/人天)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charts!$C$1:$E$1</c:f>
              <c:strCache>
                <c:ptCount val="3"/>
                <c:pt idx="0">
                  <c:v>2016年基线</c:v>
                </c:pt>
                <c:pt idx="1">
                  <c:v>2017年基线</c:v>
                </c:pt>
                <c:pt idx="2">
                  <c:v>2018年基线</c:v>
                </c:pt>
              </c:strCache>
            </c:strRef>
          </c:cat>
          <c:val>
            <c:numRef>
              <c:f>charts!$C$7:$E$7</c:f>
              <c:numCache>
                <c:formatCode>General</c:formatCode>
                <c:ptCount val="3"/>
                <c:pt idx="0">
                  <c:v>12.3</c:v>
                </c:pt>
                <c:pt idx="1">
                  <c:v>17.2</c:v>
                </c:pt>
                <c:pt idx="2">
                  <c:v>21.49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8085888"/>
        <c:axId val="308086448"/>
      </c:lineChart>
      <c:catAx>
        <c:axId val="3080858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08086448"/>
        <c:crosses val="autoZero"/>
        <c:auto val="1"/>
        <c:lblAlgn val="ctr"/>
        <c:lblOffset val="100"/>
        <c:noMultiLvlLbl val="0"/>
      </c:catAx>
      <c:valAx>
        <c:axId val="308086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080858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charts!$B$8</c:f>
              <c:strCache>
                <c:ptCount val="1"/>
                <c:pt idx="0">
                  <c:v>自动化脚本生产率(个/人天)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charts!$C$1:$E$1</c:f>
              <c:strCache>
                <c:ptCount val="3"/>
                <c:pt idx="0">
                  <c:v>2016年基线</c:v>
                </c:pt>
                <c:pt idx="1">
                  <c:v>2017年基线</c:v>
                </c:pt>
                <c:pt idx="2">
                  <c:v>2018年基线</c:v>
                </c:pt>
              </c:strCache>
            </c:strRef>
          </c:cat>
          <c:val>
            <c:numRef>
              <c:f>charts!$C$8:$E$8</c:f>
              <c:numCache>
                <c:formatCode>General</c:formatCode>
                <c:ptCount val="3"/>
                <c:pt idx="0">
                  <c:v>5.2</c:v>
                </c:pt>
                <c:pt idx="1">
                  <c:v>3.1</c:v>
                </c:pt>
                <c:pt idx="2">
                  <c:v>4.53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0659248"/>
        <c:axId val="310659808"/>
      </c:lineChart>
      <c:catAx>
        <c:axId val="310659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10659808"/>
        <c:crosses val="autoZero"/>
        <c:auto val="1"/>
        <c:lblAlgn val="ctr"/>
        <c:lblOffset val="100"/>
        <c:noMultiLvlLbl val="0"/>
      </c:catAx>
      <c:valAx>
        <c:axId val="310659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10659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charts!$B$9</c:f>
              <c:strCache>
                <c:ptCount val="1"/>
                <c:pt idx="0">
                  <c:v>网上问题处理时长(人天/个)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charts!$C$1:$E$1</c:f>
              <c:strCache>
                <c:ptCount val="3"/>
                <c:pt idx="0">
                  <c:v>2016年基线</c:v>
                </c:pt>
                <c:pt idx="1">
                  <c:v>2017年基线</c:v>
                </c:pt>
                <c:pt idx="2">
                  <c:v>2018年基线</c:v>
                </c:pt>
              </c:strCache>
            </c:strRef>
          </c:cat>
          <c:val>
            <c:numRef>
              <c:f>charts!$C$9:$E$9</c:f>
              <c:numCache>
                <c:formatCode>General</c:formatCode>
                <c:ptCount val="3"/>
                <c:pt idx="0">
                  <c:v>3.15</c:v>
                </c:pt>
                <c:pt idx="1">
                  <c:v>0.71</c:v>
                </c:pt>
                <c:pt idx="2">
                  <c:v>1.03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0662048"/>
        <c:axId val="310662608"/>
      </c:lineChart>
      <c:catAx>
        <c:axId val="310662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10662608"/>
        <c:crosses val="autoZero"/>
        <c:auto val="1"/>
        <c:lblAlgn val="ctr"/>
        <c:lblOffset val="100"/>
        <c:noMultiLvlLbl val="0"/>
      </c:catAx>
      <c:valAx>
        <c:axId val="310662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10662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代码质量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charts!$B$58</c:f>
              <c:strCache>
                <c:ptCount val="1"/>
                <c:pt idx="0">
                  <c:v>ICP-静态检查告警数(个)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charts!$C$57:$E$57</c:f>
              <c:strCache>
                <c:ptCount val="3"/>
                <c:pt idx="0">
                  <c:v>2016年基线</c:v>
                </c:pt>
                <c:pt idx="1">
                  <c:v>2017年基线</c:v>
                </c:pt>
                <c:pt idx="2">
                  <c:v>2018年基线</c:v>
                </c:pt>
              </c:strCache>
            </c:strRef>
          </c:cat>
          <c:val>
            <c:numRef>
              <c:f>charts!$C$58:$E$58</c:f>
              <c:numCache>
                <c:formatCode>General</c:formatCode>
                <c:ptCount val="3"/>
                <c:pt idx="0">
                  <c:v>0</c:v>
                </c:pt>
                <c:pt idx="1">
                  <c:v>0.5</c:v>
                </c:pt>
                <c:pt idx="2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charts!$B$59</c:f>
              <c:strCache>
                <c:ptCount val="1"/>
                <c:pt idx="0">
                  <c:v>ICP-平均圈复杂度(个)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charts!$C$57:$E$57</c:f>
              <c:strCache>
                <c:ptCount val="3"/>
                <c:pt idx="0">
                  <c:v>2016年基线</c:v>
                </c:pt>
                <c:pt idx="1">
                  <c:v>2017年基线</c:v>
                </c:pt>
                <c:pt idx="2">
                  <c:v>2018年基线</c:v>
                </c:pt>
              </c:strCache>
            </c:strRef>
          </c:cat>
          <c:val>
            <c:numRef>
              <c:f>charts!$C$59:$E$59</c:f>
              <c:numCache>
                <c:formatCode>General</c:formatCode>
                <c:ptCount val="3"/>
                <c:pt idx="0">
                  <c:v>5.7</c:v>
                </c:pt>
                <c:pt idx="1">
                  <c:v>6.5</c:v>
                </c:pt>
                <c:pt idx="2">
                  <c:v>5.01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charts!$B$60</c:f>
              <c:strCache>
                <c:ptCount val="1"/>
                <c:pt idx="0">
                  <c:v>ICP-代码重复率(%)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charts!$C$57:$E$57</c:f>
              <c:strCache>
                <c:ptCount val="3"/>
                <c:pt idx="0">
                  <c:v>2016年基线</c:v>
                </c:pt>
                <c:pt idx="1">
                  <c:v>2017年基线</c:v>
                </c:pt>
                <c:pt idx="2">
                  <c:v>2018年基线</c:v>
                </c:pt>
              </c:strCache>
            </c:strRef>
          </c:cat>
          <c:val>
            <c:numRef>
              <c:f>charts!$C$60:$E$60</c:f>
              <c:numCache>
                <c:formatCode>0.00%</c:formatCode>
                <c:ptCount val="3"/>
                <c:pt idx="0" formatCode="0%">
                  <c:v>7.0000000000000007E-2</c:v>
                </c:pt>
                <c:pt idx="1">
                  <c:v>6.7599999999999993E-2</c:v>
                </c:pt>
                <c:pt idx="2">
                  <c:v>5.5100000000000003E-2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charts!$B$61</c:f>
              <c:strCache>
                <c:ptCount val="1"/>
                <c:pt idx="0">
                  <c:v>Coverity告警数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charts!$C$57:$E$57</c:f>
              <c:strCache>
                <c:ptCount val="3"/>
                <c:pt idx="0">
                  <c:v>2016年基线</c:v>
                </c:pt>
                <c:pt idx="1">
                  <c:v>2017年基线</c:v>
                </c:pt>
                <c:pt idx="2">
                  <c:v>2018年基线</c:v>
                </c:pt>
              </c:strCache>
            </c:strRef>
          </c:cat>
          <c:val>
            <c:numRef>
              <c:f>charts!$C$61:$E$61</c:f>
              <c:numCache>
                <c:formatCode>General</c:formatCode>
                <c:ptCount val="3"/>
                <c:pt idx="0">
                  <c:v>0</c:v>
                </c:pt>
                <c:pt idx="1">
                  <c:v>0.3</c:v>
                </c:pt>
                <c:pt idx="2">
                  <c:v>1.22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charts!$B$62</c:f>
              <c:strCache>
                <c:ptCount val="1"/>
                <c:pt idx="0">
                  <c:v>Fortify告警数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charts!$C$57:$E$57</c:f>
              <c:strCache>
                <c:ptCount val="3"/>
                <c:pt idx="0">
                  <c:v>2016年基线</c:v>
                </c:pt>
                <c:pt idx="1">
                  <c:v>2017年基线</c:v>
                </c:pt>
                <c:pt idx="2">
                  <c:v>2018年基线</c:v>
                </c:pt>
              </c:strCache>
            </c:strRef>
          </c:cat>
          <c:val>
            <c:numRef>
              <c:f>charts!$C$62:$E$62</c:f>
              <c:numCache>
                <c:formatCode>General</c:formatCode>
                <c:ptCount val="3"/>
                <c:pt idx="0">
                  <c:v>0</c:v>
                </c:pt>
                <c:pt idx="1">
                  <c:v>0.2</c:v>
                </c:pt>
                <c:pt idx="2">
                  <c:v>1.67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charts!$B$63</c:f>
              <c:strCache>
                <c:ptCount val="1"/>
                <c:pt idx="0">
                  <c:v>代码设计(Infusion检查)QDI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strRef>
              <c:f>charts!$C$57:$E$57</c:f>
              <c:strCache>
                <c:ptCount val="3"/>
                <c:pt idx="0">
                  <c:v>2016年基线</c:v>
                </c:pt>
                <c:pt idx="1">
                  <c:v>2017年基线</c:v>
                </c:pt>
                <c:pt idx="2">
                  <c:v>2018年基线</c:v>
                </c:pt>
              </c:strCache>
            </c:strRef>
          </c:cat>
          <c:val>
            <c:numRef>
              <c:f>charts!$C$63:$E$63</c:f>
              <c:numCache>
                <c:formatCode>General</c:formatCode>
                <c:ptCount val="3"/>
                <c:pt idx="0">
                  <c:v>91.8</c:v>
                </c:pt>
                <c:pt idx="1">
                  <c:v>96.9</c:v>
                </c:pt>
                <c:pt idx="2">
                  <c:v>82.58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2346592"/>
        <c:axId val="312347152"/>
      </c:lineChart>
      <c:catAx>
        <c:axId val="3123465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12347152"/>
        <c:crosses val="autoZero"/>
        <c:auto val="1"/>
        <c:lblAlgn val="ctr"/>
        <c:lblOffset val="100"/>
        <c:noMultiLvlLbl val="0"/>
      </c:catAx>
      <c:valAx>
        <c:axId val="312347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123465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工程能力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charts!$B$71</c:f>
              <c:strCache>
                <c:ptCount val="1"/>
                <c:pt idx="0">
                  <c:v>CI构建成功率(%)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charts!$C$70:$E$70</c:f>
              <c:strCache>
                <c:ptCount val="3"/>
                <c:pt idx="0">
                  <c:v>2016年基线</c:v>
                </c:pt>
                <c:pt idx="1">
                  <c:v>2017年基线</c:v>
                </c:pt>
                <c:pt idx="2">
                  <c:v>2018年基线</c:v>
                </c:pt>
              </c:strCache>
            </c:strRef>
          </c:cat>
          <c:val>
            <c:numRef>
              <c:f>charts!$C$71:$E$71</c:f>
              <c:numCache>
                <c:formatCode>0.00%</c:formatCode>
                <c:ptCount val="3"/>
                <c:pt idx="0">
                  <c:v>0.96799999999999997</c:v>
                </c:pt>
                <c:pt idx="1">
                  <c:v>0.97189999999999999</c:v>
                </c:pt>
                <c:pt idx="2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charts!$B$72</c:f>
              <c:strCache>
                <c:ptCount val="1"/>
                <c:pt idx="0">
                  <c:v>个人构建平均时长（分钟）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charts!$C$70:$E$70</c:f>
              <c:strCache>
                <c:ptCount val="3"/>
                <c:pt idx="0">
                  <c:v>2016年基线</c:v>
                </c:pt>
                <c:pt idx="1">
                  <c:v>2017年基线</c:v>
                </c:pt>
                <c:pt idx="2">
                  <c:v>2018年基线</c:v>
                </c:pt>
              </c:strCache>
            </c:strRef>
          </c:cat>
          <c:val>
            <c:numRef>
              <c:f>charts!$C$72:$E$72</c:f>
              <c:numCache>
                <c:formatCode>General</c:formatCode>
                <c:ptCount val="3"/>
                <c:pt idx="0">
                  <c:v>4.9000000000000004</c:v>
                </c:pt>
                <c:pt idx="1">
                  <c:v>3.8</c:v>
                </c:pt>
                <c:pt idx="2" formatCode="0.00_ ">
                  <c:v>0</c:v>
                </c:pt>
              </c:numCache>
            </c:numRef>
          </c:val>
          <c:smooth val="0"/>
        </c:ser>
        <c:ser>
          <c:idx val="3"/>
          <c:order val="2"/>
          <c:tx>
            <c:strRef>
              <c:f>charts!$B$74</c:f>
              <c:strCache>
                <c:ptCount val="1"/>
                <c:pt idx="0">
                  <c:v>全量自动化回归验证周期（小时）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charts!$C$70:$E$70</c:f>
              <c:strCache>
                <c:ptCount val="3"/>
                <c:pt idx="0">
                  <c:v>2016年基线</c:v>
                </c:pt>
                <c:pt idx="1">
                  <c:v>2017年基线</c:v>
                </c:pt>
                <c:pt idx="2">
                  <c:v>2018年基线</c:v>
                </c:pt>
              </c:strCache>
            </c:strRef>
          </c:cat>
          <c:val>
            <c:numRef>
              <c:f>charts!$C$74:$E$74</c:f>
              <c:numCache>
                <c:formatCode>General</c:formatCode>
                <c:ptCount val="3"/>
                <c:pt idx="0">
                  <c:v>1.6</c:v>
                </c:pt>
                <c:pt idx="1">
                  <c:v>2.1</c:v>
                </c:pt>
                <c:pt idx="2" formatCode="0.00_ ">
                  <c:v>0</c:v>
                </c:pt>
              </c:numCache>
            </c:numRef>
          </c:val>
          <c:smooth val="0"/>
        </c:ser>
        <c:ser>
          <c:idx val="4"/>
          <c:order val="3"/>
          <c:tx>
            <c:strRef>
              <c:f>charts!$B$75</c:f>
              <c:strCache>
                <c:ptCount val="1"/>
                <c:pt idx="0">
                  <c:v>全量功能验证周期（天）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charts!$C$70:$E$70</c:f>
              <c:strCache>
                <c:ptCount val="3"/>
                <c:pt idx="0">
                  <c:v>2016年基线</c:v>
                </c:pt>
                <c:pt idx="1">
                  <c:v>2017年基线</c:v>
                </c:pt>
                <c:pt idx="2">
                  <c:v>2018年基线</c:v>
                </c:pt>
              </c:strCache>
            </c:strRef>
          </c:cat>
          <c:val>
            <c:numRef>
              <c:f>charts!$C$75:$E$75</c:f>
              <c:numCache>
                <c:formatCode>General</c:formatCode>
                <c:ptCount val="3"/>
                <c:pt idx="0">
                  <c:v>1.8</c:v>
                </c:pt>
                <c:pt idx="1">
                  <c:v>2</c:v>
                </c:pt>
                <c:pt idx="2" formatCode="0.00_ ">
                  <c:v>0</c:v>
                </c:pt>
              </c:numCache>
            </c:numRef>
          </c:val>
          <c:smooth val="0"/>
        </c:ser>
        <c:ser>
          <c:idx val="5"/>
          <c:order val="4"/>
          <c:tx>
            <c:strRef>
              <c:f>charts!$B$76</c:f>
              <c:strCache>
                <c:ptCount val="1"/>
                <c:pt idx="0">
                  <c:v>解决方案验证周期（周）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strRef>
              <c:f>charts!$C$70:$E$70</c:f>
              <c:strCache>
                <c:ptCount val="3"/>
                <c:pt idx="0">
                  <c:v>2016年基线</c:v>
                </c:pt>
                <c:pt idx="1">
                  <c:v>2017年基线</c:v>
                </c:pt>
                <c:pt idx="2">
                  <c:v>2018年基线</c:v>
                </c:pt>
              </c:strCache>
            </c:strRef>
          </c:cat>
          <c:val>
            <c:numRef>
              <c:f>charts!$C$76:$E$76</c:f>
              <c:numCache>
                <c:formatCode>General</c:formatCode>
                <c:ptCount val="3"/>
                <c:pt idx="0">
                  <c:v>1.1000000000000001</c:v>
                </c:pt>
                <c:pt idx="1">
                  <c:v>1.1000000000000001</c:v>
                </c:pt>
                <c:pt idx="2" formatCode="0.00_ ">
                  <c:v>0</c:v>
                </c:pt>
              </c:numCache>
            </c:numRef>
          </c:val>
          <c:smooth val="0"/>
        </c:ser>
        <c:ser>
          <c:idx val="6"/>
          <c:order val="5"/>
          <c:tx>
            <c:strRef>
              <c:f>charts!$B$77</c:f>
              <c:strCache>
                <c:ptCount val="1"/>
                <c:pt idx="0">
                  <c:v>特性交付周期CycleTime(月)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cat>
            <c:strRef>
              <c:f>charts!$C$70:$E$70</c:f>
              <c:strCache>
                <c:ptCount val="3"/>
                <c:pt idx="0">
                  <c:v>2016年基线</c:v>
                </c:pt>
                <c:pt idx="1">
                  <c:v>2017年基线</c:v>
                </c:pt>
                <c:pt idx="2">
                  <c:v>2018年基线</c:v>
                </c:pt>
              </c:strCache>
            </c:strRef>
          </c:cat>
          <c:val>
            <c:numRef>
              <c:f>charts!$C$77:$E$77</c:f>
              <c:numCache>
                <c:formatCode>General</c:formatCode>
                <c:ptCount val="3"/>
                <c:pt idx="0">
                  <c:v>1.3</c:v>
                </c:pt>
                <c:pt idx="1">
                  <c:v>1.4</c:v>
                </c:pt>
                <c:pt idx="2" formatCode="0.00_ 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2796976"/>
        <c:axId val="312797536"/>
      </c:lineChart>
      <c:catAx>
        <c:axId val="312796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12797536"/>
        <c:crosses val="autoZero"/>
        <c:auto val="1"/>
        <c:lblAlgn val="ctr"/>
        <c:lblOffset val="100"/>
        <c:noMultiLvlLbl val="0"/>
      </c:catAx>
      <c:valAx>
        <c:axId val="31279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127969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charts!$B$59</c:f>
              <c:strCache>
                <c:ptCount val="1"/>
                <c:pt idx="0">
                  <c:v>ICP-平均圈复杂度(个)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charts!$C$57:$E$57</c:f>
              <c:strCache>
                <c:ptCount val="3"/>
                <c:pt idx="0">
                  <c:v>2016年基线</c:v>
                </c:pt>
                <c:pt idx="1">
                  <c:v>2017年基线</c:v>
                </c:pt>
                <c:pt idx="2">
                  <c:v>2018年基线</c:v>
                </c:pt>
              </c:strCache>
            </c:strRef>
          </c:cat>
          <c:val>
            <c:numRef>
              <c:f>charts!$C$59:$E$59</c:f>
              <c:numCache>
                <c:formatCode>General</c:formatCode>
                <c:ptCount val="3"/>
                <c:pt idx="0">
                  <c:v>5.7</c:v>
                </c:pt>
                <c:pt idx="1">
                  <c:v>6.5</c:v>
                </c:pt>
                <c:pt idx="2">
                  <c:v>5.01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2874240"/>
        <c:axId val="312874800"/>
      </c:lineChart>
      <c:catAx>
        <c:axId val="312874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12874800"/>
        <c:crosses val="autoZero"/>
        <c:auto val="1"/>
        <c:lblAlgn val="ctr"/>
        <c:lblOffset val="100"/>
        <c:noMultiLvlLbl val="0"/>
      </c:catAx>
      <c:valAx>
        <c:axId val="312874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12874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charts!$B$73</c:f>
              <c:strCache>
                <c:ptCount val="1"/>
                <c:pt idx="0">
                  <c:v>项目构建时长(分钟)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charts!$C$70:$E$70</c:f>
              <c:strCache>
                <c:ptCount val="3"/>
                <c:pt idx="0">
                  <c:v>2016年基线</c:v>
                </c:pt>
                <c:pt idx="1">
                  <c:v>2017年基线</c:v>
                </c:pt>
                <c:pt idx="2">
                  <c:v>2018年基线</c:v>
                </c:pt>
              </c:strCache>
            </c:strRef>
          </c:cat>
          <c:val>
            <c:numRef>
              <c:f>charts!$C$73:$E$73</c:f>
              <c:numCache>
                <c:formatCode>General</c:formatCode>
                <c:ptCount val="3"/>
                <c:pt idx="0">
                  <c:v>18.899999999999999</c:v>
                </c:pt>
                <c:pt idx="1">
                  <c:v>15.5</c:v>
                </c:pt>
                <c:pt idx="2" formatCode="0.00_ 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3254640"/>
        <c:axId val="313255200"/>
      </c:lineChart>
      <c:catAx>
        <c:axId val="313254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13255200"/>
        <c:crosses val="autoZero"/>
        <c:auto val="1"/>
        <c:lblAlgn val="ctr"/>
        <c:lblOffset val="100"/>
        <c:noMultiLvlLbl val="0"/>
      </c:catAx>
      <c:valAx>
        <c:axId val="313255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13254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charts!$B$58</c:f>
              <c:strCache>
                <c:ptCount val="1"/>
                <c:pt idx="0">
                  <c:v>ICP-静态检查告警数(个)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charts!$C$57:$E$57</c:f>
              <c:strCache>
                <c:ptCount val="3"/>
                <c:pt idx="0">
                  <c:v>2016年基线</c:v>
                </c:pt>
                <c:pt idx="1">
                  <c:v>2017年基线</c:v>
                </c:pt>
                <c:pt idx="2">
                  <c:v>2018年基线</c:v>
                </c:pt>
              </c:strCache>
            </c:strRef>
          </c:cat>
          <c:val>
            <c:numRef>
              <c:f>charts!$C$58:$E$58</c:f>
              <c:numCache>
                <c:formatCode>General</c:formatCode>
                <c:ptCount val="3"/>
                <c:pt idx="0">
                  <c:v>0</c:v>
                </c:pt>
                <c:pt idx="1">
                  <c:v>0.5</c:v>
                </c:pt>
                <c:pt idx="2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charts!$B$60</c:f>
              <c:strCache>
                <c:ptCount val="1"/>
                <c:pt idx="0">
                  <c:v>ICP-代码重复率(%)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charts!$C$57:$E$57</c:f>
              <c:strCache>
                <c:ptCount val="3"/>
                <c:pt idx="0">
                  <c:v>2016年基线</c:v>
                </c:pt>
                <c:pt idx="1">
                  <c:v>2017年基线</c:v>
                </c:pt>
                <c:pt idx="2">
                  <c:v>2018年基线</c:v>
                </c:pt>
              </c:strCache>
            </c:strRef>
          </c:cat>
          <c:val>
            <c:numRef>
              <c:f>charts!$C$60:$E$60</c:f>
              <c:numCache>
                <c:formatCode>0.00%</c:formatCode>
                <c:ptCount val="3"/>
                <c:pt idx="0" formatCode="0%">
                  <c:v>7.0000000000000007E-2</c:v>
                </c:pt>
                <c:pt idx="1">
                  <c:v>6.7599999999999993E-2</c:v>
                </c:pt>
                <c:pt idx="2">
                  <c:v>5.5100000000000003E-2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charts!$B$61</c:f>
              <c:strCache>
                <c:ptCount val="1"/>
                <c:pt idx="0">
                  <c:v>Coverity告警数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charts!$C$57:$E$57</c:f>
              <c:strCache>
                <c:ptCount val="3"/>
                <c:pt idx="0">
                  <c:v>2016年基线</c:v>
                </c:pt>
                <c:pt idx="1">
                  <c:v>2017年基线</c:v>
                </c:pt>
                <c:pt idx="2">
                  <c:v>2018年基线</c:v>
                </c:pt>
              </c:strCache>
            </c:strRef>
          </c:cat>
          <c:val>
            <c:numRef>
              <c:f>charts!$C$61:$E$61</c:f>
              <c:numCache>
                <c:formatCode>General</c:formatCode>
                <c:ptCount val="3"/>
                <c:pt idx="0">
                  <c:v>0</c:v>
                </c:pt>
                <c:pt idx="1">
                  <c:v>0.3</c:v>
                </c:pt>
                <c:pt idx="2">
                  <c:v>1.22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charts!$B$62</c:f>
              <c:strCache>
                <c:ptCount val="1"/>
                <c:pt idx="0">
                  <c:v>Fortify告警数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charts!$C$57:$E$57</c:f>
              <c:strCache>
                <c:ptCount val="3"/>
                <c:pt idx="0">
                  <c:v>2016年基线</c:v>
                </c:pt>
                <c:pt idx="1">
                  <c:v>2017年基线</c:v>
                </c:pt>
                <c:pt idx="2">
                  <c:v>2018年基线</c:v>
                </c:pt>
              </c:strCache>
            </c:strRef>
          </c:cat>
          <c:val>
            <c:numRef>
              <c:f>charts!$C$62:$E$62</c:f>
              <c:numCache>
                <c:formatCode>General</c:formatCode>
                <c:ptCount val="3"/>
                <c:pt idx="0">
                  <c:v>0</c:v>
                </c:pt>
                <c:pt idx="1">
                  <c:v>0.2</c:v>
                </c:pt>
                <c:pt idx="2">
                  <c:v>1.67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charts!$B$63</c:f>
              <c:strCache>
                <c:ptCount val="1"/>
                <c:pt idx="0">
                  <c:v>代码设计(Infusion检查)QDI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charts!$C$57:$E$57</c:f>
              <c:strCache>
                <c:ptCount val="3"/>
                <c:pt idx="0">
                  <c:v>2016年基线</c:v>
                </c:pt>
                <c:pt idx="1">
                  <c:v>2017年基线</c:v>
                </c:pt>
                <c:pt idx="2">
                  <c:v>2018年基线</c:v>
                </c:pt>
              </c:strCache>
            </c:strRef>
          </c:cat>
          <c:val>
            <c:numRef>
              <c:f>charts!$C$63:$E$63</c:f>
              <c:numCache>
                <c:formatCode>General</c:formatCode>
                <c:ptCount val="3"/>
                <c:pt idx="0">
                  <c:v>91.8</c:v>
                </c:pt>
                <c:pt idx="1">
                  <c:v>96.9</c:v>
                </c:pt>
                <c:pt idx="2">
                  <c:v>82.58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3349968"/>
        <c:axId val="313350528"/>
      </c:lineChart>
      <c:catAx>
        <c:axId val="3133499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13350528"/>
        <c:crosses val="autoZero"/>
        <c:auto val="1"/>
        <c:lblAlgn val="ctr"/>
        <c:lblOffset val="100"/>
        <c:noMultiLvlLbl val="0"/>
      </c:catAx>
      <c:valAx>
        <c:axId val="313350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133499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需求质量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charts!$B$34</c:f>
              <c:strCache>
                <c:ptCount val="1"/>
                <c:pt idx="0">
                  <c:v>项目需求稳定度(%)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charts!$C$33:$E$33</c:f>
              <c:strCache>
                <c:ptCount val="3"/>
                <c:pt idx="0">
                  <c:v>2016年基线</c:v>
                </c:pt>
                <c:pt idx="1">
                  <c:v>2017年基线</c:v>
                </c:pt>
                <c:pt idx="2">
                  <c:v>2018年基线</c:v>
                </c:pt>
              </c:strCache>
            </c:strRef>
          </c:cat>
          <c:val>
            <c:numRef>
              <c:f>charts!$C$34:$E$34</c:f>
              <c:numCache>
                <c:formatCode>0.00%</c:formatCode>
                <c:ptCount val="3"/>
                <c:pt idx="0">
                  <c:v>0.95799999999999996</c:v>
                </c:pt>
                <c:pt idx="1">
                  <c:v>0.95369999999999999</c:v>
                </c:pt>
                <c:pt idx="2">
                  <c:v>0.97760000000000002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charts!$B$35</c:f>
              <c:strCache>
                <c:ptCount val="1"/>
                <c:pt idx="0">
                  <c:v>规格评审缺陷密度(个/页)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charts!$C$33:$E$33</c:f>
              <c:strCache>
                <c:ptCount val="3"/>
                <c:pt idx="0">
                  <c:v>2016年基线</c:v>
                </c:pt>
                <c:pt idx="1">
                  <c:v>2017年基线</c:v>
                </c:pt>
                <c:pt idx="2">
                  <c:v>2018年基线</c:v>
                </c:pt>
              </c:strCache>
            </c:strRef>
          </c:cat>
          <c:val>
            <c:numRef>
              <c:f>charts!$C$35:$E$35</c:f>
              <c:numCache>
                <c:formatCode>General</c:formatCode>
                <c:ptCount val="3"/>
                <c:pt idx="0">
                  <c:v>0.54</c:v>
                </c:pt>
                <c:pt idx="1">
                  <c:v>0.5</c:v>
                </c:pt>
                <c:pt idx="2">
                  <c:v>0.49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charts!$B$36</c:f>
              <c:strCache>
                <c:ptCount val="1"/>
                <c:pt idx="0">
                  <c:v>需求评审缺陷密度(个/页)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charts!$C$33:$E$33</c:f>
              <c:strCache>
                <c:ptCount val="3"/>
                <c:pt idx="0">
                  <c:v>2016年基线</c:v>
                </c:pt>
                <c:pt idx="1">
                  <c:v>2017年基线</c:v>
                </c:pt>
                <c:pt idx="2">
                  <c:v>2018年基线</c:v>
                </c:pt>
              </c:strCache>
            </c:strRef>
          </c:cat>
          <c:val>
            <c:numRef>
              <c:f>charts!$C$36:$E$36</c:f>
              <c:numCache>
                <c:formatCode>General</c:formatCode>
                <c:ptCount val="3"/>
                <c:pt idx="0">
                  <c:v>0.61</c:v>
                </c:pt>
                <c:pt idx="1">
                  <c:v>0.5</c:v>
                </c:pt>
                <c:pt idx="2">
                  <c:v>0.61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3411968"/>
        <c:axId val="313412528"/>
      </c:lineChart>
      <c:catAx>
        <c:axId val="3134119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13412528"/>
        <c:crosses val="autoZero"/>
        <c:auto val="1"/>
        <c:lblAlgn val="ctr"/>
        <c:lblOffset val="100"/>
        <c:noMultiLvlLbl val="0"/>
      </c:catAx>
      <c:valAx>
        <c:axId val="313412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134119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开发质量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charts!$B$37</c:f>
              <c:strCache>
                <c:ptCount val="1"/>
                <c:pt idx="0">
                  <c:v>代码评审缺陷率(个/KLOC)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charts!$C$33:$E$33</c:f>
              <c:strCache>
                <c:ptCount val="3"/>
                <c:pt idx="0">
                  <c:v>2016年基线</c:v>
                </c:pt>
                <c:pt idx="1">
                  <c:v>2017年基线</c:v>
                </c:pt>
                <c:pt idx="2">
                  <c:v>2018年基线</c:v>
                </c:pt>
              </c:strCache>
            </c:strRef>
          </c:cat>
          <c:val>
            <c:numRef>
              <c:f>charts!$C$37:$E$37</c:f>
              <c:numCache>
                <c:formatCode>General</c:formatCode>
                <c:ptCount val="3"/>
                <c:pt idx="0">
                  <c:v>4.51</c:v>
                </c:pt>
                <c:pt idx="1">
                  <c:v>4.9000000000000004</c:v>
                </c:pt>
                <c:pt idx="2">
                  <c:v>6.6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charts!$B$38</c:f>
              <c:strCache>
                <c:ptCount val="1"/>
                <c:pt idx="0">
                  <c:v>开发者测试缺陷密度(个/KLOC)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charts!$C$33:$E$33</c:f>
              <c:strCache>
                <c:ptCount val="3"/>
                <c:pt idx="0">
                  <c:v>2016年基线</c:v>
                </c:pt>
                <c:pt idx="1">
                  <c:v>2017年基线</c:v>
                </c:pt>
                <c:pt idx="2">
                  <c:v>2018年基线</c:v>
                </c:pt>
              </c:strCache>
            </c:strRef>
          </c:cat>
          <c:val>
            <c:numRef>
              <c:f>charts!$C$38:$E$38</c:f>
              <c:numCache>
                <c:formatCode>General</c:formatCode>
                <c:ptCount val="3"/>
                <c:pt idx="0">
                  <c:v>2.91</c:v>
                </c:pt>
                <c:pt idx="1">
                  <c:v>1.8</c:v>
                </c:pt>
                <c:pt idx="2">
                  <c:v>2.2400000000000002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charts!$B$39</c:f>
              <c:strCache>
                <c:ptCount val="1"/>
                <c:pt idx="0">
                  <c:v>问题单回归不通过个数（个）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charts!$C$33:$E$33</c:f>
              <c:strCache>
                <c:ptCount val="3"/>
                <c:pt idx="0">
                  <c:v>2016年基线</c:v>
                </c:pt>
                <c:pt idx="1">
                  <c:v>2017年基线</c:v>
                </c:pt>
                <c:pt idx="2">
                  <c:v>2018年基线</c:v>
                </c:pt>
              </c:strCache>
            </c:strRef>
          </c:cat>
          <c:val>
            <c:numRef>
              <c:f>charts!$C$39:$E$39</c:f>
              <c:numCache>
                <c:formatCode>General</c:formatCode>
                <c:ptCount val="3"/>
                <c:pt idx="0">
                  <c:v>0.2</c:v>
                </c:pt>
                <c:pt idx="1">
                  <c:v>0.4</c:v>
                </c:pt>
                <c:pt idx="2">
                  <c:v>0.08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charts!$B$40</c:f>
              <c:strCache>
                <c:ptCount val="1"/>
                <c:pt idx="0">
                  <c:v>转测试不通过次数（次）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charts!$C$33:$E$33</c:f>
              <c:strCache>
                <c:ptCount val="3"/>
                <c:pt idx="0">
                  <c:v>2016年基线</c:v>
                </c:pt>
                <c:pt idx="1">
                  <c:v>2017年基线</c:v>
                </c:pt>
                <c:pt idx="2">
                  <c:v>2018年基线</c:v>
                </c:pt>
              </c:strCache>
            </c:strRef>
          </c:cat>
          <c:val>
            <c:numRef>
              <c:f>charts!$C$40:$E$40</c:f>
              <c:numCache>
                <c:formatCode>0.00%</c:formatCode>
                <c:ptCount val="3"/>
                <c:pt idx="0" formatCode="General">
                  <c:v>0</c:v>
                </c:pt>
                <c:pt idx="1">
                  <c:v>1.6500000000000001E-2</c:v>
                </c:pt>
                <c:pt idx="2" formatCode="General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3151104"/>
        <c:axId val="313151664"/>
      </c:lineChart>
      <c:catAx>
        <c:axId val="313151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13151664"/>
        <c:crosses val="autoZero"/>
        <c:auto val="1"/>
        <c:lblAlgn val="ctr"/>
        <c:lblOffset val="100"/>
        <c:noMultiLvlLbl val="0"/>
      </c:catAx>
      <c:valAx>
        <c:axId val="313151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131511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测试质量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charts!$B$41</c:f>
              <c:strCache>
                <c:ptCount val="1"/>
                <c:pt idx="0">
                  <c:v>测试方案评审缺陷密度(个/页)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charts!$C$33:$E$33</c:f>
              <c:strCache>
                <c:ptCount val="3"/>
                <c:pt idx="0">
                  <c:v>2016年基线</c:v>
                </c:pt>
                <c:pt idx="1">
                  <c:v>2017年基线</c:v>
                </c:pt>
                <c:pt idx="2">
                  <c:v>2018年基线</c:v>
                </c:pt>
              </c:strCache>
            </c:strRef>
          </c:cat>
          <c:val>
            <c:numRef>
              <c:f>charts!$C$41:$E$41</c:f>
              <c:numCache>
                <c:formatCode>General</c:formatCode>
                <c:ptCount val="3"/>
                <c:pt idx="0">
                  <c:v>0.76</c:v>
                </c:pt>
                <c:pt idx="1">
                  <c:v>0.6</c:v>
                </c:pt>
                <c:pt idx="2">
                  <c:v>0.88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charts!$B$42</c:f>
              <c:strCache>
                <c:ptCount val="1"/>
                <c:pt idx="0">
                  <c:v>测试用例评审缺陷密度(个/个)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charts!$C$33:$E$33</c:f>
              <c:strCache>
                <c:ptCount val="3"/>
                <c:pt idx="0">
                  <c:v>2016年基线</c:v>
                </c:pt>
                <c:pt idx="1">
                  <c:v>2017年基线</c:v>
                </c:pt>
                <c:pt idx="2">
                  <c:v>2018年基线</c:v>
                </c:pt>
              </c:strCache>
            </c:strRef>
          </c:cat>
          <c:val>
            <c:numRef>
              <c:f>charts!$C$42:$E$42</c:f>
              <c:numCache>
                <c:formatCode>General</c:formatCode>
                <c:ptCount val="3"/>
                <c:pt idx="0">
                  <c:v>7.0000000000000007E-2</c:v>
                </c:pt>
                <c:pt idx="1">
                  <c:v>0.1</c:v>
                </c:pt>
                <c:pt idx="2">
                  <c:v>0.26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charts!$B$43</c:f>
              <c:strCache>
                <c:ptCount val="1"/>
                <c:pt idx="0">
                  <c:v>SDV测试缺陷密度（个/KLOC）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charts!$C$33:$E$33</c:f>
              <c:strCache>
                <c:ptCount val="3"/>
                <c:pt idx="0">
                  <c:v>2016年基线</c:v>
                </c:pt>
                <c:pt idx="1">
                  <c:v>2017年基线</c:v>
                </c:pt>
                <c:pt idx="2">
                  <c:v>2018年基线</c:v>
                </c:pt>
              </c:strCache>
            </c:strRef>
          </c:cat>
          <c:val>
            <c:numRef>
              <c:f>charts!$C$43:$E$43</c:f>
              <c:numCache>
                <c:formatCode>General</c:formatCode>
                <c:ptCount val="3"/>
                <c:pt idx="0">
                  <c:v>2.0699999999999998</c:v>
                </c:pt>
                <c:pt idx="1">
                  <c:v>3</c:v>
                </c:pt>
                <c:pt idx="2">
                  <c:v>2.29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charts!$B$47</c:f>
              <c:strCache>
                <c:ptCount val="1"/>
                <c:pt idx="0">
                  <c:v>测试用例评审缺陷密度（个/个）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charts!$C$33:$E$33</c:f>
              <c:strCache>
                <c:ptCount val="3"/>
                <c:pt idx="0">
                  <c:v>2016年基线</c:v>
                </c:pt>
                <c:pt idx="1">
                  <c:v>2017年基线</c:v>
                </c:pt>
                <c:pt idx="2">
                  <c:v>2018年基线</c:v>
                </c:pt>
              </c:strCache>
            </c:strRef>
          </c:cat>
          <c:val>
            <c:numRef>
              <c:f>charts!$C$47:$E$47</c:f>
              <c:numCache>
                <c:formatCode>General</c:formatCode>
                <c:ptCount val="3"/>
                <c:pt idx="0">
                  <c:v>0.05</c:v>
                </c:pt>
                <c:pt idx="1">
                  <c:v>0.18</c:v>
                </c:pt>
                <c:pt idx="2">
                  <c:v>0.06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charts!$B$50</c:f>
              <c:strCache>
                <c:ptCount val="1"/>
                <c:pt idx="0">
                  <c:v>用例发现的问题占比（%）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charts!$C$33:$E$33</c:f>
              <c:strCache>
                <c:ptCount val="3"/>
                <c:pt idx="0">
                  <c:v>2016年基线</c:v>
                </c:pt>
                <c:pt idx="1">
                  <c:v>2017年基线</c:v>
                </c:pt>
                <c:pt idx="2">
                  <c:v>2018年基线</c:v>
                </c:pt>
              </c:strCache>
            </c:strRef>
          </c:cat>
          <c:val>
            <c:numRef>
              <c:f>charts!$C$50:$E$50</c:f>
              <c:numCache>
                <c:formatCode>0.00%</c:formatCode>
                <c:ptCount val="3"/>
                <c:pt idx="0">
                  <c:v>0.9103</c:v>
                </c:pt>
                <c:pt idx="1">
                  <c:v>0.8871</c:v>
                </c:pt>
                <c:pt idx="2">
                  <c:v>0.88170000000000004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charts!$B$51</c:f>
              <c:strCache>
                <c:ptCount val="1"/>
                <c:pt idx="0">
                  <c:v>漏测率(%)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charts!$C$33:$E$33</c:f>
              <c:strCache>
                <c:ptCount val="3"/>
                <c:pt idx="0">
                  <c:v>2016年基线</c:v>
                </c:pt>
                <c:pt idx="1">
                  <c:v>2017年基线</c:v>
                </c:pt>
                <c:pt idx="2">
                  <c:v>2018年基线</c:v>
                </c:pt>
              </c:strCache>
            </c:strRef>
          </c:cat>
          <c:val>
            <c:numRef>
              <c:f>charts!$C$51:$E$51</c:f>
              <c:numCache>
                <c:formatCode>0.00%</c:formatCode>
                <c:ptCount val="3"/>
                <c:pt idx="0" formatCode="General">
                  <c:v>0</c:v>
                </c:pt>
                <c:pt idx="1">
                  <c:v>6.6E-3</c:v>
                </c:pt>
                <c:pt idx="2">
                  <c:v>1.6999999999999999E-3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3856864"/>
        <c:axId val="313857424"/>
      </c:lineChart>
      <c:catAx>
        <c:axId val="313856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13857424"/>
        <c:crosses val="autoZero"/>
        <c:auto val="1"/>
        <c:lblAlgn val="ctr"/>
        <c:lblOffset val="100"/>
        <c:noMultiLvlLbl val="0"/>
      </c:catAx>
      <c:valAx>
        <c:axId val="313857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138568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自动化质量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charts!$B$44</c:f>
              <c:strCache>
                <c:ptCount val="1"/>
                <c:pt idx="0">
                  <c:v>自动化脚本检视缺陷密度（个/每个）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charts!$C$33:$E$33</c:f>
              <c:strCache>
                <c:ptCount val="3"/>
                <c:pt idx="0">
                  <c:v>2016年基线</c:v>
                </c:pt>
                <c:pt idx="1">
                  <c:v>2017年基线</c:v>
                </c:pt>
                <c:pt idx="2">
                  <c:v>2018年基线</c:v>
                </c:pt>
              </c:strCache>
            </c:strRef>
          </c:cat>
          <c:val>
            <c:numRef>
              <c:f>charts!$C$44:$E$44</c:f>
              <c:numCache>
                <c:formatCode>General</c:formatCode>
                <c:ptCount val="3"/>
                <c:pt idx="0">
                  <c:v>0.4</c:v>
                </c:pt>
                <c:pt idx="1">
                  <c:v>0.2</c:v>
                </c:pt>
                <c:pt idx="2">
                  <c:v>0.34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charts!$B$45</c:f>
              <c:strCache>
                <c:ptCount val="1"/>
                <c:pt idx="0">
                  <c:v>自动化脚本与用例忠实度（%）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charts!$C$33:$E$33</c:f>
              <c:strCache>
                <c:ptCount val="3"/>
                <c:pt idx="0">
                  <c:v>2016年基线</c:v>
                </c:pt>
                <c:pt idx="1">
                  <c:v>2017年基线</c:v>
                </c:pt>
                <c:pt idx="2">
                  <c:v>2018年基线</c:v>
                </c:pt>
              </c:strCache>
            </c:strRef>
          </c:cat>
          <c:val>
            <c:numRef>
              <c:f>charts!$C$45:$E$45</c:f>
              <c:numCache>
                <c:formatCode>0.00%</c:formatCode>
                <c:ptCount val="3"/>
                <c:pt idx="0">
                  <c:v>0.99619999999999997</c:v>
                </c:pt>
                <c:pt idx="1">
                  <c:v>0.99690000000000001</c:v>
                </c:pt>
                <c:pt idx="2">
                  <c:v>1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charts!$B$46</c:f>
              <c:strCache>
                <c:ptCount val="1"/>
                <c:pt idx="0">
                  <c:v>CI脚本通过率(%)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charts!$C$33:$E$33</c:f>
              <c:strCache>
                <c:ptCount val="3"/>
                <c:pt idx="0">
                  <c:v>2016年基线</c:v>
                </c:pt>
                <c:pt idx="1">
                  <c:v>2017年基线</c:v>
                </c:pt>
                <c:pt idx="2">
                  <c:v>2018年基线</c:v>
                </c:pt>
              </c:strCache>
            </c:strRef>
          </c:cat>
          <c:val>
            <c:numRef>
              <c:f>charts!$C$46:$E$46</c:f>
              <c:numCache>
                <c:formatCode>0.00%</c:formatCode>
                <c:ptCount val="3"/>
                <c:pt idx="0">
                  <c:v>0.99390000000000001</c:v>
                </c:pt>
                <c:pt idx="1">
                  <c:v>0.96589999999999998</c:v>
                </c:pt>
                <c:pt idx="2">
                  <c:v>0.97889999999999999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charts!$B$48</c:f>
              <c:strCache>
                <c:ptCount val="1"/>
                <c:pt idx="0">
                  <c:v>自动化用例比例(%)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charts!$C$33:$E$33</c:f>
              <c:strCache>
                <c:ptCount val="3"/>
                <c:pt idx="0">
                  <c:v>2016年基线</c:v>
                </c:pt>
                <c:pt idx="1">
                  <c:v>2017年基线</c:v>
                </c:pt>
                <c:pt idx="2">
                  <c:v>2018年基线</c:v>
                </c:pt>
              </c:strCache>
            </c:strRef>
          </c:cat>
          <c:val>
            <c:numRef>
              <c:f>charts!$C$48:$E$48</c:f>
              <c:numCache>
                <c:formatCode>0.00%</c:formatCode>
                <c:ptCount val="3"/>
                <c:pt idx="0">
                  <c:v>0.31940000000000002</c:v>
                </c:pt>
                <c:pt idx="1">
                  <c:v>0.30840000000000001</c:v>
                </c:pt>
                <c:pt idx="2">
                  <c:v>0.55769999999999997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charts!$B$49</c:f>
              <c:strCache>
                <c:ptCount val="1"/>
                <c:pt idx="0">
                  <c:v>自动化用例连跑通过率（%）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charts!$C$33:$E$33</c:f>
              <c:strCache>
                <c:ptCount val="3"/>
                <c:pt idx="0">
                  <c:v>2016年基线</c:v>
                </c:pt>
                <c:pt idx="1">
                  <c:v>2017年基线</c:v>
                </c:pt>
                <c:pt idx="2">
                  <c:v>2018年基线</c:v>
                </c:pt>
              </c:strCache>
            </c:strRef>
          </c:cat>
          <c:val>
            <c:numRef>
              <c:f>charts!$C$49:$E$49</c:f>
              <c:numCache>
                <c:formatCode>0.00%</c:formatCode>
                <c:ptCount val="3"/>
                <c:pt idx="0">
                  <c:v>0.86990000000000001</c:v>
                </c:pt>
                <c:pt idx="1">
                  <c:v>0.64780000000000004</c:v>
                </c:pt>
                <c:pt idx="2">
                  <c:v>0.89090000000000003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3965216"/>
        <c:axId val="313965776"/>
      </c:lineChart>
      <c:catAx>
        <c:axId val="3139652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13965776"/>
        <c:crosses val="autoZero"/>
        <c:auto val="1"/>
        <c:lblAlgn val="ctr"/>
        <c:lblOffset val="100"/>
        <c:noMultiLvlLbl val="0"/>
      </c:catAx>
      <c:valAx>
        <c:axId val="313965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13965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charts!$B$63</c:f>
              <c:strCache>
                <c:ptCount val="1"/>
                <c:pt idx="0">
                  <c:v>代码设计(Infusion检查)QDI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charts!$C$57:$E$57</c:f>
              <c:strCache>
                <c:ptCount val="3"/>
                <c:pt idx="0">
                  <c:v>2016年基线</c:v>
                </c:pt>
                <c:pt idx="1">
                  <c:v>2017年基线</c:v>
                </c:pt>
                <c:pt idx="2">
                  <c:v>2018年基线</c:v>
                </c:pt>
              </c:strCache>
            </c:strRef>
          </c:cat>
          <c:val>
            <c:numRef>
              <c:f>charts!$C$63:$E$63</c:f>
              <c:numCache>
                <c:formatCode>General</c:formatCode>
                <c:ptCount val="3"/>
                <c:pt idx="0">
                  <c:v>91.8</c:v>
                </c:pt>
                <c:pt idx="1">
                  <c:v>96.9</c:v>
                </c:pt>
                <c:pt idx="2">
                  <c:v>82.58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3968576"/>
        <c:axId val="313568912"/>
      </c:lineChart>
      <c:catAx>
        <c:axId val="313968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13568912"/>
        <c:crosses val="autoZero"/>
        <c:auto val="1"/>
        <c:lblAlgn val="ctr"/>
        <c:lblOffset val="100"/>
        <c:noMultiLvlLbl val="0"/>
      </c:catAx>
      <c:valAx>
        <c:axId val="313568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13968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代码质量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charts!$B$58</c:f>
              <c:strCache>
                <c:ptCount val="1"/>
                <c:pt idx="0">
                  <c:v>ICP-静态检查告警数(个)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charts!$C$57:$E$57</c:f>
              <c:strCache>
                <c:ptCount val="3"/>
                <c:pt idx="0">
                  <c:v>2016年基线</c:v>
                </c:pt>
                <c:pt idx="1">
                  <c:v>2017年基线</c:v>
                </c:pt>
                <c:pt idx="2">
                  <c:v>2018年基线</c:v>
                </c:pt>
              </c:strCache>
            </c:strRef>
          </c:cat>
          <c:val>
            <c:numRef>
              <c:f>charts!$C$58:$E$58</c:f>
              <c:numCache>
                <c:formatCode>General</c:formatCode>
                <c:ptCount val="3"/>
                <c:pt idx="0">
                  <c:v>0</c:v>
                </c:pt>
                <c:pt idx="1">
                  <c:v>0.5</c:v>
                </c:pt>
                <c:pt idx="2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charts!$B$60</c:f>
              <c:strCache>
                <c:ptCount val="1"/>
                <c:pt idx="0">
                  <c:v>ICP-代码重复率(%)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charts!$C$57:$E$57</c:f>
              <c:strCache>
                <c:ptCount val="3"/>
                <c:pt idx="0">
                  <c:v>2016年基线</c:v>
                </c:pt>
                <c:pt idx="1">
                  <c:v>2017年基线</c:v>
                </c:pt>
                <c:pt idx="2">
                  <c:v>2018年基线</c:v>
                </c:pt>
              </c:strCache>
            </c:strRef>
          </c:cat>
          <c:val>
            <c:numRef>
              <c:f>charts!$C$60:$E$60</c:f>
              <c:numCache>
                <c:formatCode>0.00%</c:formatCode>
                <c:ptCount val="3"/>
                <c:pt idx="0" formatCode="0%">
                  <c:v>7.0000000000000007E-2</c:v>
                </c:pt>
                <c:pt idx="1">
                  <c:v>6.7599999999999993E-2</c:v>
                </c:pt>
                <c:pt idx="2">
                  <c:v>5.5100000000000003E-2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charts!$B$61</c:f>
              <c:strCache>
                <c:ptCount val="1"/>
                <c:pt idx="0">
                  <c:v>Coverity告警数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Pt>
            <c:idx val="2"/>
            <c:marker>
              <c:symbol val="none"/>
            </c:marker>
            <c:bubble3D val="0"/>
            <c:spPr>
              <a:ln w="28575" cap="rnd">
                <a:solidFill>
                  <a:srgbClr val="FFFF00"/>
                </a:solidFill>
                <a:round/>
              </a:ln>
              <a:effectLst/>
            </c:spPr>
          </c:dPt>
          <c:dLbls>
            <c:dLbl>
              <c:idx val="2"/>
              <c:tx>
                <c:rich>
                  <a:bodyPr/>
                  <a:lstStyle/>
                  <a:p>
                    <a:fld id="{32D20E90-07C5-45BC-BA0D-D482D3AF9E3D}" type="SERIESNAME">
                      <a:rPr lang="zh-CN" altLang="en-US" sz="1050"/>
                      <a:pPr/>
                      <a:t>[系列名称]</a:t>
                    </a:fld>
                    <a:r>
                      <a:rPr lang="en-US" altLang="zh-CN" baseline="0"/>
                      <a:t>, </a:t>
                    </a:r>
                    <a:fld id="{5BEB0D71-8C3E-4827-A1E5-4D86E2D2FED1}" type="VALUE">
                      <a:rPr lang="en-US" altLang="zh-CN" baseline="0"/>
                      <a:pPr/>
                      <a:t>[值]</a:t>
                    </a:fld>
                    <a:endParaRPr lang="en-US" altLang="zh-CN" baseline="0"/>
                  </a:p>
                </c:rich>
              </c:tx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charts!$C$57:$E$57</c:f>
              <c:strCache>
                <c:ptCount val="3"/>
                <c:pt idx="0">
                  <c:v>2016年基线</c:v>
                </c:pt>
                <c:pt idx="1">
                  <c:v>2017年基线</c:v>
                </c:pt>
                <c:pt idx="2">
                  <c:v>2018年基线</c:v>
                </c:pt>
              </c:strCache>
            </c:strRef>
          </c:cat>
          <c:val>
            <c:numRef>
              <c:f>charts!$C$61:$E$61</c:f>
              <c:numCache>
                <c:formatCode>General</c:formatCode>
                <c:ptCount val="3"/>
                <c:pt idx="0">
                  <c:v>0</c:v>
                </c:pt>
                <c:pt idx="1">
                  <c:v>0.3</c:v>
                </c:pt>
                <c:pt idx="2">
                  <c:v>1.22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charts!$B$62</c:f>
              <c:strCache>
                <c:ptCount val="1"/>
                <c:pt idx="0">
                  <c:v>Fortify告警数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Lbls>
            <c:dLbl>
              <c:idx val="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05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E84A5560-6BD5-4FD3-9F0F-FF7139E767CB}" type="SERIESNAME">
                      <a:rPr lang="zh-CN" altLang="en-US" sz="1050"/>
                      <a:pPr>
                        <a:defRPr sz="1050"/>
                      </a:pPr>
                      <a:t>[系列名称]</a:t>
                    </a:fld>
                    <a:r>
                      <a:rPr lang="en-US" altLang="zh-CN" sz="1050" baseline="0"/>
                      <a:t>, </a:t>
                    </a:r>
                    <a:fld id="{3E36D5E3-0E4A-4FE8-9455-A6FA95E86714}" type="VALUE">
                      <a:rPr lang="en-US" altLang="zh-CN" sz="1050" baseline="0"/>
                      <a:pPr>
                        <a:defRPr sz="1050"/>
                      </a:pPr>
                      <a:t>[值]</a:t>
                    </a:fld>
                    <a:endParaRPr lang="en-US" altLang="zh-CN" sz="1050" baseline="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5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zh-CN"/>
                </a:p>
              </c:txPr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charts!$C$57:$E$57</c:f>
              <c:strCache>
                <c:ptCount val="3"/>
                <c:pt idx="0">
                  <c:v>2016年基线</c:v>
                </c:pt>
                <c:pt idx="1">
                  <c:v>2017年基线</c:v>
                </c:pt>
                <c:pt idx="2">
                  <c:v>2018年基线</c:v>
                </c:pt>
              </c:strCache>
            </c:strRef>
          </c:cat>
          <c:val>
            <c:numRef>
              <c:f>charts!$C$62:$E$62</c:f>
              <c:numCache>
                <c:formatCode>General</c:formatCode>
                <c:ptCount val="3"/>
                <c:pt idx="0">
                  <c:v>0</c:v>
                </c:pt>
                <c:pt idx="1">
                  <c:v>0.2</c:v>
                </c:pt>
                <c:pt idx="2">
                  <c:v>1.67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3572832"/>
        <c:axId val="313573392"/>
      </c:lineChart>
      <c:catAx>
        <c:axId val="313572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13573392"/>
        <c:crosses val="autoZero"/>
        <c:auto val="1"/>
        <c:lblAlgn val="ctr"/>
        <c:lblOffset val="100"/>
        <c:noMultiLvlLbl val="0"/>
      </c:catAx>
      <c:valAx>
        <c:axId val="313573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13572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charts!$B$73</c:f>
              <c:strCache>
                <c:ptCount val="1"/>
                <c:pt idx="0">
                  <c:v>项目构建时长(分钟)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charts!$C$70:$E$70</c:f>
              <c:strCache>
                <c:ptCount val="3"/>
                <c:pt idx="0">
                  <c:v>2016年基线</c:v>
                </c:pt>
                <c:pt idx="1">
                  <c:v>2017年基线</c:v>
                </c:pt>
                <c:pt idx="2">
                  <c:v>2018年基线</c:v>
                </c:pt>
              </c:strCache>
            </c:strRef>
          </c:cat>
          <c:val>
            <c:numRef>
              <c:f>charts!$C$73:$E$73</c:f>
              <c:numCache>
                <c:formatCode>General</c:formatCode>
                <c:ptCount val="3"/>
                <c:pt idx="0">
                  <c:v>18.899999999999999</c:v>
                </c:pt>
                <c:pt idx="1">
                  <c:v>15.5</c:v>
                </c:pt>
                <c:pt idx="2" formatCode="0.00_ 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3576192"/>
        <c:axId val="313753232"/>
      </c:lineChart>
      <c:catAx>
        <c:axId val="3135761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13753232"/>
        <c:crosses val="autoZero"/>
        <c:auto val="1"/>
        <c:lblAlgn val="ctr"/>
        <c:lblOffset val="100"/>
        <c:noMultiLvlLbl val="0"/>
      </c:catAx>
      <c:valAx>
        <c:axId val="313753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13576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1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1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1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1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19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20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404812</xdr:colOff>
      <xdr:row>9</xdr:row>
      <xdr:rowOff>109537</xdr:rowOff>
    </xdr:from>
    <xdr:to>
      <xdr:col>3</xdr:col>
      <xdr:colOff>376237</xdr:colOff>
      <xdr:row>25</xdr:row>
      <xdr:rowOff>109537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157163</xdr:colOff>
      <xdr:row>8</xdr:row>
      <xdr:rowOff>157162</xdr:rowOff>
    </xdr:from>
    <xdr:to>
      <xdr:col>8</xdr:col>
      <xdr:colOff>257176</xdr:colOff>
      <xdr:row>21</xdr:row>
      <xdr:rowOff>66675</xdr:rowOff>
    </xdr:to>
    <xdr:graphicFrame macro="">
      <xdr:nvGraphicFramePr>
        <xdr:cNvPr id="3" name="图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138112</xdr:colOff>
      <xdr:row>16</xdr:row>
      <xdr:rowOff>4762</xdr:rowOff>
    </xdr:from>
    <xdr:to>
      <xdr:col>13</xdr:col>
      <xdr:colOff>595312</xdr:colOff>
      <xdr:row>32</xdr:row>
      <xdr:rowOff>4762</xdr:rowOff>
    </xdr:to>
    <xdr:graphicFrame macro="">
      <xdr:nvGraphicFramePr>
        <xdr:cNvPr id="4" name="图表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666750</xdr:colOff>
      <xdr:row>5</xdr:row>
      <xdr:rowOff>9525</xdr:rowOff>
    </xdr:from>
    <xdr:to>
      <xdr:col>15</xdr:col>
      <xdr:colOff>404812</xdr:colOff>
      <xdr:row>16</xdr:row>
      <xdr:rowOff>109537</xdr:rowOff>
    </xdr:to>
    <xdr:graphicFrame macro="">
      <xdr:nvGraphicFramePr>
        <xdr:cNvPr id="5" name="图表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223837</xdr:colOff>
      <xdr:row>54</xdr:row>
      <xdr:rowOff>171449</xdr:rowOff>
    </xdr:from>
    <xdr:to>
      <xdr:col>12</xdr:col>
      <xdr:colOff>681037</xdr:colOff>
      <xdr:row>66</xdr:row>
      <xdr:rowOff>71436</xdr:rowOff>
    </xdr:to>
    <xdr:graphicFrame macro="">
      <xdr:nvGraphicFramePr>
        <xdr:cNvPr id="8" name="图表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433387</xdr:colOff>
      <xdr:row>66</xdr:row>
      <xdr:rowOff>119062</xdr:rowOff>
    </xdr:from>
    <xdr:to>
      <xdr:col>12</xdr:col>
      <xdr:colOff>204787</xdr:colOff>
      <xdr:row>82</xdr:row>
      <xdr:rowOff>80962</xdr:rowOff>
    </xdr:to>
    <xdr:graphicFrame macro="">
      <xdr:nvGraphicFramePr>
        <xdr:cNvPr id="9" name="图表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1685925</xdr:colOff>
      <xdr:row>43</xdr:row>
      <xdr:rowOff>123825</xdr:rowOff>
    </xdr:from>
    <xdr:to>
      <xdr:col>5</xdr:col>
      <xdr:colOff>171450</xdr:colOff>
      <xdr:row>54</xdr:row>
      <xdr:rowOff>147637</xdr:rowOff>
    </xdr:to>
    <xdr:graphicFrame macro="">
      <xdr:nvGraphicFramePr>
        <xdr:cNvPr id="10" name="图表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476250</xdr:colOff>
      <xdr:row>50</xdr:row>
      <xdr:rowOff>119062</xdr:rowOff>
    </xdr:from>
    <xdr:to>
      <xdr:col>16</xdr:col>
      <xdr:colOff>247650</xdr:colOff>
      <xdr:row>66</xdr:row>
      <xdr:rowOff>147637</xdr:rowOff>
    </xdr:to>
    <xdr:graphicFrame macro="">
      <xdr:nvGraphicFramePr>
        <xdr:cNvPr id="11" name="图表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628650</xdr:colOff>
      <xdr:row>44</xdr:row>
      <xdr:rowOff>71437</xdr:rowOff>
    </xdr:from>
    <xdr:to>
      <xdr:col>17</xdr:col>
      <xdr:colOff>400050</xdr:colOff>
      <xdr:row>60</xdr:row>
      <xdr:rowOff>33337</xdr:rowOff>
    </xdr:to>
    <xdr:graphicFrame macro="">
      <xdr:nvGraphicFramePr>
        <xdr:cNvPr id="20" name="图表 1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7</xdr:col>
      <xdr:colOff>114300</xdr:colOff>
      <xdr:row>32</xdr:row>
      <xdr:rowOff>142875</xdr:rowOff>
    </xdr:from>
    <xdr:to>
      <xdr:col>12</xdr:col>
      <xdr:colOff>161925</xdr:colOff>
      <xdr:row>43</xdr:row>
      <xdr:rowOff>104775</xdr:rowOff>
    </xdr:to>
    <xdr:graphicFrame macro="">
      <xdr:nvGraphicFramePr>
        <xdr:cNvPr id="18" name="图表 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13</xdr:col>
      <xdr:colOff>171450</xdr:colOff>
      <xdr:row>32</xdr:row>
      <xdr:rowOff>142875</xdr:rowOff>
    </xdr:from>
    <xdr:to>
      <xdr:col>19</xdr:col>
      <xdr:colOff>628650</xdr:colOff>
      <xdr:row>48</xdr:row>
      <xdr:rowOff>104775</xdr:rowOff>
    </xdr:to>
    <xdr:graphicFrame macro="">
      <xdr:nvGraphicFramePr>
        <xdr:cNvPr id="21" name="图表 2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7</xdr:col>
      <xdr:colOff>447675</xdr:colOff>
      <xdr:row>34</xdr:row>
      <xdr:rowOff>85725</xdr:rowOff>
    </xdr:from>
    <xdr:to>
      <xdr:col>14</xdr:col>
      <xdr:colOff>219075</xdr:colOff>
      <xdr:row>50</xdr:row>
      <xdr:rowOff>85725</xdr:rowOff>
    </xdr:to>
    <xdr:graphicFrame macro="">
      <xdr:nvGraphicFramePr>
        <xdr:cNvPr id="22" name="图表 2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5</xdr:col>
      <xdr:colOff>523875</xdr:colOff>
      <xdr:row>37</xdr:row>
      <xdr:rowOff>9525</xdr:rowOff>
    </xdr:from>
    <xdr:to>
      <xdr:col>12</xdr:col>
      <xdr:colOff>295275</xdr:colOff>
      <xdr:row>53</xdr:row>
      <xdr:rowOff>9525</xdr:rowOff>
    </xdr:to>
    <xdr:graphicFrame macro="">
      <xdr:nvGraphicFramePr>
        <xdr:cNvPr id="23" name="图表 2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</xdr:col>
      <xdr:colOff>852487</xdr:colOff>
      <xdr:row>54</xdr:row>
      <xdr:rowOff>76200</xdr:rowOff>
    </xdr:from>
    <xdr:to>
      <xdr:col>7</xdr:col>
      <xdr:colOff>295275</xdr:colOff>
      <xdr:row>66</xdr:row>
      <xdr:rowOff>76200</xdr:rowOff>
    </xdr:to>
    <xdr:graphicFrame macro="">
      <xdr:nvGraphicFramePr>
        <xdr:cNvPr id="24" name="图表 2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2</xdr:col>
      <xdr:colOff>862012</xdr:colOff>
      <xdr:row>44</xdr:row>
      <xdr:rowOff>161925</xdr:rowOff>
    </xdr:from>
    <xdr:to>
      <xdr:col>9</xdr:col>
      <xdr:colOff>176212</xdr:colOff>
      <xdr:row>60</xdr:row>
      <xdr:rowOff>123825</xdr:rowOff>
    </xdr:to>
    <xdr:graphicFrame macro="">
      <xdr:nvGraphicFramePr>
        <xdr:cNvPr id="25" name="图表 2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</xdr:col>
      <xdr:colOff>795337</xdr:colOff>
      <xdr:row>57</xdr:row>
      <xdr:rowOff>9525</xdr:rowOff>
    </xdr:from>
    <xdr:to>
      <xdr:col>10</xdr:col>
      <xdr:colOff>309562</xdr:colOff>
      <xdr:row>72</xdr:row>
      <xdr:rowOff>123825</xdr:rowOff>
    </xdr:to>
    <xdr:graphicFrame macro="">
      <xdr:nvGraphicFramePr>
        <xdr:cNvPr id="26" name="图表 2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Users\CWX158~1\AppData\Local\Temp\notes93623C\&#27494;&#27721;\ONT%20&#23450;&#21046;%20&#24230;&#37327;&#34920;&#21333;201509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sic"/>
      <sheetName val="交付度量"/>
      <sheetName val="201504（运维大数据平台）"/>
      <sheetName val="201505（ONT WEB仿真平台二期优化）"/>
      <sheetName val="201506（预配置优化）"/>
      <sheetName val="TimeSheet_Test"/>
      <sheetName val="持续集成"/>
      <sheetName val="201507（预配置优化）"/>
      <sheetName val="201508（ONT Web仿真迭代开发）"/>
      <sheetName val="201509（预配置新特性迭代开发）"/>
      <sheetName val="度量"/>
      <sheetName val="PCB数据收集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2">
          <cell r="J2">
            <v>0</v>
          </cell>
        </row>
        <row r="9">
          <cell r="D9">
            <v>0</v>
          </cell>
        </row>
      </sheetData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tables/table1.xml><?xml version="1.0" encoding="utf-8"?>
<table xmlns="http://schemas.openxmlformats.org/spreadsheetml/2006/main" id="1" name="表1" displayName="表1" ref="B3:AW46" totalsRowShown="0">
  <autoFilter ref="B3:AW46"/>
  <tableColumns count="48">
    <tableColumn id="1" name="列1" dataDxfId="160" dataCellStyle="常规 3"/>
    <tableColumn id="2" name="列2" dataDxfId="159" dataCellStyle="常规 3"/>
    <tableColumn id="3" name="列3" dataDxfId="158" dataCellStyle="常规 3"/>
    <tableColumn id="4" name="列4" dataDxfId="157" dataCellStyle="常规 3"/>
    <tableColumn id="5" name="列5" dataDxfId="156" dataCellStyle="常规 3"/>
    <tableColumn id="6" name="列6" dataDxfId="155" dataCellStyle="常规 3"/>
    <tableColumn id="7" name="列7" dataDxfId="154" dataCellStyle="常规 3"/>
    <tableColumn id="8" name="列8" dataDxfId="153" dataCellStyle="常规 3"/>
    <tableColumn id="9" name="列9" dataDxfId="152" dataCellStyle="常规 3"/>
    <tableColumn id="10" name="列10" dataDxfId="151" dataCellStyle="常规 3"/>
    <tableColumn id="11" name="列11" dataDxfId="150" dataCellStyle="常规 3"/>
    <tableColumn id="12" name="列166" dataDxfId="149" dataCellStyle="常规 3"/>
    <tableColumn id="13" name="列165" dataDxfId="148" dataCellStyle="常规 3"/>
    <tableColumn id="14" name="列164" dataDxfId="147" dataCellStyle="常规 3"/>
    <tableColumn id="15" name="列163" dataDxfId="146" dataCellStyle="常规 3"/>
    <tableColumn id="16" name="列162" dataDxfId="145" dataCellStyle="常规 3"/>
    <tableColumn id="17" name="列1626" dataDxfId="144"/>
    <tableColumn id="18" name="列1625" dataDxfId="143" dataCellStyle="百分比"/>
    <tableColumn id="19" name="列1624" dataDxfId="142" dataCellStyle="百分比"/>
    <tableColumn id="20" name="列1623" dataDxfId="141" dataCellStyle="百分比"/>
    <tableColumn id="21" name="列1622" dataDxfId="140" dataCellStyle="百分比"/>
    <tableColumn id="32" name="列1685" dataDxfId="139" dataCellStyle="百分比"/>
    <tableColumn id="33" name="列1684" dataDxfId="138" dataCellStyle="百分比"/>
    <tableColumn id="34" name="列1683" dataDxfId="137" dataCellStyle="百分比"/>
    <tableColumn id="35" name="列1682" dataDxfId="136" dataCellStyle="百分比"/>
    <tableColumn id="43" name="列16825" dataDxfId="135" dataCellStyle="百分比"/>
    <tableColumn id="42" name="列16824" dataDxfId="134" dataCellStyle="百分比"/>
    <tableColumn id="41" name="列16823" dataDxfId="133" dataCellStyle="百分比"/>
    <tableColumn id="40" name="列16822" dataDxfId="132" dataCellStyle="百分比"/>
    <tableColumn id="22" name="列122" dataDxfId="131" dataCellStyle="常规 3"/>
    <tableColumn id="23" name="列133" dataDxfId="130" dataCellStyle="常规 3"/>
    <tableColumn id="25" name="列155" dataDxfId="129" dataCellStyle="常规 3"/>
    <tableColumn id="26" name="列167" dataDxfId="128" dataCellStyle="常规 3"/>
    <tableColumn id="28" name="列1674" dataDxfId="127" dataCellStyle="常规 3"/>
    <tableColumn id="47" name="列168224" dataDxfId="126" dataCellStyle="百分比"/>
    <tableColumn id="39" name="列1682243" dataDxfId="125" dataCellStyle="百分比"/>
    <tableColumn id="52" name="列16822254" dataDxfId="124"/>
    <tableColumn id="46" name="列16822255" dataDxfId="123">
      <calculatedColumnFormula>(表1[[#This Row],[列1682243]]+AL4)/2</calculatedColumnFormula>
    </tableColumn>
    <tableColumn id="36" name="列17" dataDxfId="122" dataCellStyle="常规 3"/>
    <tableColumn id="27" name="列172" dataDxfId="121" dataCellStyle="常规 3"/>
    <tableColumn id="29" name="列173" dataDxfId="120" dataCellStyle="常规 3"/>
    <tableColumn id="37" name="列18" dataDxfId="119"/>
    <tableColumn id="38" name="列19" dataDxfId="118"/>
    <tableColumn id="24" name="列20" dataDxfId="117">
      <calculatedColumnFormula>IF(表1[[#This Row],[列172]]*1.1&gt;100%,100%,表1[[#This Row],[列172]]*1.1)</calculatedColumnFormula>
    </tableColumn>
    <tableColumn id="30" name="列21" dataDxfId="116">
      <calculatedColumnFormula>表1[[#This Row],[列18]]*1.1</calculatedColumnFormula>
    </tableColumn>
    <tableColumn id="31" name="列22" dataDxfId="115">
      <calculatedColumnFormula>表1[[#This Row],[列19]]*1.1</calculatedColumnFormula>
    </tableColumn>
    <tableColumn id="44" name="列23" dataDxfId="114"/>
    <tableColumn id="45" name="列24" dataDxfId="113">
      <calculatedColumnFormula>IF(AO4&gt;=AM4,"Up","Down")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4" name="表4" displayName="表4" ref="B3:AM18" totalsRowShown="0">
  <autoFilter ref="B3:AM18"/>
  <tableColumns count="38">
    <tableColumn id="1" name="列1"/>
    <tableColumn id="2" name="列2"/>
    <tableColumn id="3" name="列3"/>
    <tableColumn id="4" name="列4"/>
    <tableColumn id="5" name="列5"/>
    <tableColumn id="6" name="列6"/>
    <tableColumn id="7" name="列7"/>
    <tableColumn id="8" name="列8"/>
    <tableColumn id="9" name="列9"/>
    <tableColumn id="10" name="列10"/>
    <tableColumn id="11" name="列11"/>
    <tableColumn id="12" name="列116"/>
    <tableColumn id="13" name="列115"/>
    <tableColumn id="14" name="列114"/>
    <tableColumn id="15" name="列113"/>
    <tableColumn id="16" name="列112"/>
    <tableColumn id="17" name="列1125"/>
    <tableColumn id="18" name="列1124"/>
    <tableColumn id="19" name="列1123"/>
    <tableColumn id="20" name="列1122"/>
    <tableColumn id="21" name="列11225"/>
    <tableColumn id="22" name="列11224"/>
    <tableColumn id="23" name="列11223"/>
    <tableColumn id="24" name="列11222"/>
    <tableColumn id="25" name="列112225"/>
    <tableColumn id="26" name="列112224"/>
    <tableColumn id="27" name="列112223"/>
    <tableColumn id="28" name="列112222"/>
    <tableColumn id="34" name="列1122226">
      <calculatedColumnFormula>(R4*S4+V4*W4+Z4*AA4)/(R4+V4+Z4)</calculatedColumnFormula>
    </tableColumn>
    <tableColumn id="33" name="列1122225" dataDxfId="106"/>
    <tableColumn id="32" name="列1122224"/>
    <tableColumn id="31" name="列1122223"/>
    <tableColumn id="30" name="列1122222"/>
    <tableColumn id="40" name="列11222228"/>
    <tableColumn id="39" name="列11222227"/>
    <tableColumn id="38" name="列11222226"/>
    <tableColumn id="37" name="列11222225"/>
    <tableColumn id="29" name="列112222252">
      <calculatedColumnFormula>(AE4*AF4+AI4*AJ4)/(AE4+AI4)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表2" displayName="表2" ref="B3:BA17" totalsRowShown="0">
  <autoFilter ref="B3:BA17"/>
  <tableColumns count="52">
    <tableColumn id="1" name="列1"/>
    <tableColumn id="2" name="列2"/>
    <tableColumn id="3" name="列3"/>
    <tableColumn id="4" name="列4"/>
    <tableColumn id="5" name="列5"/>
    <tableColumn id="6" name="列6"/>
    <tableColumn id="7" name="列7"/>
    <tableColumn id="8" name="列8"/>
    <tableColumn id="9" name="列9"/>
    <tableColumn id="10" name="列10"/>
    <tableColumn id="11" name="列11"/>
    <tableColumn id="12" name="列12"/>
    <tableColumn id="13" name="列13"/>
    <tableColumn id="14" name="列14"/>
    <tableColumn id="15" name="列15"/>
    <tableColumn id="16" name="列16"/>
    <tableColumn id="17" name="列122"/>
    <tableColumn id="18" name="列133"/>
    <tableColumn id="19" name="列144"/>
    <tableColumn id="20" name="列155"/>
    <tableColumn id="21" name="列166"/>
    <tableColumn id="22" name="列1665"/>
    <tableColumn id="23" name="列1664"/>
    <tableColumn id="24" name="列1663"/>
    <tableColumn id="25" name="列1662"/>
    <tableColumn id="26" name="列167"/>
    <tableColumn id="27" name="列1674"/>
    <tableColumn id="28" name="列1673"/>
    <tableColumn id="29" name="列1672"/>
    <tableColumn id="30" name="列168"/>
    <tableColumn id="31" name="列1684"/>
    <tableColumn id="32" name="列1683"/>
    <tableColumn id="33" name="列1682"/>
    <tableColumn id="34" name="列169"/>
    <tableColumn id="35" name="列1694"/>
    <tableColumn id="36" name="列1693"/>
    <tableColumn id="37" name="列1692"/>
    <tableColumn id="38" name="列170"/>
    <tableColumn id="39" name="列1704"/>
    <tableColumn id="40" name="列1703"/>
    <tableColumn id="41" name="列1702"/>
    <tableColumn id="42" name="列171"/>
    <tableColumn id="44" name="列1714">
      <calculatedColumnFormula>(AF4*AG4+AJ4*AK4+AN4*AO4)/(AF4+AJ4+AN4)</calculatedColumnFormula>
    </tableColumn>
    <tableColumn id="52" name="列1712" dataDxfId="105"/>
    <tableColumn id="56" name="列17122" dataDxfId="104"/>
    <tableColumn id="55" name="列1713" dataDxfId="103"/>
    <tableColumn id="51" name="列172" dataDxfId="102"/>
    <tableColumn id="50" name="列1724" dataDxfId="101"/>
    <tableColumn id="49" name="列1723" dataDxfId="100"/>
    <tableColumn id="48" name="列1722" dataDxfId="99"/>
    <tableColumn id="47" name="列173" dataDxfId="98"/>
    <tableColumn id="43" name="列174" dataDxfId="97">
      <calculatedColumnFormula>(AS4*AT4+AW4*AX4)/(AS4+AW4)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7" name="表7" displayName="表7" ref="B3:Y15" totalsRowShown="0">
  <autoFilter ref="B3:Y15"/>
  <tableColumns count="24">
    <tableColumn id="1" name="列1"/>
    <tableColumn id="2" name="列2"/>
    <tableColumn id="3" name="列3"/>
    <tableColumn id="4" name="列4"/>
    <tableColumn id="5" name="列5"/>
    <tableColumn id="6" name="列6"/>
    <tableColumn id="7" name="列7"/>
    <tableColumn id="8" name="列8"/>
    <tableColumn id="9" name="列9"/>
    <tableColumn id="10" name="列10"/>
    <tableColumn id="11" name="列11"/>
    <tableColumn id="12" name="列115"/>
    <tableColumn id="13" name="列114"/>
    <tableColumn id="14" name="列113"/>
    <tableColumn id="15" name="列112"/>
    <tableColumn id="26" name="列1125" dataDxfId="96"/>
    <tableColumn id="25" name="列1124" dataDxfId="95"/>
    <tableColumn id="24" name="列1123" dataDxfId="94"/>
    <tableColumn id="23" name="列1122" dataDxfId="93"/>
    <tableColumn id="30" name="列11225" dataDxfId="92"/>
    <tableColumn id="29" name="列11224" dataDxfId="91"/>
    <tableColumn id="28" name="列11223" dataDxfId="90"/>
    <tableColumn id="27" name="列11222" dataDxfId="89"/>
    <tableColumn id="16" name="列112222" dataDxfId="88">
      <calculatedColumnFormula>(Q4*R4+U4*V4)/(Q4+U4)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CCE8C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4.v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6.v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7.v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8.vml"/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9.vml"/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0.vml"/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77"/>
  <sheetViews>
    <sheetView topLeftCell="A12" workbookViewId="0">
      <selection activeCell="B31" sqref="B31"/>
    </sheetView>
  </sheetViews>
  <sheetFormatPr defaultRowHeight="13.5"/>
  <cols>
    <col min="1" max="1" width="9" style="206"/>
    <col min="2" max="2" width="39.75" customWidth="1"/>
    <col min="3" max="3" width="11.625" customWidth="1"/>
    <col min="4" max="4" width="10.5" customWidth="1"/>
    <col min="5" max="5" width="10.875" customWidth="1"/>
  </cols>
  <sheetData>
    <row r="1" spans="1:6" ht="16.5">
      <c r="A1" s="202" t="s">
        <v>430</v>
      </c>
      <c r="B1" s="202" t="s">
        <v>431</v>
      </c>
      <c r="C1" s="202" t="s">
        <v>432</v>
      </c>
      <c r="D1" s="202" t="s">
        <v>433</v>
      </c>
      <c r="E1" s="202" t="s">
        <v>434</v>
      </c>
    </row>
    <row r="2" spans="1:6" ht="16.5">
      <c r="A2" s="205" t="s">
        <v>435</v>
      </c>
      <c r="B2" s="203" t="s">
        <v>437</v>
      </c>
      <c r="C2" s="204">
        <v>45.8</v>
      </c>
      <c r="D2" s="204">
        <v>37.299999999999997</v>
      </c>
      <c r="E2" s="204">
        <v>36.83</v>
      </c>
    </row>
    <row r="3" spans="1:6" ht="16.5">
      <c r="A3" s="205" t="s">
        <v>436</v>
      </c>
      <c r="B3" s="203" t="s">
        <v>438</v>
      </c>
      <c r="C3" s="204">
        <v>20.5</v>
      </c>
      <c r="D3" s="204">
        <v>43</v>
      </c>
      <c r="E3" s="204">
        <v>36.590000000000003</v>
      </c>
    </row>
    <row r="4" spans="1:6" ht="16.5">
      <c r="A4" s="205" t="s">
        <v>436</v>
      </c>
      <c r="B4" s="203" t="s">
        <v>439</v>
      </c>
      <c r="C4" s="204">
        <v>2.7</v>
      </c>
      <c r="D4" s="204">
        <v>1.5</v>
      </c>
      <c r="E4" s="204">
        <v>1.79</v>
      </c>
    </row>
    <row r="5" spans="1:6">
      <c r="A5" s="208" t="s">
        <v>440</v>
      </c>
      <c r="B5" s="207" t="s">
        <v>152</v>
      </c>
      <c r="C5" s="201">
        <v>3.8</v>
      </c>
      <c r="D5" s="201">
        <v>3</v>
      </c>
      <c r="E5" s="201">
        <v>4.3</v>
      </c>
    </row>
    <row r="6" spans="1:6">
      <c r="A6" s="208" t="s">
        <v>440</v>
      </c>
      <c r="B6" s="207" t="s">
        <v>154</v>
      </c>
      <c r="C6" s="201">
        <v>13.1</v>
      </c>
      <c r="D6" s="201">
        <v>18</v>
      </c>
      <c r="E6" s="201">
        <v>13.98</v>
      </c>
    </row>
    <row r="7" spans="1:6">
      <c r="A7" s="208" t="s">
        <v>440</v>
      </c>
      <c r="B7" s="207" t="s">
        <v>155</v>
      </c>
      <c r="C7" s="201">
        <v>12.3</v>
      </c>
      <c r="D7" s="201">
        <v>17.2</v>
      </c>
      <c r="E7" s="201">
        <v>21.49</v>
      </c>
    </row>
    <row r="8" spans="1:6">
      <c r="A8" s="208" t="s">
        <v>445</v>
      </c>
      <c r="B8" s="200" t="s">
        <v>124</v>
      </c>
      <c r="C8" s="201">
        <v>5.2</v>
      </c>
      <c r="D8" s="201">
        <v>3.1</v>
      </c>
      <c r="E8" s="201">
        <v>4.53</v>
      </c>
    </row>
    <row r="9" spans="1:6">
      <c r="A9" s="208" t="s">
        <v>442</v>
      </c>
      <c r="B9" s="201" t="s">
        <v>450</v>
      </c>
      <c r="C9" s="221">
        <v>3.15</v>
      </c>
      <c r="D9" s="221">
        <v>0.71</v>
      </c>
      <c r="E9" s="221">
        <v>1.03</v>
      </c>
      <c r="F9" s="222" t="s">
        <v>446</v>
      </c>
    </row>
    <row r="33" spans="1:6" ht="16.5">
      <c r="B33" s="202" t="s">
        <v>431</v>
      </c>
      <c r="C33" s="202" t="s">
        <v>432</v>
      </c>
      <c r="D33" s="202" t="s">
        <v>433</v>
      </c>
      <c r="E33" s="202" t="s">
        <v>434</v>
      </c>
    </row>
    <row r="34" spans="1:6">
      <c r="A34" s="1" t="s">
        <v>68</v>
      </c>
      <c r="B34" s="200" t="s">
        <v>69</v>
      </c>
      <c r="C34" s="210">
        <v>0.95799999999999996</v>
      </c>
      <c r="D34" s="210">
        <v>0.95369999999999999</v>
      </c>
      <c r="E34" s="210">
        <v>0.97760000000000002</v>
      </c>
      <c r="F34" s="211" t="s">
        <v>443</v>
      </c>
    </row>
    <row r="35" spans="1:6">
      <c r="A35" s="325"/>
      <c r="B35" s="200" t="s">
        <v>70</v>
      </c>
      <c r="C35" s="201">
        <v>0.54</v>
      </c>
      <c r="D35" s="201">
        <v>0.5</v>
      </c>
      <c r="E35" s="201">
        <v>0.49</v>
      </c>
      <c r="F35" s="211" t="s">
        <v>443</v>
      </c>
    </row>
    <row r="36" spans="1:6">
      <c r="A36" s="326"/>
      <c r="B36" s="200" t="s">
        <v>71</v>
      </c>
      <c r="C36" s="201">
        <v>0.61</v>
      </c>
      <c r="D36" s="201">
        <v>0.5</v>
      </c>
      <c r="E36" s="201">
        <v>0.61</v>
      </c>
      <c r="F36" s="211" t="s">
        <v>443</v>
      </c>
    </row>
    <row r="37" spans="1:6">
      <c r="A37" s="1" t="s">
        <v>72</v>
      </c>
      <c r="B37" s="200" t="s">
        <v>73</v>
      </c>
      <c r="C37" s="201">
        <v>4.51</v>
      </c>
      <c r="D37" s="201">
        <v>4.9000000000000004</v>
      </c>
      <c r="E37" s="201">
        <v>6.6</v>
      </c>
      <c r="F37" s="211" t="s">
        <v>443</v>
      </c>
    </row>
    <row r="38" spans="1:6">
      <c r="A38" s="325"/>
      <c r="B38" s="200" t="s">
        <v>74</v>
      </c>
      <c r="C38" s="201">
        <v>2.91</v>
      </c>
      <c r="D38" s="201">
        <v>1.8</v>
      </c>
      <c r="E38" s="201">
        <v>2.2400000000000002</v>
      </c>
      <c r="F38" s="211" t="s">
        <v>443</v>
      </c>
    </row>
    <row r="39" spans="1:6">
      <c r="A39" s="325"/>
      <c r="B39" s="200" t="s">
        <v>76</v>
      </c>
      <c r="C39" s="201">
        <v>0.2</v>
      </c>
      <c r="D39" s="201">
        <v>0.4</v>
      </c>
      <c r="E39" s="201">
        <v>0.08</v>
      </c>
      <c r="F39" s="211" t="s">
        <v>443</v>
      </c>
    </row>
    <row r="40" spans="1:6">
      <c r="A40" s="326"/>
      <c r="B40" s="200" t="s">
        <v>77</v>
      </c>
      <c r="C40" s="201">
        <v>0</v>
      </c>
      <c r="D40" s="210">
        <v>1.6500000000000001E-2</v>
      </c>
      <c r="E40" s="201">
        <v>0</v>
      </c>
      <c r="F40" s="211" t="s">
        <v>443</v>
      </c>
    </row>
    <row r="41" spans="1:6">
      <c r="A41" s="1" t="s">
        <v>75</v>
      </c>
      <c r="B41" s="200" t="s">
        <v>78</v>
      </c>
      <c r="C41" s="201">
        <v>0.76</v>
      </c>
      <c r="D41" s="201">
        <v>0.6</v>
      </c>
      <c r="E41" s="201">
        <v>0.88</v>
      </c>
      <c r="F41" s="211" t="s">
        <v>443</v>
      </c>
    </row>
    <row r="42" spans="1:6">
      <c r="A42" s="325"/>
      <c r="B42" s="200" t="s">
        <v>79</v>
      </c>
      <c r="C42" s="201">
        <v>7.0000000000000007E-2</v>
      </c>
      <c r="D42" s="201">
        <v>0.1</v>
      </c>
      <c r="E42" s="201">
        <v>0.26</v>
      </c>
      <c r="F42" s="211" t="s">
        <v>443</v>
      </c>
    </row>
    <row r="43" spans="1:6">
      <c r="A43" s="326"/>
      <c r="B43" s="200" t="s">
        <v>82</v>
      </c>
      <c r="C43" s="201">
        <v>2.0699999999999998</v>
      </c>
      <c r="D43" s="201">
        <v>3</v>
      </c>
      <c r="E43" s="201">
        <v>2.29</v>
      </c>
      <c r="F43" s="212" t="s">
        <v>444</v>
      </c>
    </row>
    <row r="44" spans="1:6">
      <c r="A44" s="1" t="s">
        <v>448</v>
      </c>
      <c r="B44" s="200" t="s">
        <v>126</v>
      </c>
      <c r="C44" s="201">
        <v>0.4</v>
      </c>
      <c r="D44" s="201">
        <v>0.2</v>
      </c>
      <c r="E44" s="201">
        <v>0.34</v>
      </c>
      <c r="F44" s="211" t="s">
        <v>443</v>
      </c>
    </row>
    <row r="45" spans="1:6">
      <c r="A45" s="325"/>
      <c r="B45" s="200" t="s">
        <v>127</v>
      </c>
      <c r="C45" s="210">
        <v>0.99619999999999997</v>
      </c>
      <c r="D45" s="210">
        <v>0.99690000000000001</v>
      </c>
      <c r="E45" s="210">
        <v>1</v>
      </c>
      <c r="F45" s="211" t="s">
        <v>443</v>
      </c>
    </row>
    <row r="46" spans="1:6">
      <c r="A46" s="326"/>
      <c r="B46" s="200" t="s">
        <v>172</v>
      </c>
      <c r="C46" s="210">
        <v>0.99390000000000001</v>
      </c>
      <c r="D46" s="210">
        <v>0.96589999999999998</v>
      </c>
      <c r="E46" s="210">
        <v>0.97889999999999999</v>
      </c>
      <c r="F46" s="211" t="s">
        <v>443</v>
      </c>
    </row>
    <row r="47" spans="1:6">
      <c r="A47" s="1" t="s">
        <v>451</v>
      </c>
      <c r="B47" s="207" t="s">
        <v>156</v>
      </c>
      <c r="C47" s="201">
        <v>0.05</v>
      </c>
      <c r="D47" s="201">
        <v>0.18</v>
      </c>
      <c r="E47" s="201">
        <v>0.06</v>
      </c>
      <c r="F47" s="211" t="s">
        <v>443</v>
      </c>
    </row>
    <row r="48" spans="1:6">
      <c r="A48" s="325"/>
      <c r="B48" s="207" t="s">
        <v>157</v>
      </c>
      <c r="C48" s="210">
        <v>0.31940000000000002</v>
      </c>
      <c r="D48" s="210">
        <v>0.30840000000000001</v>
      </c>
      <c r="E48" s="210">
        <v>0.55769999999999997</v>
      </c>
      <c r="F48" s="211" t="s">
        <v>443</v>
      </c>
    </row>
    <row r="49" spans="1:6">
      <c r="A49" s="325"/>
      <c r="B49" s="207" t="s">
        <v>158</v>
      </c>
      <c r="C49" s="210">
        <v>0.86990000000000001</v>
      </c>
      <c r="D49" s="210">
        <v>0.64780000000000004</v>
      </c>
      <c r="E49" s="210">
        <v>0.89090000000000003</v>
      </c>
      <c r="F49" s="211" t="s">
        <v>443</v>
      </c>
    </row>
    <row r="50" spans="1:6">
      <c r="A50" s="325"/>
      <c r="B50" s="207" t="s">
        <v>332</v>
      </c>
      <c r="C50" s="210">
        <v>0.9103</v>
      </c>
      <c r="D50" s="210">
        <v>0.8871</v>
      </c>
      <c r="E50" s="210">
        <v>0.88170000000000004</v>
      </c>
      <c r="F50" s="212" t="s">
        <v>444</v>
      </c>
    </row>
    <row r="51" spans="1:6">
      <c r="A51" s="326"/>
      <c r="B51" s="207" t="s">
        <v>333</v>
      </c>
      <c r="C51" s="201">
        <v>0</v>
      </c>
      <c r="D51" s="210">
        <v>6.6E-3</v>
      </c>
      <c r="E51" s="210">
        <v>1.6999999999999999E-3</v>
      </c>
      <c r="F51" s="211" t="s">
        <v>443</v>
      </c>
    </row>
    <row r="52" spans="1:6">
      <c r="A52" s="220" t="s">
        <v>449</v>
      </c>
      <c r="B52" s="201" t="s">
        <v>441</v>
      </c>
      <c r="C52" s="209">
        <v>0.99560000000000004</v>
      </c>
      <c r="D52" s="209">
        <v>0.97309999999999997</v>
      </c>
      <c r="E52" s="209">
        <v>0.97799999999999998</v>
      </c>
      <c r="F52" s="223" t="s">
        <v>443</v>
      </c>
    </row>
    <row r="53" spans="1:6">
      <c r="A53" s="215"/>
      <c r="B53" s="217"/>
      <c r="C53" s="216"/>
      <c r="D53" s="218"/>
      <c r="E53" s="218"/>
      <c r="F53" s="219"/>
    </row>
    <row r="54" spans="1:6">
      <c r="A54" s="215"/>
      <c r="B54" s="217"/>
      <c r="C54" s="216"/>
      <c r="D54" s="218"/>
      <c r="E54" s="218"/>
      <c r="F54" s="219"/>
    </row>
    <row r="57" spans="1:6" ht="16.5">
      <c r="B57" s="202" t="s">
        <v>431</v>
      </c>
      <c r="C57" s="202" t="s">
        <v>432</v>
      </c>
      <c r="D57" s="202" t="s">
        <v>433</v>
      </c>
      <c r="E57" s="202" t="s">
        <v>434</v>
      </c>
    </row>
    <row r="58" spans="1:6">
      <c r="A58" s="1" t="s">
        <v>14</v>
      </c>
      <c r="B58" s="200" t="s">
        <v>324</v>
      </c>
      <c r="C58" s="201">
        <v>0</v>
      </c>
      <c r="D58" s="201">
        <v>0.5</v>
      </c>
      <c r="E58" s="201">
        <v>0</v>
      </c>
      <c r="F58" s="211" t="s">
        <v>443</v>
      </c>
    </row>
    <row r="59" spans="1:6">
      <c r="A59" s="325"/>
      <c r="B59" s="200" t="s">
        <v>92</v>
      </c>
      <c r="C59" s="201">
        <v>5.7</v>
      </c>
      <c r="D59" s="201">
        <v>6.5</v>
      </c>
      <c r="E59" s="201">
        <v>5.01</v>
      </c>
      <c r="F59" s="211" t="s">
        <v>443</v>
      </c>
    </row>
    <row r="60" spans="1:6">
      <c r="A60" s="325"/>
      <c r="B60" s="200" t="s">
        <v>93</v>
      </c>
      <c r="C60" s="213">
        <v>7.0000000000000007E-2</v>
      </c>
      <c r="D60" s="210">
        <v>6.7599999999999993E-2</v>
      </c>
      <c r="E60" s="210">
        <v>5.5100000000000003E-2</v>
      </c>
      <c r="F60" s="211" t="s">
        <v>443</v>
      </c>
    </row>
    <row r="61" spans="1:6">
      <c r="A61" s="325"/>
      <c r="B61" s="200" t="s">
        <v>453</v>
      </c>
      <c r="C61" s="201">
        <v>0</v>
      </c>
      <c r="D61" s="201">
        <v>0.3</v>
      </c>
      <c r="E61" s="201">
        <v>1.22</v>
      </c>
      <c r="F61" s="214" t="s">
        <v>446</v>
      </c>
    </row>
    <row r="62" spans="1:6">
      <c r="A62" s="325"/>
      <c r="B62" s="200" t="s">
        <v>452</v>
      </c>
      <c r="C62" s="201">
        <v>0</v>
      </c>
      <c r="D62" s="201">
        <v>0.2</v>
      </c>
      <c r="E62" s="201">
        <v>1.67</v>
      </c>
      <c r="F62" s="214" t="s">
        <v>446</v>
      </c>
    </row>
    <row r="63" spans="1:6">
      <c r="A63" s="326"/>
      <c r="B63" s="200" t="s">
        <v>325</v>
      </c>
      <c r="C63" s="201">
        <v>91.8</v>
      </c>
      <c r="D63" s="201">
        <v>96.9</v>
      </c>
      <c r="E63" s="201">
        <v>82.58</v>
      </c>
      <c r="F63" s="211" t="s">
        <v>443</v>
      </c>
    </row>
    <row r="70" spans="1:6" ht="16.5">
      <c r="B70" s="202" t="s">
        <v>431</v>
      </c>
      <c r="C70" s="202" t="s">
        <v>432</v>
      </c>
      <c r="D70" s="202" t="s">
        <v>433</v>
      </c>
      <c r="E70" s="202" t="s">
        <v>434</v>
      </c>
    </row>
    <row r="71" spans="1:6" ht="14.25">
      <c r="A71" s="1" t="s">
        <v>447</v>
      </c>
      <c r="B71" s="200" t="s">
        <v>95</v>
      </c>
      <c r="C71" s="210">
        <v>0.96799999999999997</v>
      </c>
      <c r="D71" s="210">
        <v>0.97189999999999999</v>
      </c>
      <c r="E71" s="134">
        <f>IFERROR(VLOOKUP($B71,'2019开发'!$B:$Q,3,0),0)</f>
        <v>0</v>
      </c>
      <c r="F71" s="211" t="s">
        <v>443</v>
      </c>
    </row>
    <row r="72" spans="1:6" ht="14.25">
      <c r="A72" s="325"/>
      <c r="B72" s="200" t="s">
        <v>321</v>
      </c>
      <c r="C72" s="201">
        <v>4.9000000000000004</v>
      </c>
      <c r="D72" s="201">
        <v>3.8</v>
      </c>
      <c r="E72" s="226">
        <f>IFERROR(VLOOKUP($B72,'2019开发'!$B:$Q,3,0),0)</f>
        <v>0</v>
      </c>
      <c r="F72" s="211" t="s">
        <v>443</v>
      </c>
    </row>
    <row r="73" spans="1:6" ht="14.25">
      <c r="A73" s="325"/>
      <c r="B73" s="200" t="s">
        <v>322</v>
      </c>
      <c r="C73" s="201">
        <v>18.899999999999999</v>
      </c>
      <c r="D73" s="201">
        <v>15.5</v>
      </c>
      <c r="E73" s="227">
        <f>IFERROR(VLOOKUP($B73,'2019开发'!$B:$Q,3,0),0)</f>
        <v>0</v>
      </c>
      <c r="F73" s="211" t="s">
        <v>443</v>
      </c>
    </row>
    <row r="74" spans="1:6" ht="14.25">
      <c r="A74" s="325"/>
      <c r="B74" s="200" t="s">
        <v>323</v>
      </c>
      <c r="C74" s="201">
        <v>1.6</v>
      </c>
      <c r="D74" s="201">
        <v>2.1</v>
      </c>
      <c r="E74" s="226">
        <f>IFERROR(VLOOKUP($B74,'2019开发'!$B:$Q,3,0),0)</f>
        <v>0</v>
      </c>
      <c r="F74" s="211" t="s">
        <v>443</v>
      </c>
    </row>
    <row r="75" spans="1:6" ht="14.25">
      <c r="A75" s="325"/>
      <c r="B75" s="200" t="s">
        <v>17</v>
      </c>
      <c r="C75" s="201">
        <v>1.8</v>
      </c>
      <c r="D75" s="201">
        <v>2</v>
      </c>
      <c r="E75" s="227">
        <f>IFERROR(VLOOKUP($B75,'2019开发'!$B:$Q,3,0),0)</f>
        <v>0</v>
      </c>
      <c r="F75" s="211" t="s">
        <v>443</v>
      </c>
    </row>
    <row r="76" spans="1:6" ht="14.25">
      <c r="A76" s="325"/>
      <c r="B76" s="200" t="s">
        <v>18</v>
      </c>
      <c r="C76" s="201">
        <v>1.1000000000000001</v>
      </c>
      <c r="D76" s="201">
        <v>1.1000000000000001</v>
      </c>
      <c r="E76" s="226">
        <f>IFERROR(VLOOKUP($B76,'2019开发'!$B:$Q,3,0),0)</f>
        <v>0</v>
      </c>
      <c r="F76" s="211" t="s">
        <v>443</v>
      </c>
    </row>
    <row r="77" spans="1:6" ht="14.25">
      <c r="A77" s="326"/>
      <c r="B77" s="200" t="s">
        <v>19</v>
      </c>
      <c r="C77" s="201">
        <v>1.3</v>
      </c>
      <c r="D77" s="201">
        <v>1.4</v>
      </c>
      <c r="E77" s="227">
        <f>IFERROR(VLOOKUP($B77,'2019开发'!$B:$Q,3,0),0)</f>
        <v>0</v>
      </c>
      <c r="F77" s="211" t="s">
        <v>443</v>
      </c>
    </row>
  </sheetData>
  <mergeCells count="7">
    <mergeCell ref="A34:A36"/>
    <mergeCell ref="A37:A40"/>
    <mergeCell ref="A71:A77"/>
    <mergeCell ref="A44:A46"/>
    <mergeCell ref="A47:A51"/>
    <mergeCell ref="A41:A43"/>
    <mergeCell ref="A58:A63"/>
  </mergeCells>
  <phoneticPr fontId="26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C00000"/>
  </sheetPr>
  <dimension ref="A1:BY46"/>
  <sheetViews>
    <sheetView workbookViewId="0">
      <pane xSplit="2" ySplit="2" topLeftCell="C24" activePane="bottomRight" state="frozen"/>
      <selection pane="topRight"/>
      <selection pane="bottomLeft"/>
      <selection pane="bottomRight" activeCell="B13" sqref="B13"/>
    </sheetView>
  </sheetViews>
  <sheetFormatPr defaultColWidth="9" defaultRowHeight="17.25"/>
  <cols>
    <col min="1" max="1" width="17.875" style="37" customWidth="1"/>
    <col min="2" max="2" width="39.125" style="37" customWidth="1"/>
    <col min="3" max="35" width="6.875" style="37" customWidth="1"/>
    <col min="36" max="39" width="9" customWidth="1"/>
    <col min="40" max="40" width="9.875" style="151" customWidth="1"/>
    <col min="41" max="41" width="7.125" customWidth="1"/>
    <col min="42" max="42" width="8.125" hidden="1" customWidth="1"/>
    <col min="43" max="43" width="7.5" customWidth="1"/>
    <col min="44" max="47" width="8.125" customWidth="1"/>
    <col min="48" max="49" width="6" customWidth="1"/>
    <col min="50" max="57" width="5.625" style="37" customWidth="1"/>
    <col min="58" max="61" width="5.625" style="37" hidden="1" customWidth="1"/>
    <col min="62" max="63" width="5.625" style="37" customWidth="1"/>
    <col min="64" max="65" width="5.625" style="37" hidden="1" customWidth="1"/>
    <col min="66" max="69" width="5.625" style="37" customWidth="1"/>
    <col min="70" max="71" width="5.625" style="37" hidden="1" customWidth="1"/>
    <col min="72" max="72" width="5.625" style="37" customWidth="1"/>
    <col min="73" max="73" width="7.625" style="37" customWidth="1"/>
    <col min="74" max="77" width="5.625" style="37" customWidth="1"/>
    <col min="78" max="16384" width="9" style="37"/>
  </cols>
  <sheetData>
    <row r="1" spans="1:77" s="54" customFormat="1" ht="34.5" customHeight="1">
      <c r="A1" s="332" t="s">
        <v>23</v>
      </c>
      <c r="B1" s="332" t="s">
        <v>400</v>
      </c>
      <c r="C1" s="330" t="s">
        <v>24</v>
      </c>
      <c r="D1" s="330"/>
      <c r="E1" s="330"/>
      <c r="F1" s="330"/>
      <c r="G1" s="330"/>
      <c r="H1" s="327" t="s">
        <v>25</v>
      </c>
      <c r="I1" s="338"/>
      <c r="J1" s="338"/>
      <c r="K1" s="338"/>
      <c r="L1" s="339"/>
      <c r="M1" s="327" t="s">
        <v>26</v>
      </c>
      <c r="N1" s="338"/>
      <c r="O1" s="338"/>
      <c r="P1" s="338"/>
      <c r="Q1" s="339"/>
      <c r="R1" s="327" t="s">
        <v>27</v>
      </c>
      <c r="S1" s="338"/>
      <c r="T1" s="338"/>
      <c r="U1" s="338"/>
      <c r="V1" s="339"/>
      <c r="W1" s="327" t="s">
        <v>171</v>
      </c>
      <c r="X1" s="338"/>
      <c r="Y1" s="338"/>
      <c r="Z1" s="338"/>
      <c r="AA1" s="327" t="s">
        <v>169</v>
      </c>
      <c r="AB1" s="338"/>
      <c r="AC1" s="338"/>
      <c r="AD1" s="338"/>
      <c r="AE1" s="327" t="s">
        <v>28</v>
      </c>
      <c r="AF1" s="338"/>
      <c r="AG1" s="338"/>
      <c r="AH1" s="339"/>
      <c r="AI1" s="100">
        <v>2015</v>
      </c>
      <c r="AJ1" s="184" t="s">
        <v>429</v>
      </c>
      <c r="AK1" s="100" t="s">
        <v>176</v>
      </c>
      <c r="AL1" s="100" t="s">
        <v>230</v>
      </c>
      <c r="AM1" s="178" t="s">
        <v>419</v>
      </c>
      <c r="AN1" s="330" t="s">
        <v>428</v>
      </c>
      <c r="AO1" s="330"/>
      <c r="AP1" s="330"/>
      <c r="AQ1" s="330"/>
      <c r="AR1" s="330"/>
      <c r="AS1" s="327" t="s">
        <v>393</v>
      </c>
      <c r="AT1" s="328"/>
      <c r="AU1" s="329"/>
      <c r="AV1" s="186" t="s">
        <v>408</v>
      </c>
      <c r="AW1" s="186" t="s">
        <v>416</v>
      </c>
      <c r="AX1" s="330">
        <v>2012</v>
      </c>
      <c r="AY1" s="330"/>
      <c r="AZ1" s="330" t="s">
        <v>363</v>
      </c>
      <c r="BA1" s="330"/>
      <c r="BB1" s="330" t="s">
        <v>364</v>
      </c>
      <c r="BC1" s="330"/>
      <c r="BD1" s="330" t="s">
        <v>365</v>
      </c>
      <c r="BE1" s="330"/>
      <c r="BF1" s="330" t="s">
        <v>366</v>
      </c>
      <c r="BG1" s="330"/>
      <c r="BH1" s="330" t="s">
        <v>367</v>
      </c>
      <c r="BI1" s="330"/>
      <c r="BJ1" s="330" t="s">
        <v>368</v>
      </c>
      <c r="BK1" s="330"/>
      <c r="BL1" s="330" t="s">
        <v>369</v>
      </c>
      <c r="BM1" s="330"/>
      <c r="BN1" s="330" t="s">
        <v>370</v>
      </c>
      <c r="BO1" s="330"/>
      <c r="BP1" s="330" t="s">
        <v>371</v>
      </c>
      <c r="BQ1" s="330"/>
      <c r="BR1" s="330" t="s">
        <v>372</v>
      </c>
      <c r="BS1" s="330"/>
      <c r="BT1" s="330" t="s">
        <v>373</v>
      </c>
      <c r="BU1" s="330"/>
      <c r="BV1" s="330" t="s">
        <v>374</v>
      </c>
      <c r="BW1" s="330"/>
      <c r="BX1" s="330" t="s">
        <v>375</v>
      </c>
      <c r="BY1" s="330"/>
    </row>
    <row r="2" spans="1:77" s="36" customFormat="1" ht="14.25" customHeight="1">
      <c r="A2" s="332"/>
      <c r="B2" s="332"/>
      <c r="C2" s="18" t="s">
        <v>0</v>
      </c>
      <c r="D2" s="18" t="s">
        <v>1</v>
      </c>
      <c r="E2" s="18" t="s">
        <v>29</v>
      </c>
      <c r="F2" s="18" t="s">
        <v>2</v>
      </c>
      <c r="G2" s="18" t="s">
        <v>3</v>
      </c>
      <c r="H2" s="18" t="s">
        <v>0</v>
      </c>
      <c r="I2" s="18" t="s">
        <v>1</v>
      </c>
      <c r="J2" s="18" t="s">
        <v>29</v>
      </c>
      <c r="K2" s="18" t="s">
        <v>2</v>
      </c>
      <c r="L2" s="18" t="s">
        <v>3</v>
      </c>
      <c r="M2" s="18" t="s">
        <v>0</v>
      </c>
      <c r="N2" s="18" t="s">
        <v>1</v>
      </c>
      <c r="O2" s="18" t="s">
        <v>29</v>
      </c>
      <c r="P2" s="18" t="s">
        <v>2</v>
      </c>
      <c r="Q2" s="18" t="s">
        <v>3</v>
      </c>
      <c r="R2" s="18" t="s">
        <v>0</v>
      </c>
      <c r="S2" s="18" t="s">
        <v>1</v>
      </c>
      <c r="T2" s="18" t="s">
        <v>29</v>
      </c>
      <c r="U2" s="18" t="s">
        <v>2</v>
      </c>
      <c r="V2" s="18" t="s">
        <v>3</v>
      </c>
      <c r="W2" s="18" t="s">
        <v>0</v>
      </c>
      <c r="X2" s="18" t="s">
        <v>1</v>
      </c>
      <c r="Y2" s="18" t="s">
        <v>2</v>
      </c>
      <c r="Z2" s="18" t="s">
        <v>3</v>
      </c>
      <c r="AA2" s="18" t="s">
        <v>0</v>
      </c>
      <c r="AB2" s="18" t="s">
        <v>1</v>
      </c>
      <c r="AC2" s="18" t="s">
        <v>2</v>
      </c>
      <c r="AD2" s="18" t="s">
        <v>3</v>
      </c>
      <c r="AE2" s="18" t="s">
        <v>0</v>
      </c>
      <c r="AF2" s="18" t="s">
        <v>1</v>
      </c>
      <c r="AG2" s="18" t="s">
        <v>2</v>
      </c>
      <c r="AH2" s="18" t="s">
        <v>3</v>
      </c>
      <c r="AI2" s="18" t="s">
        <v>1</v>
      </c>
      <c r="AJ2" s="18" t="s">
        <v>1</v>
      </c>
      <c r="AK2" s="69" t="s">
        <v>1</v>
      </c>
      <c r="AL2" s="83" t="s">
        <v>1</v>
      </c>
      <c r="AM2" s="185" t="s">
        <v>1</v>
      </c>
      <c r="AN2" s="148" t="s">
        <v>338</v>
      </c>
      <c r="AO2" s="122" t="s">
        <v>361</v>
      </c>
      <c r="AP2" s="122" t="s">
        <v>360</v>
      </c>
      <c r="AQ2" s="18" t="s">
        <v>2</v>
      </c>
      <c r="AR2" s="18" t="s">
        <v>3</v>
      </c>
      <c r="AS2" s="145" t="s">
        <v>394</v>
      </c>
      <c r="AT2" s="145" t="s">
        <v>396</v>
      </c>
      <c r="AU2" s="145" t="s">
        <v>395</v>
      </c>
      <c r="AV2" s="177"/>
      <c r="AW2" s="177"/>
      <c r="AX2" s="122" t="s">
        <v>338</v>
      </c>
      <c r="AY2" s="122" t="s">
        <v>361</v>
      </c>
      <c r="AZ2" s="122" t="s">
        <v>338</v>
      </c>
      <c r="BA2" s="122" t="s">
        <v>361</v>
      </c>
      <c r="BB2" s="122" t="s">
        <v>338</v>
      </c>
      <c r="BC2" s="122" t="s">
        <v>361</v>
      </c>
      <c r="BD2" s="122" t="s">
        <v>338</v>
      </c>
      <c r="BE2" s="122" t="s">
        <v>361</v>
      </c>
      <c r="BF2" s="122" t="s">
        <v>338</v>
      </c>
      <c r="BG2" s="122" t="s">
        <v>361</v>
      </c>
      <c r="BH2" s="122" t="s">
        <v>338</v>
      </c>
      <c r="BI2" s="122" t="s">
        <v>361</v>
      </c>
      <c r="BJ2" s="122" t="s">
        <v>338</v>
      </c>
      <c r="BK2" s="122" t="s">
        <v>361</v>
      </c>
      <c r="BL2" s="122" t="s">
        <v>338</v>
      </c>
      <c r="BM2" s="122" t="s">
        <v>361</v>
      </c>
      <c r="BN2" s="122" t="s">
        <v>338</v>
      </c>
      <c r="BO2" s="122" t="s">
        <v>361</v>
      </c>
      <c r="BP2" s="122" t="s">
        <v>338</v>
      </c>
      <c r="BQ2" s="122" t="s">
        <v>361</v>
      </c>
      <c r="BR2" s="122" t="s">
        <v>338</v>
      </c>
      <c r="BS2" s="122" t="s">
        <v>361</v>
      </c>
      <c r="BT2" s="122" t="s">
        <v>338</v>
      </c>
      <c r="BU2" s="122" t="s">
        <v>361</v>
      </c>
      <c r="BV2" s="122" t="s">
        <v>338</v>
      </c>
      <c r="BW2" s="122" t="s">
        <v>361</v>
      </c>
      <c r="BX2" s="122" t="s">
        <v>338</v>
      </c>
      <c r="BY2" s="122" t="s">
        <v>361</v>
      </c>
    </row>
    <row r="3" spans="1:77" s="36" customFormat="1" ht="21" hidden="1" customHeight="1">
      <c r="A3" s="333" t="s">
        <v>392</v>
      </c>
      <c r="B3" s="57" t="s">
        <v>4</v>
      </c>
      <c r="C3" s="62" t="s">
        <v>5</v>
      </c>
      <c r="D3" s="63" t="s">
        <v>6</v>
      </c>
      <c r="E3" s="63" t="s">
        <v>7</v>
      </c>
      <c r="F3" s="63" t="s">
        <v>8</v>
      </c>
      <c r="G3" s="63" t="s">
        <v>9</v>
      </c>
      <c r="H3" s="58" t="s">
        <v>10</v>
      </c>
      <c r="I3" s="19" t="s">
        <v>11</v>
      </c>
      <c r="J3" s="19" t="s">
        <v>12</v>
      </c>
      <c r="K3" s="19" t="s">
        <v>13</v>
      </c>
      <c r="L3" s="19" t="s">
        <v>20</v>
      </c>
      <c r="M3" s="19" t="s">
        <v>30</v>
      </c>
      <c r="N3" s="19" t="s">
        <v>31</v>
      </c>
      <c r="O3" s="19" t="s">
        <v>32</v>
      </c>
      <c r="P3" s="19" t="s">
        <v>33</v>
      </c>
      <c r="Q3" s="19" t="s">
        <v>34</v>
      </c>
      <c r="R3" s="19" t="s">
        <v>35</v>
      </c>
      <c r="S3" s="19" t="s">
        <v>36</v>
      </c>
      <c r="T3" s="19" t="s">
        <v>37</v>
      </c>
      <c r="U3" s="19" t="s">
        <v>38</v>
      </c>
      <c r="V3" s="19" t="s">
        <v>39</v>
      </c>
      <c r="W3" s="19" t="s">
        <v>49</v>
      </c>
      <c r="X3" s="19" t="s">
        <v>50</v>
      </c>
      <c r="Y3" s="19" t="s">
        <v>51</v>
      </c>
      <c r="Z3" s="19" t="s">
        <v>52</v>
      </c>
      <c r="AA3" s="19" t="s">
        <v>168</v>
      </c>
      <c r="AB3" s="19" t="s">
        <v>167</v>
      </c>
      <c r="AC3" s="19" t="s">
        <v>166</v>
      </c>
      <c r="AD3" s="19" t="s">
        <v>165</v>
      </c>
      <c r="AE3" s="58" t="s">
        <v>40</v>
      </c>
      <c r="AF3" s="19" t="s">
        <v>41</v>
      </c>
      <c r="AG3" s="19" t="s">
        <v>43</v>
      </c>
      <c r="AH3" s="19" t="s">
        <v>44</v>
      </c>
      <c r="AI3" s="19" t="s">
        <v>45</v>
      </c>
      <c r="AJ3" s="19" t="s">
        <v>170</v>
      </c>
      <c r="AK3" s="19" t="s">
        <v>175</v>
      </c>
      <c r="AL3" s="19" t="s">
        <v>229</v>
      </c>
      <c r="AM3" s="19" t="s">
        <v>418</v>
      </c>
      <c r="AN3" s="149" t="s">
        <v>53</v>
      </c>
      <c r="AO3" s="20" t="s">
        <v>164</v>
      </c>
      <c r="AP3" s="20" t="s">
        <v>246</v>
      </c>
      <c r="AQ3" s="20" t="s">
        <v>54</v>
      </c>
      <c r="AR3" s="20" t="s">
        <v>55</v>
      </c>
      <c r="AS3" s="20" t="s">
        <v>397</v>
      </c>
      <c r="AT3" s="20" t="s">
        <v>398</v>
      </c>
      <c r="AU3" s="20" t="s">
        <v>399</v>
      </c>
      <c r="AV3" s="20" t="s">
        <v>410</v>
      </c>
      <c r="AW3" s="20" t="s">
        <v>417</v>
      </c>
      <c r="AX3" s="20" t="s">
        <v>53</v>
      </c>
      <c r="AY3" s="20" t="s">
        <v>164</v>
      </c>
      <c r="AZ3" s="20" t="s">
        <v>53</v>
      </c>
      <c r="BA3" s="20" t="s">
        <v>164</v>
      </c>
      <c r="BB3" s="20" t="s">
        <v>53</v>
      </c>
      <c r="BC3" s="20" t="s">
        <v>164</v>
      </c>
      <c r="BD3" s="20" t="s">
        <v>53</v>
      </c>
      <c r="BE3" s="20" t="s">
        <v>164</v>
      </c>
      <c r="BF3" s="20" t="s">
        <v>53</v>
      </c>
      <c r="BG3" s="20" t="s">
        <v>164</v>
      </c>
      <c r="BH3" s="20" t="s">
        <v>53</v>
      </c>
      <c r="BI3" s="20" t="s">
        <v>164</v>
      </c>
      <c r="BJ3" s="20" t="s">
        <v>53</v>
      </c>
      <c r="BK3" s="20" t="s">
        <v>164</v>
      </c>
      <c r="BL3" s="20" t="s">
        <v>53</v>
      </c>
      <c r="BM3" s="20" t="s">
        <v>164</v>
      </c>
      <c r="BN3" s="20" t="s">
        <v>53</v>
      </c>
      <c r="BO3" s="20" t="s">
        <v>164</v>
      </c>
      <c r="BP3" s="20" t="s">
        <v>53</v>
      </c>
      <c r="BQ3" s="20" t="s">
        <v>164</v>
      </c>
      <c r="BR3" s="20" t="s">
        <v>53</v>
      </c>
      <c r="BS3" s="20" t="s">
        <v>164</v>
      </c>
      <c r="BT3" s="20" t="s">
        <v>53</v>
      </c>
      <c r="BU3" s="20" t="s">
        <v>164</v>
      </c>
      <c r="BV3" s="20" t="s">
        <v>53</v>
      </c>
      <c r="BW3" s="20" t="s">
        <v>164</v>
      </c>
      <c r="BX3" s="20" t="s">
        <v>53</v>
      </c>
      <c r="BY3" s="20" t="s">
        <v>164</v>
      </c>
    </row>
    <row r="4" spans="1:77" s="36" customFormat="1" ht="20.25" customHeight="1">
      <c r="A4" s="333"/>
      <c r="B4" s="175" t="s">
        <v>56</v>
      </c>
      <c r="C4" s="3">
        <v>99</v>
      </c>
      <c r="D4" s="4">
        <v>42.898949410169003</v>
      </c>
      <c r="E4" s="4">
        <v>12.0438903313051</v>
      </c>
      <c r="F4" s="4">
        <v>54.942839741474103</v>
      </c>
      <c r="G4" s="4">
        <v>30.855059078863899</v>
      </c>
      <c r="H4" s="3">
        <v>116</v>
      </c>
      <c r="I4" s="4">
        <v>43.371293833516702</v>
      </c>
      <c r="J4" s="4">
        <v>14.4941942983579</v>
      </c>
      <c r="K4" s="4">
        <v>57.865488131874599</v>
      </c>
      <c r="L4" s="4">
        <v>28.877099535158798</v>
      </c>
      <c r="M4" s="3">
        <v>155</v>
      </c>
      <c r="N4" s="4">
        <v>42.644264321503002</v>
      </c>
      <c r="O4" s="4">
        <v>15.354458945650199</v>
      </c>
      <c r="P4" s="4">
        <v>57.998723267153302</v>
      </c>
      <c r="Q4" s="4">
        <v>27.289805375852801</v>
      </c>
      <c r="R4" s="3">
        <v>128</v>
      </c>
      <c r="S4" s="4">
        <v>44.897512466097098</v>
      </c>
      <c r="T4" s="4">
        <v>14.946301765645</v>
      </c>
      <c r="U4" s="4">
        <v>59.843814231742002</v>
      </c>
      <c r="V4" s="4">
        <v>29.951210700452101</v>
      </c>
      <c r="W4" s="3">
        <v>192</v>
      </c>
      <c r="X4" s="4">
        <v>46.377280161139304</v>
      </c>
      <c r="Y4" s="4">
        <v>66.330201973237294</v>
      </c>
      <c r="Z4" s="4">
        <v>26.424358349041299</v>
      </c>
      <c r="AA4" s="3">
        <v>224</v>
      </c>
      <c r="AB4" s="4">
        <v>45.331685907370698</v>
      </c>
      <c r="AC4" s="4">
        <v>55.091745004371859</v>
      </c>
      <c r="AD4" s="4">
        <v>35.571626810369537</v>
      </c>
      <c r="AE4" s="3">
        <v>215</v>
      </c>
      <c r="AF4" s="4">
        <v>43.153795703696098</v>
      </c>
      <c r="AG4" s="4">
        <v>56.5469743013808</v>
      </c>
      <c r="AH4" s="4">
        <v>29.760617106011399</v>
      </c>
      <c r="AI4" s="4">
        <f t="shared" ref="AI4:AI29" si="0">SUM(N4*$M4,S4*$R4)/SUM($M4,$R4)</f>
        <v>43.663401291496093</v>
      </c>
      <c r="AJ4" s="4">
        <v>45.814267870648514</v>
      </c>
      <c r="AK4" s="4">
        <v>35.226084775310419</v>
      </c>
      <c r="AL4" s="4">
        <v>39.436427738950606</v>
      </c>
      <c r="AM4" s="240">
        <f>(表1[[#This Row],[列1682243]]+AL4)/2</f>
        <v>37.331256257130512</v>
      </c>
      <c r="AN4" s="3">
        <f>SUM(AX4+AZ4+BB4+BD4+BF4+BH4+BJ4+BL4+BN4+BP4+BR4+BT4+BV4+BX4)</f>
        <v>579</v>
      </c>
      <c r="AO4" s="132">
        <f>(AX4*AY4+AZ4*BA4+BB4*BC4+BD4*BE4+BF4*BG4+BH4*BI4+BJ4*BK4+BL4*BM4+BN4*BO4+BP4*BQ4+BR4*BS4+BT4*BU4+BV4*BW4+BX4*BY4)/AN4</f>
        <v>36.827056462960918</v>
      </c>
      <c r="AP4" s="132">
        <f>IFERROR(STDEV(AY4,BA4,BC4,BE4,BG4,BI4,BK4,BM4,BO4,BQ4,BS4,BU4,BW4,BY4),"")</f>
        <v>14.670243984702083</v>
      </c>
      <c r="AQ4" s="132">
        <f>IFERROR(IF(AP4&lt;AO4*0.1,AO4+3*AP4,AO4+AP4),"")</f>
        <v>51.497300447663001</v>
      </c>
      <c r="AR4" s="132">
        <f>IFERROR(IF(AP4&lt;AO4*0.1,MAX(AO4-3*AP4,0),MAX(AO4-AP4,0)),"")</f>
        <v>22.156812478258836</v>
      </c>
      <c r="AS4" s="239">
        <f>表1[[#This Row],[列172]]*1.1</f>
        <v>40.509762109257011</v>
      </c>
      <c r="AT4" s="132">
        <f>表1[[#This Row],[列18]]*1.1</f>
        <v>56.647030492429309</v>
      </c>
      <c r="AU4" s="132">
        <f>表1[[#This Row],[列19]]*1.1</f>
        <v>24.37249372608472</v>
      </c>
      <c r="AV4" s="4" t="s">
        <v>409</v>
      </c>
      <c r="AW4" s="4" t="str">
        <f>IF(AO4&gt;=AM4,"Up","Down")</f>
        <v>Down</v>
      </c>
      <c r="AX4" s="17">
        <v>29</v>
      </c>
      <c r="AY4" s="228">
        <v>26.091034482758619</v>
      </c>
      <c r="AZ4" s="17">
        <v>175</v>
      </c>
      <c r="BA4" s="228">
        <v>34.285576933570596</v>
      </c>
      <c r="BB4" s="17">
        <v>7</v>
      </c>
      <c r="BC4" s="228">
        <v>50.214285714285715</v>
      </c>
      <c r="BD4" s="17">
        <v>164</v>
      </c>
      <c r="BE4" s="228">
        <v>31.688746016161055</v>
      </c>
      <c r="BF4" s="17"/>
      <c r="BG4" s="144"/>
      <c r="BH4" s="17"/>
      <c r="BI4" s="144"/>
      <c r="BJ4" s="17">
        <v>59</v>
      </c>
      <c r="BK4" s="228">
        <v>34.74</v>
      </c>
      <c r="BL4" s="144"/>
      <c r="BM4" s="144"/>
      <c r="BN4" s="17"/>
      <c r="BO4" s="228"/>
      <c r="BP4" s="17">
        <v>53</v>
      </c>
      <c r="BQ4" s="228">
        <v>55.308849248931075</v>
      </c>
      <c r="BR4" s="17"/>
      <c r="BS4" s="228"/>
      <c r="BT4" s="17">
        <v>40</v>
      </c>
      <c r="BU4" s="228">
        <v>65.99570929589386</v>
      </c>
      <c r="BV4" s="17"/>
      <c r="BW4" s="228"/>
      <c r="BX4" s="17">
        <v>52</v>
      </c>
      <c r="BY4" s="228">
        <v>26.86419230769231</v>
      </c>
    </row>
    <row r="5" spans="1:77" s="36" customFormat="1" ht="20.25" customHeight="1">
      <c r="A5" s="333"/>
      <c r="B5" s="155" t="s">
        <v>57</v>
      </c>
      <c r="C5" s="3">
        <v>89</v>
      </c>
      <c r="D5" s="4">
        <v>65.155946416951906</v>
      </c>
      <c r="E5" s="4">
        <v>15.9939511264431</v>
      </c>
      <c r="F5" s="4">
        <v>81.1498975433949</v>
      </c>
      <c r="G5" s="4">
        <v>49.161995290508798</v>
      </c>
      <c r="H5" s="3">
        <v>29</v>
      </c>
      <c r="I5" s="4">
        <v>75.329196007140595</v>
      </c>
      <c r="J5" s="4">
        <v>29.007588505685501</v>
      </c>
      <c r="K5" s="4">
        <v>104.336784512826</v>
      </c>
      <c r="L5" s="4">
        <v>46.321607501455098</v>
      </c>
      <c r="M5" s="3">
        <v>103</v>
      </c>
      <c r="N5" s="4">
        <v>69.020248824368807</v>
      </c>
      <c r="O5" s="4">
        <v>24.051410485448301</v>
      </c>
      <c r="P5" s="4">
        <v>93.071659309817093</v>
      </c>
      <c r="Q5" s="4">
        <v>44.968838338920499</v>
      </c>
      <c r="R5" s="3">
        <v>81</v>
      </c>
      <c r="S5" s="4">
        <v>76.770499371647603</v>
      </c>
      <c r="T5" s="4">
        <v>43.357964123907003</v>
      </c>
      <c r="U5" s="4">
        <v>120.128463495555</v>
      </c>
      <c r="V5" s="4">
        <v>33.4125352477406</v>
      </c>
      <c r="W5" s="3">
        <v>137</v>
      </c>
      <c r="X5" s="4">
        <v>76.562794039076707</v>
      </c>
      <c r="Y5" s="4">
        <v>113.097069932579</v>
      </c>
      <c r="Z5" s="4">
        <v>40.028518145574502</v>
      </c>
      <c r="AA5" s="3">
        <v>149</v>
      </c>
      <c r="AB5" s="4">
        <v>73.45927836148249</v>
      </c>
      <c r="AC5" s="4">
        <v>92.221451205805252</v>
      </c>
      <c r="AD5" s="4">
        <v>54.697105517159727</v>
      </c>
      <c r="AE5" s="3">
        <v>118</v>
      </c>
      <c r="AF5" s="4">
        <v>67.656151824710093</v>
      </c>
      <c r="AG5" s="4">
        <v>87.981503127160195</v>
      </c>
      <c r="AH5" s="4">
        <v>47.330800522259899</v>
      </c>
      <c r="AI5" s="4">
        <f t="shared" si="0"/>
        <v>72.432043902246974</v>
      </c>
      <c r="AJ5" s="4">
        <v>74.945927479770617</v>
      </c>
      <c r="AK5" s="4">
        <v>60.441495099219281</v>
      </c>
      <c r="AL5" s="4">
        <v>46.640802843443758</v>
      </c>
      <c r="AM5" s="240">
        <f>(表1[[#This Row],[列1682243]]+AL5)/2</f>
        <v>53.541148971331523</v>
      </c>
      <c r="AN5" s="3">
        <f t="shared" ref="AN5:AN7" si="1">SUM(AX5+AZ5+BB5+BD5+BF5+BH5+BJ5+BL5+BN5+BP5+BR5+BT5+BV5+BX5)</f>
        <v>369</v>
      </c>
      <c r="AO5" s="132">
        <f t="shared" ref="AO5:AO7" si="2">(AX5*AY5+AZ5*BA5+BB5*BC5+BD5*BE5+BF5*BG5+BH5*BI5+BJ5*BK5+BL5*BM5+BN5*BO5+BP5*BQ5+BR5*BS5+BT5*BU5+BV5*BW5+BX5*BY5)/AN5</f>
        <v>58.483800822120088</v>
      </c>
      <c r="AP5" s="132">
        <f t="shared" ref="AP5:AP7" si="3">IFERROR(STDEV(AY5,BA5,BC5,BE5,BG5,BI5,BK5,BM5,BO5,BQ5,BS5,BU5,BW5,BY5),"")</f>
        <v>23.059324893724082</v>
      </c>
      <c r="AQ5" s="132">
        <f>IFERROR(IF(AP5&lt;AO5*0.1,AO5+3*AP5,AO5+AP5),"")</f>
        <v>81.54312571584417</v>
      </c>
      <c r="AR5" s="132">
        <f>IFERROR(IF(AP5&lt;AO5*0.1,MAX(AO5-3*AP5,0),MAX(AO5-AP5,0)),"")</f>
        <v>35.424475928396006</v>
      </c>
      <c r="AS5" s="239">
        <f>表1[[#This Row],[列172]]*1.1</f>
        <v>64.332180904332105</v>
      </c>
      <c r="AT5" s="132">
        <f>表1[[#This Row],[列18]]*1.1</f>
        <v>89.697438287428596</v>
      </c>
      <c r="AU5" s="132">
        <f>表1[[#This Row],[列19]]*1.1</f>
        <v>38.966923521235607</v>
      </c>
      <c r="AV5" s="4"/>
      <c r="AW5" s="4" t="str">
        <f t="shared" ref="AW5:AW40" si="4">IF(AO5&gt;=AM5,"Up","Down")</f>
        <v>Up</v>
      </c>
      <c r="AX5" s="17">
        <v>7</v>
      </c>
      <c r="AY5" s="228">
        <v>61.134673385948886</v>
      </c>
      <c r="AZ5" s="17">
        <v>108</v>
      </c>
      <c r="BA5" s="228">
        <v>57.331417364961688</v>
      </c>
      <c r="BB5" s="17"/>
      <c r="BC5" s="228"/>
      <c r="BD5" s="17">
        <v>162</v>
      </c>
      <c r="BE5" s="228">
        <v>44.34578180834265</v>
      </c>
      <c r="BF5" s="17"/>
      <c r="BG5" s="144"/>
      <c r="BH5" s="17"/>
      <c r="BI5" s="144"/>
      <c r="BJ5" s="17"/>
      <c r="BK5" s="228"/>
      <c r="BL5" s="144"/>
      <c r="BM5" s="144"/>
      <c r="BN5" s="17"/>
      <c r="BO5" s="228"/>
      <c r="BP5" s="17">
        <v>52</v>
      </c>
      <c r="BQ5" s="228">
        <v>68.376677169632075</v>
      </c>
      <c r="BR5" s="17"/>
      <c r="BS5" s="228"/>
      <c r="BT5" s="17">
        <v>40</v>
      </c>
      <c r="BU5" s="228">
        <v>105.5295712118108</v>
      </c>
      <c r="BV5" s="17"/>
      <c r="BW5" s="228"/>
      <c r="BX5" s="17"/>
      <c r="BY5" s="228"/>
    </row>
    <row r="6" spans="1:77" s="36" customFormat="1" ht="20.25" customHeight="1">
      <c r="A6" s="333"/>
      <c r="B6" s="176" t="s">
        <v>58</v>
      </c>
      <c r="C6" s="3"/>
      <c r="D6" s="4"/>
      <c r="E6" s="4"/>
      <c r="F6" s="4"/>
      <c r="G6" s="4"/>
      <c r="H6" s="3">
        <v>24</v>
      </c>
      <c r="I6" s="4">
        <v>32.256158382678699</v>
      </c>
      <c r="J6" s="4">
        <v>9.2756810851419704</v>
      </c>
      <c r="K6" s="4">
        <v>41.531839467820603</v>
      </c>
      <c r="L6" s="4">
        <v>22.980477297536702</v>
      </c>
      <c r="M6" s="3">
        <v>25</v>
      </c>
      <c r="N6" s="4">
        <v>34.715921645361597</v>
      </c>
      <c r="O6" s="4">
        <v>11.230732761326299</v>
      </c>
      <c r="P6" s="4">
        <v>45.946654406687799</v>
      </c>
      <c r="Q6" s="4">
        <v>23.485188884035299</v>
      </c>
      <c r="R6" s="3">
        <v>55</v>
      </c>
      <c r="S6" s="4">
        <v>38.802854777863402</v>
      </c>
      <c r="T6" s="4">
        <v>8</v>
      </c>
      <c r="U6" s="4">
        <v>54.489186863394401</v>
      </c>
      <c r="V6" s="4">
        <v>23.0892499650597</v>
      </c>
      <c r="W6" s="3">
        <v>68</v>
      </c>
      <c r="X6" s="4">
        <v>40.313051821470701</v>
      </c>
      <c r="Y6" s="4">
        <v>58.223252387335997</v>
      </c>
      <c r="Z6" s="4">
        <v>22.402851255605501</v>
      </c>
      <c r="AA6" s="3">
        <v>75</v>
      </c>
      <c r="AB6" s="4">
        <v>40.313051821470701</v>
      </c>
      <c r="AC6" s="4">
        <v>58.223252387335997</v>
      </c>
      <c r="AD6" s="4">
        <v>22.402851255605501</v>
      </c>
      <c r="AE6" s="3">
        <v>24</v>
      </c>
      <c r="AF6" s="4">
        <v>32.256158382678699</v>
      </c>
      <c r="AG6" s="4">
        <v>41.531839467820603</v>
      </c>
      <c r="AH6" s="4">
        <v>22.980477297536702</v>
      </c>
      <c r="AI6" s="4">
        <f t="shared" si="0"/>
        <v>37.525688173956588</v>
      </c>
      <c r="AJ6" s="4">
        <v>20.5</v>
      </c>
      <c r="AK6" s="4">
        <v>43.502901994990268</v>
      </c>
      <c r="AL6" s="4">
        <v>42.587090464612743</v>
      </c>
      <c r="AM6" s="240">
        <f>(表1[[#This Row],[列1682243]]+AL6)/2</f>
        <v>43.044996229801505</v>
      </c>
      <c r="AN6" s="3">
        <f t="shared" si="1"/>
        <v>170</v>
      </c>
      <c r="AO6" s="132">
        <f t="shared" si="2"/>
        <v>36.590616211941111</v>
      </c>
      <c r="AP6" s="132">
        <f t="shared" si="3"/>
        <v>7.3317351353378779</v>
      </c>
      <c r="AQ6" s="132">
        <f>IFERROR(IF(AP6&lt;AO6*0.1,AO6+3*AP6,AO6+AP6),"")</f>
        <v>43.92235134727899</v>
      </c>
      <c r="AR6" s="132">
        <f>IFERROR(IF(AP6&lt;AO6*0.1,MAX(AO6-3*AP6,0),MAX(AO6-AP6,0)),"")</f>
        <v>29.258881076603231</v>
      </c>
      <c r="AS6" s="239">
        <f>表1[[#This Row],[列172]]*1.1</f>
        <v>40.249677833135223</v>
      </c>
      <c r="AT6" s="132">
        <f>表1[[#This Row],[列18]]*1.1</f>
        <v>48.314586482006895</v>
      </c>
      <c r="AU6" s="132">
        <f>表1[[#This Row],[列19]]*1.1</f>
        <v>32.184769184263558</v>
      </c>
      <c r="AV6" s="4" t="s">
        <v>411</v>
      </c>
      <c r="AW6" s="4" t="str">
        <f t="shared" si="4"/>
        <v>Down</v>
      </c>
      <c r="AX6" s="17"/>
      <c r="AY6" s="228"/>
      <c r="AZ6" s="17"/>
      <c r="BA6" s="228"/>
      <c r="BB6" s="17"/>
      <c r="BC6" s="228"/>
      <c r="BD6" s="17"/>
      <c r="BE6" s="228"/>
      <c r="BF6" s="17"/>
      <c r="BG6" s="144"/>
      <c r="BH6" s="17"/>
      <c r="BI6" s="144"/>
      <c r="BJ6" s="17"/>
      <c r="BK6" s="228"/>
      <c r="BL6" s="17"/>
      <c r="BM6" s="144"/>
      <c r="BN6" s="17">
        <v>22</v>
      </c>
      <c r="BO6" s="228">
        <v>29.497363636363637</v>
      </c>
      <c r="BP6" s="17">
        <v>55</v>
      </c>
      <c r="BQ6" s="228">
        <v>43.831144636908888</v>
      </c>
      <c r="BR6" s="17"/>
      <c r="BS6" s="228"/>
      <c r="BT6" s="17"/>
      <c r="BU6" s="228"/>
      <c r="BV6" s="17">
        <v>93</v>
      </c>
      <c r="BW6" s="228">
        <v>33.986556999999998</v>
      </c>
      <c r="BX6" s="17"/>
      <c r="BY6" s="228"/>
    </row>
    <row r="7" spans="1:77" s="36" customFormat="1" ht="20.25" customHeight="1">
      <c r="A7" s="333"/>
      <c r="B7" s="156" t="s">
        <v>59</v>
      </c>
      <c r="C7" s="3"/>
      <c r="D7" s="4"/>
      <c r="E7" s="4"/>
      <c r="F7" s="4"/>
      <c r="G7" s="4"/>
      <c r="H7" s="3"/>
      <c r="I7" s="4"/>
      <c r="J7" s="4"/>
      <c r="K7" s="4"/>
      <c r="L7" s="4"/>
      <c r="M7" s="3">
        <v>22</v>
      </c>
      <c r="N7" s="4">
        <v>51.613886093164403</v>
      </c>
      <c r="O7" s="4">
        <v>21.406814672799399</v>
      </c>
      <c r="P7" s="4">
        <v>73.020700765963795</v>
      </c>
      <c r="Q7" s="4">
        <v>30.207071420365001</v>
      </c>
      <c r="R7" s="3">
        <v>19</v>
      </c>
      <c r="S7" s="4">
        <v>55.7</v>
      </c>
      <c r="T7" s="4">
        <v>20.3</v>
      </c>
      <c r="U7" s="4">
        <v>75.2</v>
      </c>
      <c r="V7" s="4">
        <v>30.5</v>
      </c>
      <c r="W7" s="3"/>
      <c r="X7" s="4"/>
      <c r="Y7" s="4"/>
      <c r="Z7" s="4"/>
      <c r="AA7" s="3"/>
      <c r="AB7" s="4"/>
      <c r="AC7" s="4"/>
      <c r="AD7" s="4"/>
      <c r="AE7" s="3"/>
      <c r="AF7" s="4"/>
      <c r="AG7" s="4"/>
      <c r="AH7" s="4"/>
      <c r="AI7" s="4">
        <f t="shared" si="0"/>
        <v>53.507451074380896</v>
      </c>
      <c r="AJ7" s="4"/>
      <c r="AK7" s="4"/>
      <c r="AL7" s="4">
        <v>60.699973995184891</v>
      </c>
      <c r="AM7" s="240">
        <f>AL7</f>
        <v>60.699973995184891</v>
      </c>
      <c r="AN7" s="3">
        <f t="shared" si="1"/>
        <v>125</v>
      </c>
      <c r="AO7" s="132">
        <f t="shared" si="2"/>
        <v>49.027059820035667</v>
      </c>
      <c r="AP7" s="132">
        <f t="shared" si="3"/>
        <v>7.1332665866143428</v>
      </c>
      <c r="AQ7" s="132">
        <f>IFERROR(IF(AP7&lt;AO7*0.1,AO7+3*AP7,AO7+AP7),"")</f>
        <v>56.160326406650007</v>
      </c>
      <c r="AR7" s="132">
        <f>IFERROR(IF(AP7&lt;AO7*0.1,MAX(AO7-3*AP7,0),MAX(AO7-AP7,0)),"")</f>
        <v>41.893793233421327</v>
      </c>
      <c r="AS7" s="239">
        <f>表1[[#This Row],[列172]]*1.1</f>
        <v>53.929765802039242</v>
      </c>
      <c r="AT7" s="132">
        <f>表1[[#This Row],[列18]]*1.1</f>
        <v>61.776359047315012</v>
      </c>
      <c r="AU7" s="132">
        <f>表1[[#This Row],[列19]]*1.1</f>
        <v>46.083172556763465</v>
      </c>
      <c r="AV7" s="4"/>
      <c r="AW7" s="4" t="str">
        <f t="shared" si="4"/>
        <v>Down</v>
      </c>
      <c r="AX7" s="17"/>
      <c r="AY7" s="228"/>
      <c r="AZ7" s="17"/>
      <c r="BA7" s="228"/>
      <c r="BB7" s="17"/>
      <c r="BC7" s="228"/>
      <c r="BD7" s="17"/>
      <c r="BE7" s="228"/>
      <c r="BF7" s="17"/>
      <c r="BG7" s="144"/>
      <c r="BH7" s="17"/>
      <c r="BI7" s="144"/>
      <c r="BJ7" s="17"/>
      <c r="BK7" s="228"/>
      <c r="BL7" s="17"/>
      <c r="BM7" s="144"/>
      <c r="BN7" s="17"/>
      <c r="BO7" s="228"/>
      <c r="BP7" s="17">
        <v>67</v>
      </c>
      <c r="BQ7" s="228">
        <v>53.707874350812816</v>
      </c>
      <c r="BR7" s="17"/>
      <c r="BS7" s="228"/>
      <c r="BT7" s="17"/>
      <c r="BU7" s="228"/>
      <c r="BV7" s="17">
        <v>58</v>
      </c>
      <c r="BW7" s="228">
        <v>43.619911999999999</v>
      </c>
      <c r="BX7" s="17"/>
      <c r="BY7" s="228"/>
    </row>
    <row r="8" spans="1:77" s="36" customFormat="1" ht="20.25" customHeight="1">
      <c r="A8" s="333"/>
      <c r="B8" s="156" t="s">
        <v>60</v>
      </c>
      <c r="C8" s="3"/>
      <c r="D8" s="4"/>
      <c r="E8" s="4"/>
      <c r="F8" s="4"/>
      <c r="G8" s="4"/>
      <c r="H8" s="3"/>
      <c r="I8" s="4"/>
      <c r="J8" s="4"/>
      <c r="K8" s="4"/>
      <c r="L8" s="4"/>
      <c r="M8" s="3">
        <v>60</v>
      </c>
      <c r="N8" s="4">
        <v>2.58775754228146</v>
      </c>
      <c r="O8" s="4">
        <v>1.88210768197804</v>
      </c>
      <c r="P8" s="4">
        <v>4.4698652242595003</v>
      </c>
      <c r="Q8" s="4">
        <v>0.70564986030341903</v>
      </c>
      <c r="R8" s="3">
        <v>74</v>
      </c>
      <c r="S8" s="4">
        <v>2.63010555259374</v>
      </c>
      <c r="T8" s="4">
        <v>3.1051521417640799</v>
      </c>
      <c r="U8" s="4">
        <v>5.73525769435782</v>
      </c>
      <c r="V8" s="4">
        <v>0</v>
      </c>
      <c r="W8" s="3">
        <v>129</v>
      </c>
      <c r="X8" s="4">
        <v>2.8124822293559499</v>
      </c>
      <c r="Y8" s="4">
        <v>4.6557247067573204</v>
      </c>
      <c r="Z8" s="4">
        <v>0.969239751954587</v>
      </c>
      <c r="AA8" s="3">
        <v>75</v>
      </c>
      <c r="AB8" s="4">
        <v>2.5686977560046942</v>
      </c>
      <c r="AC8" s="4">
        <v>4.2008331956005618</v>
      </c>
      <c r="AD8" s="4">
        <v>0.93656231640882659</v>
      </c>
      <c r="AE8" s="3"/>
      <c r="AF8" s="4"/>
      <c r="AG8" s="4"/>
      <c r="AH8" s="4"/>
      <c r="AI8" s="4">
        <f t="shared" si="0"/>
        <v>2.6111437569315252</v>
      </c>
      <c r="AJ8" s="4">
        <v>2.7228555847415175</v>
      </c>
      <c r="AK8" s="4"/>
      <c r="AL8" s="4">
        <v>1.541006602006761</v>
      </c>
      <c r="AM8" s="240">
        <f>AL8</f>
        <v>1.541006602006761</v>
      </c>
      <c r="AN8" s="3">
        <v>283</v>
      </c>
      <c r="AO8" s="132">
        <v>1.7904614527593563</v>
      </c>
      <c r="AP8" s="132">
        <v>1.2829716885383107</v>
      </c>
      <c r="AQ8" s="132">
        <v>3.073433141297667</v>
      </c>
      <c r="AR8" s="132">
        <v>0.50748976422104564</v>
      </c>
      <c r="AS8" s="228">
        <f>表1[[#This Row],[列172]]*1.1</f>
        <v>1.9695075980352921</v>
      </c>
      <c r="AT8" s="132">
        <f>表1[[#This Row],[列18]]*1.1</f>
        <v>3.380776455427434</v>
      </c>
      <c r="AU8" s="132">
        <f>表1[[#This Row],[列19]]*1.1</f>
        <v>0.55823874064315027</v>
      </c>
      <c r="AV8" s="4" t="s">
        <v>411</v>
      </c>
      <c r="AW8" s="4" t="str">
        <f t="shared" si="4"/>
        <v>Up</v>
      </c>
      <c r="AX8" s="4"/>
      <c r="AY8" s="228"/>
      <c r="AZ8" s="4"/>
      <c r="BA8" s="228"/>
      <c r="BB8" s="4"/>
      <c r="BC8" s="228"/>
      <c r="BD8" s="4"/>
      <c r="BE8" s="228"/>
      <c r="BF8" s="4"/>
      <c r="BG8" s="144"/>
      <c r="BH8" s="4"/>
      <c r="BI8" s="144"/>
      <c r="BJ8" s="4"/>
      <c r="BK8" s="228"/>
      <c r="BL8" s="4"/>
      <c r="BM8" s="144"/>
      <c r="BN8" s="4"/>
      <c r="BO8" s="228"/>
      <c r="BP8" s="4"/>
      <c r="BQ8" s="228"/>
      <c r="BR8" s="4"/>
      <c r="BS8" s="228"/>
      <c r="BT8" s="4"/>
      <c r="BU8" s="228"/>
      <c r="BV8" s="4"/>
      <c r="BW8" s="228"/>
      <c r="BX8" s="4"/>
      <c r="BY8" s="228"/>
    </row>
    <row r="9" spans="1:77" s="36" customFormat="1" ht="20.25" customHeight="1">
      <c r="A9" s="333"/>
      <c r="B9" s="156" t="s">
        <v>454</v>
      </c>
      <c r="C9" s="8"/>
      <c r="D9" s="9"/>
      <c r="E9" s="9"/>
      <c r="F9" s="9"/>
      <c r="G9" s="9"/>
      <c r="H9" s="8"/>
      <c r="I9" s="9"/>
      <c r="J9" s="9"/>
      <c r="K9" s="9"/>
      <c r="L9" s="9"/>
      <c r="M9" s="8"/>
      <c r="N9" s="9"/>
      <c r="O9" s="9"/>
      <c r="P9" s="9"/>
      <c r="Q9" s="9"/>
      <c r="R9" s="3"/>
      <c r="S9" s="7"/>
      <c r="T9" s="7"/>
      <c r="U9" s="7"/>
      <c r="V9" s="7"/>
      <c r="W9" s="10"/>
      <c r="X9" s="7"/>
      <c r="Y9" s="7"/>
      <c r="Z9" s="7"/>
      <c r="AA9" s="10"/>
      <c r="AB9" s="7"/>
      <c r="AC9" s="7"/>
      <c r="AD9" s="7"/>
      <c r="AE9" s="8"/>
      <c r="AF9" s="9"/>
      <c r="AG9" s="9"/>
      <c r="AH9" s="9"/>
      <c r="AI9" s="9"/>
      <c r="AJ9" s="7"/>
      <c r="AK9" s="7"/>
      <c r="AL9" s="241"/>
      <c r="AM9" s="241">
        <f>(表1[[#This Row],[列1682243]]+AL9)/2</f>
        <v>0</v>
      </c>
      <c r="AN9" s="150">
        <v>181</v>
      </c>
      <c r="AO9" s="238">
        <v>3.6386548460832193</v>
      </c>
      <c r="AP9" s="238">
        <v>2.1583811397388857</v>
      </c>
      <c r="AQ9" s="132">
        <v>5.797035985822105</v>
      </c>
      <c r="AR9" s="132">
        <v>1.4802737063443336</v>
      </c>
      <c r="AS9" s="132">
        <f>表1[[#This Row],[列172]]*1.1</f>
        <v>4.0025203306915413</v>
      </c>
      <c r="AT9" s="132">
        <f>表1[[#This Row],[列18]]*1.1</f>
        <v>6.3767395844043158</v>
      </c>
      <c r="AU9" s="132">
        <f>表1[[#This Row],[列19]]*1.1</f>
        <v>1.6283010769787671</v>
      </c>
      <c r="AV9" s="4"/>
      <c r="AW9" s="4" t="str">
        <f>IF(AO9&gt;=AM9,"Up","Down")</f>
        <v>Up</v>
      </c>
      <c r="AX9" s="4"/>
      <c r="AY9" s="228"/>
      <c r="AZ9" s="4"/>
      <c r="BA9" s="228"/>
      <c r="BB9" s="4"/>
      <c r="BC9" s="228"/>
      <c r="BD9" s="4"/>
      <c r="BE9" s="228"/>
      <c r="BF9" s="4"/>
      <c r="BG9" s="144"/>
      <c r="BH9" s="4"/>
      <c r="BI9" s="144"/>
      <c r="BJ9" s="4"/>
      <c r="BK9" s="228"/>
      <c r="BL9" s="4"/>
      <c r="BM9" s="144"/>
      <c r="BN9" s="4"/>
      <c r="BO9" s="228"/>
      <c r="BP9" s="4"/>
      <c r="BQ9" s="228"/>
      <c r="BR9" s="4"/>
      <c r="BS9" s="228"/>
      <c r="BT9" s="4"/>
      <c r="BU9" s="228"/>
      <c r="BV9" s="4"/>
      <c r="BW9" s="228"/>
      <c r="BX9" s="4"/>
      <c r="BY9" s="228"/>
    </row>
    <row r="10" spans="1:77" s="36" customFormat="1" ht="20.25" customHeight="1">
      <c r="A10" s="333"/>
      <c r="B10" s="156" t="s">
        <v>61</v>
      </c>
      <c r="C10" s="3"/>
      <c r="D10" s="5"/>
      <c r="E10" s="5"/>
      <c r="F10" s="5"/>
      <c r="G10" s="5"/>
      <c r="H10" s="3">
        <v>49</v>
      </c>
      <c r="I10" s="4">
        <v>17.661255766597399</v>
      </c>
      <c r="J10" s="4">
        <v>12.736488669137</v>
      </c>
      <c r="K10" s="4">
        <v>30.3977444357343</v>
      </c>
      <c r="L10" s="4">
        <v>4.9247670974604203</v>
      </c>
      <c r="M10" s="3">
        <v>67</v>
      </c>
      <c r="N10" s="4">
        <v>12.186039178521</v>
      </c>
      <c r="O10" s="4">
        <v>11.2443486112192</v>
      </c>
      <c r="P10" s="4">
        <v>23.430387789740202</v>
      </c>
      <c r="Q10" s="4">
        <v>0.94169056730180001</v>
      </c>
      <c r="R10" s="3">
        <v>89</v>
      </c>
      <c r="S10" s="4">
        <v>12.901284452443701</v>
      </c>
      <c r="T10" s="4">
        <v>11.2708498547732</v>
      </c>
      <c r="U10" s="4">
        <v>24.172134307216801</v>
      </c>
      <c r="V10" s="4">
        <v>1.6304345976704999</v>
      </c>
      <c r="W10" s="3">
        <v>154</v>
      </c>
      <c r="X10" s="4">
        <v>20.289723455549101</v>
      </c>
      <c r="Y10" s="4">
        <v>36.8622537367307</v>
      </c>
      <c r="Z10" s="4">
        <v>3.7171931743675901</v>
      </c>
      <c r="AA10" s="3">
        <v>93</v>
      </c>
      <c r="AB10" s="4">
        <v>21.840147256654888</v>
      </c>
      <c r="AC10" s="4">
        <v>35.241312009155578</v>
      </c>
      <c r="AD10" s="4">
        <v>8.4389825041541986</v>
      </c>
      <c r="AE10" s="3">
        <v>49</v>
      </c>
      <c r="AF10" s="4">
        <v>17.661255766597399</v>
      </c>
      <c r="AG10" s="4">
        <v>30.3977444357343</v>
      </c>
      <c r="AH10" s="4">
        <v>4.9247670974604203</v>
      </c>
      <c r="AI10" s="4">
        <f t="shared" si="0"/>
        <v>12.594095777105105</v>
      </c>
      <c r="AJ10" s="4">
        <v>20.8734862632529</v>
      </c>
      <c r="AK10" s="4">
        <v>17.901068934210009</v>
      </c>
      <c r="AL10" s="133">
        <v>19.12322114688946</v>
      </c>
      <c r="AM10" s="188">
        <f>(表1[[#This Row],[列1682243]]+AL10)/2</f>
        <v>18.512145040549733</v>
      </c>
      <c r="AN10" s="15">
        <f>IFERROR(VLOOKUP($B10,'2019开发'!$B:$Q,2,0),0)</f>
        <v>23</v>
      </c>
      <c r="AO10" s="6">
        <f>IFERROR(VLOOKUP($B10,'2019开发'!$B:$Q,3,0),0)</f>
        <v>0</v>
      </c>
      <c r="AP10" s="132" t="str">
        <f>IFERROR(VLOOKUP($B10,'2019开发'!$B:$Q,4,0),0)</f>
        <v/>
      </c>
      <c r="AQ10" s="132" t="str">
        <f>IFERROR(VLOOKUP($B10,'2019开发'!$B:$Q,5,0),0)</f>
        <v/>
      </c>
      <c r="AR10" s="132" t="str">
        <f>IFERROR(VLOOKUP($B10,'2019开发'!$B:$Q,6,0),0)</f>
        <v/>
      </c>
      <c r="AS10" s="132">
        <f>表1[[#This Row],[列172]]*1.1</f>
        <v>0</v>
      </c>
      <c r="AT10" s="132" t="e">
        <f>表1[[#This Row],[列18]]*1.1</f>
        <v>#VALUE!</v>
      </c>
      <c r="AU10" s="132" t="e">
        <f>表1[[#This Row],[列19]]*1.1</f>
        <v>#VALUE!</v>
      </c>
      <c r="AV10" s="4"/>
      <c r="AW10" s="4" t="str">
        <f t="shared" si="4"/>
        <v>Down</v>
      </c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</row>
    <row r="11" spans="1:77" s="36" customFormat="1" ht="20.25" customHeight="1">
      <c r="A11" s="333"/>
      <c r="B11" s="156" t="s">
        <v>62</v>
      </c>
      <c r="C11" s="3"/>
      <c r="D11" s="5"/>
      <c r="E11" s="5"/>
      <c r="F11" s="5"/>
      <c r="G11" s="5"/>
      <c r="H11" s="3">
        <v>55</v>
      </c>
      <c r="I11" s="4">
        <v>24.014113161955901</v>
      </c>
      <c r="J11" s="4">
        <v>14.009605109508</v>
      </c>
      <c r="K11" s="4">
        <v>38.023718271463899</v>
      </c>
      <c r="L11" s="4">
        <v>10.0045080524479</v>
      </c>
      <c r="M11" s="3">
        <v>85</v>
      </c>
      <c r="N11" s="4">
        <v>19.2643142435812</v>
      </c>
      <c r="O11" s="4">
        <v>13.7374917806659</v>
      </c>
      <c r="P11" s="4">
        <v>33.001806024247003</v>
      </c>
      <c r="Q11" s="4">
        <v>5.5268224629152796</v>
      </c>
      <c r="R11" s="3">
        <v>91</v>
      </c>
      <c r="S11" s="4">
        <v>14.035683084459</v>
      </c>
      <c r="T11" s="4">
        <v>13.035128867825801</v>
      </c>
      <c r="U11" s="4">
        <v>27.070811952284799</v>
      </c>
      <c r="V11" s="4">
        <v>1.00055421663318</v>
      </c>
      <c r="W11" s="3">
        <v>147</v>
      </c>
      <c r="X11" s="4">
        <v>15.190203100900399</v>
      </c>
      <c r="Y11" s="4">
        <v>25.593416995200101</v>
      </c>
      <c r="Z11" s="4">
        <v>4.78698920660071</v>
      </c>
      <c r="AA11" s="3">
        <v>115</v>
      </c>
      <c r="AB11" s="4">
        <v>18.791764610823989</v>
      </c>
      <c r="AC11" s="4">
        <v>31.614084742698338</v>
      </c>
      <c r="AD11" s="4">
        <v>5.9694444789496384</v>
      </c>
      <c r="AE11" s="3">
        <v>55</v>
      </c>
      <c r="AF11" s="4">
        <v>24.014113161955901</v>
      </c>
      <c r="AG11" s="4">
        <v>38.023718271463899</v>
      </c>
      <c r="AH11" s="4">
        <v>10.0045080524479</v>
      </c>
      <c r="AI11" s="4">
        <f t="shared" si="0"/>
        <v>16.560874269262339</v>
      </c>
      <c r="AJ11" s="4">
        <v>16.771041168233271</v>
      </c>
      <c r="AK11" s="4">
        <v>16.889873403151128</v>
      </c>
      <c r="AL11" s="133">
        <v>11.476459163781174</v>
      </c>
      <c r="AM11" s="188">
        <f>(表1[[#This Row],[列1682243]]+AL11)/2</f>
        <v>14.18316628346615</v>
      </c>
      <c r="AN11" s="15">
        <f>IFERROR(VLOOKUP($B11,'2019开发'!$B:$Q,2,0),0)</f>
        <v>26</v>
      </c>
      <c r="AO11" s="6">
        <f>IFERROR(VLOOKUP($B11,'2019开发'!$B:$Q,3,0),0)</f>
        <v>0</v>
      </c>
      <c r="AP11" s="132" t="str">
        <f>IFERROR(VLOOKUP($B11,'2019开发'!$B:$Q,4,0),0)</f>
        <v/>
      </c>
      <c r="AQ11" s="132" t="str">
        <f>IFERROR(VLOOKUP($B11,'2019开发'!$B:$Q,5,0),0)</f>
        <v/>
      </c>
      <c r="AR11" s="132" t="str">
        <f>IFERROR(VLOOKUP($B11,'2019开发'!$B:$Q,6,0),0)</f>
        <v/>
      </c>
      <c r="AS11" s="132">
        <f>表1[[#This Row],[列172]]*1.1</f>
        <v>0</v>
      </c>
      <c r="AT11" s="132" t="e">
        <f>表1[[#This Row],[列18]]*1.1</f>
        <v>#VALUE!</v>
      </c>
      <c r="AU11" s="132" t="e">
        <f>表1[[#This Row],[列19]]*1.1</f>
        <v>#VALUE!</v>
      </c>
      <c r="AV11" s="4"/>
      <c r="AW11" s="4" t="str">
        <f t="shared" si="4"/>
        <v>Down</v>
      </c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</row>
    <row r="12" spans="1:77" s="36" customFormat="1" ht="20.25" customHeight="1">
      <c r="A12" s="333"/>
      <c r="B12" s="156" t="s">
        <v>63</v>
      </c>
      <c r="C12" s="3">
        <v>64</v>
      </c>
      <c r="D12" s="12">
        <v>129.66340271608399</v>
      </c>
      <c r="E12" s="12">
        <v>43.765730697250497</v>
      </c>
      <c r="F12" s="12">
        <v>173.42913341333499</v>
      </c>
      <c r="G12" s="12">
        <v>85.897672018833802</v>
      </c>
      <c r="H12" s="3">
        <v>82</v>
      </c>
      <c r="I12" s="4">
        <v>145.30370717931299</v>
      </c>
      <c r="J12" s="4">
        <v>71.405184699943405</v>
      </c>
      <c r="K12" s="4">
        <v>216.70889187925599</v>
      </c>
      <c r="L12" s="4">
        <v>73.898522479369504</v>
      </c>
      <c r="M12" s="3">
        <v>103</v>
      </c>
      <c r="N12" s="4">
        <v>110.857325930484</v>
      </c>
      <c r="O12" s="4">
        <v>52.546757138837798</v>
      </c>
      <c r="P12" s="4">
        <v>163.40408306932201</v>
      </c>
      <c r="Q12" s="4">
        <v>58.310568791646403</v>
      </c>
      <c r="R12" s="3">
        <v>97</v>
      </c>
      <c r="S12" s="4">
        <v>123.967531579244</v>
      </c>
      <c r="T12" s="4">
        <v>55.471333452571102</v>
      </c>
      <c r="U12" s="4">
        <v>179.438865031815</v>
      </c>
      <c r="V12" s="4">
        <v>68.496198126672894</v>
      </c>
      <c r="W12" s="3">
        <v>161</v>
      </c>
      <c r="X12" s="4">
        <v>113.53733260889101</v>
      </c>
      <c r="Y12" s="4">
        <v>166.12999775969899</v>
      </c>
      <c r="Z12" s="4">
        <v>60.944667458082698</v>
      </c>
      <c r="AA12" s="3">
        <v>162</v>
      </c>
      <c r="AB12" s="4">
        <v>115.30344479957012</v>
      </c>
      <c r="AC12" s="4">
        <v>171.71767867341811</v>
      </c>
      <c r="AD12" s="4">
        <v>58.889210925722139</v>
      </c>
      <c r="AE12" s="3">
        <v>147</v>
      </c>
      <c r="AF12" s="4">
        <v>139.77443375872801</v>
      </c>
      <c r="AG12" s="4">
        <v>202.81601229364199</v>
      </c>
      <c r="AH12" s="4">
        <v>76.732855223814497</v>
      </c>
      <c r="AI12" s="4">
        <f t="shared" si="0"/>
        <v>117.2157756701326</v>
      </c>
      <c r="AJ12" s="4">
        <v>114.42312262403038</v>
      </c>
      <c r="AK12" s="4">
        <v>102.80960166939926</v>
      </c>
      <c r="AL12" s="133">
        <v>164.2628783441811</v>
      </c>
      <c r="AM12" s="188">
        <f>(表1[[#This Row],[列1682243]]+AL12)/2</f>
        <v>133.53624000679019</v>
      </c>
      <c r="AN12" s="15">
        <f>IFERROR(VLOOKUP($B12,'2019开发'!$B:$Q,2,0),0)</f>
        <v>23</v>
      </c>
      <c r="AO12" s="6">
        <f>IFERROR(VLOOKUP($B12,'2019开发'!$B:$Q,3,0),0)</f>
        <v>0</v>
      </c>
      <c r="AP12" s="132" t="str">
        <f>IFERROR(VLOOKUP($B12,'2019开发'!$B:$Q,4,0),0)</f>
        <v/>
      </c>
      <c r="AQ12" s="132" t="str">
        <f>IFERROR(VLOOKUP($B12,'2019开发'!$B:$Q,5,0),0)</f>
        <v/>
      </c>
      <c r="AR12" s="132" t="str">
        <f>IFERROR(VLOOKUP($B12,'2019开发'!$B:$Q,6,0),0)</f>
        <v/>
      </c>
      <c r="AS12" s="132">
        <f>表1[[#This Row],[列172]]*1.1</f>
        <v>0</v>
      </c>
      <c r="AT12" s="132" t="e">
        <f>表1[[#This Row],[列18]]*1.1</f>
        <v>#VALUE!</v>
      </c>
      <c r="AU12" s="132" t="e">
        <f>表1[[#This Row],[列19]]*1.1</f>
        <v>#VALUE!</v>
      </c>
      <c r="AV12" s="4"/>
      <c r="AW12" s="4" t="str">
        <f t="shared" si="4"/>
        <v>Down</v>
      </c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</row>
    <row r="13" spans="1:77" s="55" customFormat="1" ht="20.25" customHeight="1">
      <c r="A13" s="333"/>
      <c r="B13" s="156" t="s">
        <v>64</v>
      </c>
      <c r="C13" s="3"/>
      <c r="D13" s="5"/>
      <c r="E13" s="5"/>
      <c r="F13" s="5"/>
      <c r="G13" s="5"/>
      <c r="H13" s="3">
        <v>26</v>
      </c>
      <c r="I13" s="4">
        <v>3.7633304235699399</v>
      </c>
      <c r="J13" s="4">
        <v>3.5718242882541702</v>
      </c>
      <c r="K13" s="4">
        <v>7.3351547118241101</v>
      </c>
      <c r="L13" s="4">
        <v>0.19150613531576999</v>
      </c>
      <c r="M13" s="3">
        <v>43</v>
      </c>
      <c r="N13" s="4">
        <v>4.6523844945867596</v>
      </c>
      <c r="O13" s="4">
        <v>2.4644768476572101</v>
      </c>
      <c r="P13" s="4">
        <v>7.1168613422439604</v>
      </c>
      <c r="Q13" s="4">
        <v>2.18790764692955</v>
      </c>
      <c r="R13" s="3">
        <v>33</v>
      </c>
      <c r="S13" s="4">
        <v>7.0682427543131396</v>
      </c>
      <c r="T13" s="4">
        <v>7.77509647944997</v>
      </c>
      <c r="U13" s="4">
        <v>14.8433392337631</v>
      </c>
      <c r="V13" s="4">
        <v>0</v>
      </c>
      <c r="W13" s="3">
        <v>63</v>
      </c>
      <c r="X13" s="4">
        <v>8.9937657652897407</v>
      </c>
      <c r="Y13" s="4">
        <v>21.655284223339802</v>
      </c>
      <c r="Z13" s="4">
        <v>0</v>
      </c>
      <c r="AA13" s="3">
        <v>167</v>
      </c>
      <c r="AB13" s="4">
        <v>117.36933259576354</v>
      </c>
      <c r="AC13" s="4">
        <v>174.54029325286172</v>
      </c>
      <c r="AD13" s="4">
        <v>60.198371938665346</v>
      </c>
      <c r="AE13" s="3">
        <v>32</v>
      </c>
      <c r="AF13" s="4">
        <v>3.2987128144287898</v>
      </c>
      <c r="AG13" s="4">
        <v>6.6628181806191904</v>
      </c>
      <c r="AH13" s="4">
        <v>0</v>
      </c>
      <c r="AI13" s="4">
        <f t="shared" si="0"/>
        <v>5.7013755810468982</v>
      </c>
      <c r="AJ13" s="4">
        <v>87.683851246546809</v>
      </c>
      <c r="AK13" s="4">
        <v>5.2889461398686395</v>
      </c>
      <c r="AL13" s="133">
        <v>2.7429403617541581</v>
      </c>
      <c r="AM13" s="188">
        <f>(表1[[#This Row],[列1682243]]+AL13)/2</f>
        <v>4.0159432508113984</v>
      </c>
      <c r="AN13" s="15">
        <f>IFERROR(VLOOKUP($B13,'2019开发'!$B:$Q,2,0),0)</f>
        <v>38</v>
      </c>
      <c r="AO13" s="6">
        <f>IFERROR(VLOOKUP($B13,'2019开发'!$B:$Q,3,0),0)</f>
        <v>0</v>
      </c>
      <c r="AP13" s="132">
        <f>IFERROR(VLOOKUP($B13,'2019开发'!$B:$Q,4,0),0)</f>
        <v>12.0289366495244</v>
      </c>
      <c r="AQ13" s="132" t="str">
        <f>IFERROR(VLOOKUP($B13,'2019开发'!$B:$Q,5,0),0)</f>
        <v/>
      </c>
      <c r="AR13" s="17">
        <v>0</v>
      </c>
      <c r="AS13" s="132">
        <f>表1[[#This Row],[列172]]*1.1</f>
        <v>0</v>
      </c>
      <c r="AT13" s="132" t="e">
        <f>表1[[#This Row],[列18]]*1.1</f>
        <v>#VALUE!</v>
      </c>
      <c r="AU13" s="17">
        <v>0</v>
      </c>
      <c r="AV13" s="4"/>
      <c r="AW13" s="4" t="str">
        <f t="shared" si="4"/>
        <v>Down</v>
      </c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/>
    </row>
    <row r="14" spans="1:77" s="56" customFormat="1" ht="20.25" customHeight="1">
      <c r="A14" s="333"/>
      <c r="B14" s="156" t="s">
        <v>65</v>
      </c>
      <c r="C14" s="3">
        <v>90</v>
      </c>
      <c r="D14" s="5">
        <v>4.2844142770664097E-2</v>
      </c>
      <c r="E14" s="5">
        <v>0.14962595635783299</v>
      </c>
      <c r="F14" s="5">
        <v>0.192470099128497</v>
      </c>
      <c r="G14" s="5">
        <v>0</v>
      </c>
      <c r="H14" s="3">
        <v>123</v>
      </c>
      <c r="I14" s="5">
        <v>0.17108489179672701</v>
      </c>
      <c r="J14" s="5">
        <v>0.18067702460826901</v>
      </c>
      <c r="K14" s="5">
        <v>0.35176191640499599</v>
      </c>
      <c r="L14" s="5">
        <v>0</v>
      </c>
      <c r="M14" s="3">
        <v>182</v>
      </c>
      <c r="N14" s="5">
        <v>0.14491653216592201</v>
      </c>
      <c r="O14" s="5">
        <v>0.15878440460077001</v>
      </c>
      <c r="P14" s="5">
        <v>0.30370093676669202</v>
      </c>
      <c r="Q14" s="5">
        <v>0</v>
      </c>
      <c r="R14" s="3">
        <v>162</v>
      </c>
      <c r="S14" s="5">
        <v>7.1736213315939504E-2</v>
      </c>
      <c r="T14" s="5">
        <v>0.10769431136789499</v>
      </c>
      <c r="U14" s="5">
        <v>0.179430524683834</v>
      </c>
      <c r="V14" s="5">
        <v>0</v>
      </c>
      <c r="W14" s="3">
        <v>260</v>
      </c>
      <c r="X14" s="5">
        <v>2.6125903968631101E-2</v>
      </c>
      <c r="Y14" s="5">
        <v>7.6974195665772099E-2</v>
      </c>
      <c r="Z14" s="5">
        <v>0</v>
      </c>
      <c r="AA14" s="3">
        <v>287</v>
      </c>
      <c r="AB14" s="5">
        <v>4.4698924916664141E-2</v>
      </c>
      <c r="AC14" s="5">
        <v>0.20465071208970168</v>
      </c>
      <c r="AD14" s="5">
        <v>0</v>
      </c>
      <c r="AE14" s="3">
        <v>213</v>
      </c>
      <c r="AF14" s="5">
        <v>0.116898659813883</v>
      </c>
      <c r="AG14" s="5">
        <v>0.29638730629505899</v>
      </c>
      <c r="AH14" s="5">
        <v>0</v>
      </c>
      <c r="AI14" s="5">
        <f t="shared" si="0"/>
        <v>0.11045370759122095</v>
      </c>
      <c r="AJ14" s="5">
        <v>3.5870797957818452E-2</v>
      </c>
      <c r="AK14" s="5">
        <v>2.1231327599943211E-2</v>
      </c>
      <c r="AL14" s="242">
        <v>2.1919648368945232E-2</v>
      </c>
      <c r="AM14" s="189">
        <f>(表1[[#This Row],[列1682243]]+AL14)/2</f>
        <v>2.1575487984444221E-2</v>
      </c>
      <c r="AN14" s="15">
        <f>IFERROR(VLOOKUP($B14,'2019开发'!$B:$Q,2,0),0)</f>
        <v>27</v>
      </c>
      <c r="AO14" s="23">
        <f>IFERROR(VLOOKUP($B14,'2019开发'!$B:$Q,3,0),0)</f>
        <v>0</v>
      </c>
      <c r="AP14" s="23">
        <f>IFERROR(VLOOKUP($B14,'2019开发'!$B:$Q,4,0),0)</f>
        <v>5.0647172293565551E-2</v>
      </c>
      <c r="AQ14" s="23">
        <v>0.05</v>
      </c>
      <c r="AR14" s="110">
        <v>0</v>
      </c>
      <c r="AS14" s="23">
        <f>IF(AO14*0.9&gt;100%,100%,AO14*0.9)</f>
        <v>0</v>
      </c>
      <c r="AT14" s="23">
        <v>0.05</v>
      </c>
      <c r="AU14" s="110">
        <f>AR14*0.9</f>
        <v>0</v>
      </c>
      <c r="AV14" s="23"/>
      <c r="AW14" s="4" t="str">
        <f t="shared" ref="AW14:AW45" si="5">IF(AO14&lt;=AM14,"Good","Bad")</f>
        <v>Good</v>
      </c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/>
    </row>
    <row r="15" spans="1:77" s="36" customFormat="1" ht="20.25" customHeight="1">
      <c r="A15" s="333"/>
      <c r="B15" s="156" t="s">
        <v>66</v>
      </c>
      <c r="C15" s="3">
        <v>83</v>
      </c>
      <c r="D15" s="5">
        <v>4.4535302924384301E-3</v>
      </c>
      <c r="E15" s="5">
        <v>2.3799220869513998E-2</v>
      </c>
      <c r="F15" s="5">
        <v>2.8252751161952399E-2</v>
      </c>
      <c r="G15" s="5">
        <v>-1.9345690577075601E-2</v>
      </c>
      <c r="H15" s="3">
        <v>132</v>
      </c>
      <c r="I15" s="5">
        <v>9.5640068934683801E-4</v>
      </c>
      <c r="J15" s="5">
        <v>3.0337623008340499E-2</v>
      </c>
      <c r="K15" s="5">
        <v>3.1294023697687301E-2</v>
      </c>
      <c r="L15" s="5">
        <v>-2.9381222318993701E-2</v>
      </c>
      <c r="M15" s="3">
        <v>174</v>
      </c>
      <c r="N15" s="5">
        <v>1.0066610967708001E-2</v>
      </c>
      <c r="O15" s="5">
        <v>8.5842272425821806E-2</v>
      </c>
      <c r="P15" s="5">
        <v>9.5908883393529903E-2</v>
      </c>
      <c r="Q15" s="5">
        <v>-7.5775661458113805E-2</v>
      </c>
      <c r="R15" s="3">
        <v>181</v>
      </c>
      <c r="S15" s="5">
        <v>2.68180639322244E-3</v>
      </c>
      <c r="T15" s="5">
        <v>1.6120145726139901E-2</v>
      </c>
      <c r="U15" s="5">
        <v>1.8801952119362399E-2</v>
      </c>
      <c r="V15" s="5">
        <v>-1.34383393329175E-2</v>
      </c>
      <c r="W15" s="3">
        <v>240</v>
      </c>
      <c r="X15" s="5">
        <v>1.00908512453392E-2</v>
      </c>
      <c r="Y15" s="5">
        <v>5.0500742078108903E-2</v>
      </c>
      <c r="Z15" s="5">
        <v>-3.0319039587430499E-2</v>
      </c>
      <c r="AA15" s="3">
        <v>257</v>
      </c>
      <c r="AB15" s="5">
        <v>7.80006291585752E-3</v>
      </c>
      <c r="AC15" s="5">
        <v>4.9383295255700434E-2</v>
      </c>
      <c r="AD15" s="5">
        <v>0</v>
      </c>
      <c r="AE15" s="3">
        <v>215</v>
      </c>
      <c r="AF15" s="5">
        <v>2.3064553733310299E-3</v>
      </c>
      <c r="AG15" s="5">
        <v>3.0294846001429301E-2</v>
      </c>
      <c r="AH15" s="5">
        <v>-2.56819352547672E-2</v>
      </c>
      <c r="AI15" s="5">
        <f t="shared" si="0"/>
        <v>6.3014007480407148E-3</v>
      </c>
      <c r="AJ15" s="5">
        <v>8.9062786081625551E-3</v>
      </c>
      <c r="AK15" s="5">
        <v>8.5497084983123493E-3</v>
      </c>
      <c r="AL15" s="243">
        <v>3.0141136746394703E-3</v>
      </c>
      <c r="AM15" s="189">
        <f>(表1[[#This Row],[列1682243]]+AL15)/2</f>
        <v>5.7819110864759096E-3</v>
      </c>
      <c r="AN15" s="15">
        <f>IFERROR(VLOOKUP($B15,'2019开发'!$B:$Q,2,0),0)</f>
        <v>108</v>
      </c>
      <c r="AO15" s="23">
        <f>IFERROR(VLOOKUP($B15,'2019开发'!$B:$Q,3,0),0)</f>
        <v>0</v>
      </c>
      <c r="AP15" s="23">
        <f>IFERROR(VLOOKUP($B15,'2019开发'!$B:$Q,4,0),0)</f>
        <v>7.9910137341891729E-4</v>
      </c>
      <c r="AQ15" s="23" t="str">
        <f>IFERROR(VLOOKUP($B15,'2019开发'!$B:$Q,5,0),0)</f>
        <v/>
      </c>
      <c r="AR15" s="110" t="str">
        <f>IFERROR(VLOOKUP($B15,'2019开发'!$B:$Q,6,0),0)</f>
        <v/>
      </c>
      <c r="AS15" s="23">
        <f t="shared" ref="AS15:AS16" si="6">IF(AO15*0.9&gt;100%,100%,AO15*0.9)</f>
        <v>0</v>
      </c>
      <c r="AT15" s="23" t="e">
        <f t="shared" ref="AT15:AT16" si="7">AQ15*0.9</f>
        <v>#VALUE!</v>
      </c>
      <c r="AU15" s="110" t="e">
        <f t="shared" ref="AU15:AU16" si="8">AR15*0.9</f>
        <v>#VALUE!</v>
      </c>
      <c r="AV15" s="4" t="s">
        <v>411</v>
      </c>
      <c r="AW15" s="4" t="str">
        <f t="shared" si="5"/>
        <v>Good</v>
      </c>
      <c r="AX15" s="4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</row>
    <row r="16" spans="1:77" s="55" customFormat="1" ht="20.25" customHeight="1">
      <c r="A16" s="333"/>
      <c r="B16" s="156" t="s">
        <v>67</v>
      </c>
      <c r="C16" s="3">
        <v>32</v>
      </c>
      <c r="D16" s="5">
        <v>6.3831893165531894E-2</v>
      </c>
      <c r="E16" s="5">
        <v>0.17090672556767</v>
      </c>
      <c r="F16" s="5">
        <v>0.23473861873320201</v>
      </c>
      <c r="G16" s="5">
        <v>-0.107074832402138</v>
      </c>
      <c r="H16" s="3">
        <v>110</v>
      </c>
      <c r="I16" s="5">
        <v>7.6864163227807203E-2</v>
      </c>
      <c r="J16" s="5">
        <v>0.25243633803243998</v>
      </c>
      <c r="K16" s="5">
        <v>0.32930050126024701</v>
      </c>
      <c r="L16" s="5">
        <v>-0.175572174804633</v>
      </c>
      <c r="M16" s="3">
        <v>100</v>
      </c>
      <c r="N16" s="5">
        <v>3.3236834334308997E-2</v>
      </c>
      <c r="O16" s="5">
        <v>0.14994182625157401</v>
      </c>
      <c r="P16" s="5">
        <v>0.183178660585883</v>
      </c>
      <c r="Q16" s="5">
        <v>-0.11670499191726499</v>
      </c>
      <c r="R16" s="3">
        <v>90</v>
      </c>
      <c r="S16" s="5">
        <v>2.1973075956759298E-2</v>
      </c>
      <c r="T16" s="5">
        <v>8.8824797496374494E-2</v>
      </c>
      <c r="U16" s="5">
        <v>0.11079787345313399</v>
      </c>
      <c r="V16" s="5">
        <v>-6.6851721539615203E-2</v>
      </c>
      <c r="W16" s="3">
        <v>200</v>
      </c>
      <c r="X16" s="5">
        <v>1.40507503312344E-2</v>
      </c>
      <c r="Y16" s="5">
        <v>0.107320049641005</v>
      </c>
      <c r="Z16" s="5">
        <v>-7.92185489785356E-2</v>
      </c>
      <c r="AA16" s="3">
        <v>210</v>
      </c>
      <c r="AB16" s="5">
        <v>7.9528547016396566E-3</v>
      </c>
      <c r="AC16" s="5">
        <v>9.8006513489232075E-2</v>
      </c>
      <c r="AD16" s="5">
        <v>0</v>
      </c>
      <c r="AE16" s="3">
        <v>142</v>
      </c>
      <c r="AF16" s="5">
        <v>7.39273136363085E-2</v>
      </c>
      <c r="AG16" s="5">
        <v>0.30996463357285903</v>
      </c>
      <c r="AH16" s="5">
        <v>-0.162110006300242</v>
      </c>
      <c r="AI16" s="5">
        <f t="shared" si="0"/>
        <v>2.7901369839680192E-2</v>
      </c>
      <c r="AJ16" s="5">
        <v>1.0927437935588313E-2</v>
      </c>
      <c r="AK16" s="5">
        <v>-1.7029661634022821E-3</v>
      </c>
      <c r="AL16" s="242">
        <v>1.364082584840498E-2</v>
      </c>
      <c r="AM16" s="189">
        <f>(表1[[#This Row],[列1682243]]+AL16)/2</f>
        <v>5.9689298425013495E-3</v>
      </c>
      <c r="AN16" s="15">
        <f>IFERROR(VLOOKUP($B16,'2019开发'!$B:$Q,2,0),0)</f>
        <v>34</v>
      </c>
      <c r="AO16" s="23">
        <f>IFERROR(VLOOKUP($B16,'2019开发'!$B:$Q,3,0),0)</f>
        <v>0</v>
      </c>
      <c r="AP16" s="23" t="str">
        <f>IFERROR(VLOOKUP($B16,'2019开发'!$B:$Q,4,0),0)</f>
        <v/>
      </c>
      <c r="AQ16" s="23" t="str">
        <f>IFERROR(VLOOKUP($B16,'2019开发'!$B:$Q,5,0),0)</f>
        <v/>
      </c>
      <c r="AR16" s="23" t="str">
        <f>IFERROR(VLOOKUP($B16,'2019开发'!$B:$Q,6,0),0)</f>
        <v/>
      </c>
      <c r="AS16" s="23">
        <f t="shared" si="6"/>
        <v>0</v>
      </c>
      <c r="AT16" s="23" t="e">
        <f t="shared" si="7"/>
        <v>#VALUE!</v>
      </c>
      <c r="AU16" s="23" t="e">
        <f t="shared" si="8"/>
        <v>#VALUE!</v>
      </c>
      <c r="AV16" s="4" t="s">
        <v>411</v>
      </c>
      <c r="AW16" s="4" t="str">
        <f t="shared" si="5"/>
        <v>Good</v>
      </c>
      <c r="AX16" s="4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</row>
    <row r="17" spans="1:77" s="36" customFormat="1" ht="20.25" customHeight="1">
      <c r="A17" s="334" t="s">
        <v>68</v>
      </c>
      <c r="B17" s="156" t="s">
        <v>69</v>
      </c>
      <c r="C17" s="3">
        <v>132</v>
      </c>
      <c r="D17" s="5">
        <v>0.94831746189454902</v>
      </c>
      <c r="E17" s="5">
        <v>0.12506582396154101</v>
      </c>
      <c r="F17" s="5">
        <v>1</v>
      </c>
      <c r="G17" s="5">
        <v>0.82325163793300904</v>
      </c>
      <c r="H17" s="3">
        <v>99</v>
      </c>
      <c r="I17" s="5">
        <v>0.91506735117550497</v>
      </c>
      <c r="J17" s="5">
        <v>0.156607760759083</v>
      </c>
      <c r="K17" s="5">
        <v>1</v>
      </c>
      <c r="L17" s="5">
        <v>0.75845959041642197</v>
      </c>
      <c r="M17" s="3">
        <v>153</v>
      </c>
      <c r="N17" s="5">
        <v>0.889278895278793</v>
      </c>
      <c r="O17" s="5">
        <v>0.283273430735969</v>
      </c>
      <c r="P17" s="5">
        <v>1</v>
      </c>
      <c r="Q17" s="5">
        <v>0.606005464542825</v>
      </c>
      <c r="R17" s="3">
        <v>155</v>
      </c>
      <c r="S17" s="5">
        <v>0.935401156051061</v>
      </c>
      <c r="T17" s="5">
        <v>0.142407058296176</v>
      </c>
      <c r="U17" s="5">
        <v>1</v>
      </c>
      <c r="V17" s="5">
        <v>0.79299409775488505</v>
      </c>
      <c r="W17" s="3">
        <v>221</v>
      </c>
      <c r="X17" s="5">
        <v>0.95492377046189802</v>
      </c>
      <c r="Y17" s="5">
        <v>1</v>
      </c>
      <c r="Z17" s="5">
        <v>0.81984584940236804</v>
      </c>
      <c r="AA17" s="3">
        <v>246</v>
      </c>
      <c r="AB17" s="5">
        <v>0.96150071435667739</v>
      </c>
      <c r="AC17" s="5">
        <v>1.0907520499779555</v>
      </c>
      <c r="AD17" s="5">
        <v>0.83224937873539939</v>
      </c>
      <c r="AE17" s="3">
        <v>243</v>
      </c>
      <c r="AF17" s="5">
        <v>0.93312581373027004</v>
      </c>
      <c r="AG17" s="5">
        <v>1</v>
      </c>
      <c r="AH17" s="5">
        <v>0.79391360564090896</v>
      </c>
      <c r="AI17" s="5">
        <f t="shared" si="0"/>
        <v>0.91248977326483693</v>
      </c>
      <c r="AJ17" s="5">
        <v>0.95838828480475835</v>
      </c>
      <c r="AK17" s="5">
        <v>0.93076353479928509</v>
      </c>
      <c r="AL17" s="243">
        <v>0.97658526730860329</v>
      </c>
      <c r="AM17" s="189">
        <f>(表1[[#This Row],[列1682243]]+AL17)/2</f>
        <v>0.95367440105394419</v>
      </c>
      <c r="AN17" s="15">
        <f>IFERROR(VLOOKUP($B17,'2019开发'!$B:$Q,2,0),0)</f>
        <v>90</v>
      </c>
      <c r="AO17" s="23">
        <f>IFERROR(VLOOKUP($B17,'2019开发'!$B:$Q,3,0),0)</f>
        <v>0</v>
      </c>
      <c r="AP17" s="23">
        <f>IFERROR(VLOOKUP($B17,'2019开发'!$B:$Q,4,0),0)</f>
        <v>8.722355228423774E-2</v>
      </c>
      <c r="AQ17" s="110">
        <v>1</v>
      </c>
      <c r="AR17" s="23" t="str">
        <f>IFERROR(VLOOKUP($B17,'2019开发'!$B:$Q,6,0),0)</f>
        <v/>
      </c>
      <c r="AS17" s="22">
        <f>IF(表1[[#This Row],[列172]]*1.1&gt;100%,100%,表1[[#This Row],[列172]]*1.1)</f>
        <v>0</v>
      </c>
      <c r="AT17" s="22">
        <f>表1[[#This Row],[列18]]*1.1</f>
        <v>1.1000000000000001</v>
      </c>
      <c r="AU17" s="22" t="e">
        <f>表1[[#This Row],[列19]]*1.1</f>
        <v>#VALUE!</v>
      </c>
      <c r="AV17" s="4" t="s">
        <v>411</v>
      </c>
      <c r="AW17" s="4" t="str">
        <f t="shared" si="4"/>
        <v>Down</v>
      </c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</row>
    <row r="18" spans="1:77" s="36" customFormat="1" ht="20.25" customHeight="1">
      <c r="A18" s="334"/>
      <c r="B18" s="156" t="s">
        <v>70</v>
      </c>
      <c r="C18" s="3">
        <v>41</v>
      </c>
      <c r="D18" s="6">
        <v>0.68990246803539201</v>
      </c>
      <c r="E18" s="6">
        <v>0.56689927218341096</v>
      </c>
      <c r="F18" s="6">
        <v>1.2568017402188001</v>
      </c>
      <c r="G18" s="6">
        <v>0.123003195851981</v>
      </c>
      <c r="H18" s="3">
        <v>43</v>
      </c>
      <c r="I18" s="6">
        <v>0.58150153337719201</v>
      </c>
      <c r="J18" s="6">
        <v>0.44106421854133199</v>
      </c>
      <c r="K18" s="6">
        <v>1.0225657519185201</v>
      </c>
      <c r="L18" s="6">
        <v>0.14043731483586</v>
      </c>
      <c r="M18" s="3">
        <v>70</v>
      </c>
      <c r="N18" s="6">
        <v>0.43635532165378299</v>
      </c>
      <c r="O18" s="6">
        <v>0.31001770371623899</v>
      </c>
      <c r="P18" s="6">
        <v>0.74637302537002204</v>
      </c>
      <c r="Q18" s="6">
        <v>0.126337617937544</v>
      </c>
      <c r="R18" s="3">
        <v>54</v>
      </c>
      <c r="S18" s="6">
        <v>0.47482827368980701</v>
      </c>
      <c r="T18" s="6">
        <v>0.42217498996207797</v>
      </c>
      <c r="U18" s="6">
        <v>0.89700326365188499</v>
      </c>
      <c r="V18" s="6">
        <v>5.2653283727728102E-2</v>
      </c>
      <c r="W18" s="3">
        <v>124</v>
      </c>
      <c r="X18" s="6">
        <v>0.63004216998857399</v>
      </c>
      <c r="Y18" s="6">
        <v>1.5423000346695399</v>
      </c>
      <c r="Z18" s="6">
        <v>0</v>
      </c>
      <c r="AA18" s="3">
        <v>150</v>
      </c>
      <c r="AB18" s="6">
        <v>0.45900651493314581</v>
      </c>
      <c r="AC18" s="6">
        <v>0.77164041209655154</v>
      </c>
      <c r="AD18" s="6">
        <v>0.14637261776974009</v>
      </c>
      <c r="AE18" s="3">
        <v>84</v>
      </c>
      <c r="AF18" s="6">
        <v>0.63441151338893198</v>
      </c>
      <c r="AG18" s="6">
        <v>1.14066396960473</v>
      </c>
      <c r="AH18" s="6">
        <v>0.128159057173132</v>
      </c>
      <c r="AI18" s="6">
        <f t="shared" si="0"/>
        <v>0.45310967173398697</v>
      </c>
      <c r="AJ18" s="6">
        <v>0.53640951211151477</v>
      </c>
      <c r="AK18" s="6">
        <v>0.47354375062943743</v>
      </c>
      <c r="AL18" s="133">
        <v>0.45294439875318626</v>
      </c>
      <c r="AM18" s="228">
        <f>(表1[[#This Row],[列1682243]]+AL18)/2</f>
        <v>0.46324407469131185</v>
      </c>
      <c r="AN18" s="15">
        <f>IFERROR(VLOOKUP($B18,'2019开发'!$B:$Q,2,0),0)</f>
        <v>1</v>
      </c>
      <c r="AO18" s="132">
        <f>IFERROR(VLOOKUP($B18,'2019开发'!$B:$Q,3,0),0)</f>
        <v>0</v>
      </c>
      <c r="AP18" s="132" t="str">
        <f>IFERROR(VLOOKUP($B18,'2019开发'!$B:$Q,4,0),0)</f>
        <v/>
      </c>
      <c r="AQ18" s="132" t="str">
        <f>IFERROR(VLOOKUP($B18,'2019开发'!$B:$Q,5,0),0)</f>
        <v/>
      </c>
      <c r="AR18" s="132" t="str">
        <f>IFERROR(VLOOKUP($B18,'2019开发'!$B:$Q,6,0),0)</f>
        <v/>
      </c>
      <c r="AS18" s="132">
        <f>表1[[#This Row],[列172]]*1.1</f>
        <v>0</v>
      </c>
      <c r="AT18" s="132" t="e">
        <f>表1[[#This Row],[列18]]*1.1</f>
        <v>#VALUE!</v>
      </c>
      <c r="AU18" s="132" t="e">
        <f>表1[[#This Row],[列19]]*1.1</f>
        <v>#VALUE!</v>
      </c>
      <c r="AV18" s="4" t="s">
        <v>411</v>
      </c>
      <c r="AW18" s="4" t="str">
        <f t="shared" si="4"/>
        <v>Down</v>
      </c>
      <c r="AX18" s="6"/>
      <c r="AY18" s="6"/>
      <c r="AZ18" s="6"/>
      <c r="BA18" s="6"/>
      <c r="BB18" s="6"/>
      <c r="BC18" s="6"/>
      <c r="BD18" s="6"/>
      <c r="BE18" s="6"/>
      <c r="BF18" s="6"/>
      <c r="BG18" s="6"/>
      <c r="BH18" s="6"/>
      <c r="BI18" s="6"/>
      <c r="BJ18" s="6"/>
      <c r="BK18" s="6"/>
      <c r="BL18" s="6"/>
      <c r="BM18" s="6"/>
      <c r="BN18" s="6"/>
      <c r="BO18" s="6"/>
      <c r="BP18" s="6"/>
      <c r="BQ18" s="6"/>
      <c r="BR18" s="6"/>
      <c r="BS18" s="6"/>
      <c r="BT18" s="6"/>
      <c r="BU18" s="6"/>
      <c r="BV18" s="6"/>
      <c r="BW18" s="6"/>
      <c r="BX18" s="6"/>
      <c r="BY18" s="6"/>
    </row>
    <row r="19" spans="1:77" s="36" customFormat="1" ht="20.25" customHeight="1">
      <c r="A19" s="334"/>
      <c r="B19" s="156" t="s">
        <v>71</v>
      </c>
      <c r="C19" s="3">
        <v>39</v>
      </c>
      <c r="D19" s="6">
        <v>0.71767041650984698</v>
      </c>
      <c r="E19" s="6">
        <v>0.53495826370633903</v>
      </c>
      <c r="F19" s="6">
        <v>1.2526286802161899</v>
      </c>
      <c r="G19" s="6">
        <v>0.182712152803508</v>
      </c>
      <c r="H19" s="3">
        <v>58</v>
      </c>
      <c r="I19" s="6">
        <v>0.59755090701564095</v>
      </c>
      <c r="J19" s="6">
        <v>0.345653380550144</v>
      </c>
      <c r="K19" s="6">
        <v>0.943204287565785</v>
      </c>
      <c r="L19" s="6">
        <v>0.25189752646549701</v>
      </c>
      <c r="M19" s="3">
        <v>89</v>
      </c>
      <c r="N19" s="6">
        <v>0.68279163628124395</v>
      </c>
      <c r="O19" s="6">
        <v>0.61353075714873395</v>
      </c>
      <c r="P19" s="6">
        <v>1.2963223934299799</v>
      </c>
      <c r="Q19" s="6">
        <v>6.9260879132510306E-2</v>
      </c>
      <c r="R19" s="3">
        <v>76</v>
      </c>
      <c r="S19" s="6">
        <v>0.86118681828668597</v>
      </c>
      <c r="T19" s="6">
        <v>0.872051530768157</v>
      </c>
      <c r="U19" s="6">
        <v>1.73323834905484</v>
      </c>
      <c r="V19" s="6">
        <v>0</v>
      </c>
      <c r="W19" s="3">
        <v>146</v>
      </c>
      <c r="X19" s="6">
        <v>0.65324619315146104</v>
      </c>
      <c r="Y19" s="6">
        <v>1.16781180203792</v>
      </c>
      <c r="Z19" s="6">
        <v>0.13868058426499999</v>
      </c>
      <c r="AA19" s="3">
        <v>107</v>
      </c>
      <c r="AB19" s="6">
        <v>0.54316528738420722</v>
      </c>
      <c r="AC19" s="6">
        <v>0.86473750620691447</v>
      </c>
      <c r="AD19" s="6">
        <v>0.22159306856150002</v>
      </c>
      <c r="AE19" s="3">
        <v>97</v>
      </c>
      <c r="AF19" s="6">
        <v>0.64584637990506399</v>
      </c>
      <c r="AG19" s="6">
        <v>1.0791172621798399</v>
      </c>
      <c r="AH19" s="6">
        <v>0.21257549763028899</v>
      </c>
      <c r="AI19" s="6">
        <f t="shared" si="0"/>
        <v>0.76496153829587177</v>
      </c>
      <c r="AJ19" s="6">
        <v>0.60669023695740509</v>
      </c>
      <c r="AK19" s="6">
        <v>0.7037823751316038</v>
      </c>
      <c r="AL19" s="133">
        <v>0.37463128973240839</v>
      </c>
      <c r="AM19" s="228">
        <f>(表1[[#This Row],[列1682243]]+AL19)/2</f>
        <v>0.53920683243200607</v>
      </c>
      <c r="AN19" s="15">
        <f>IFERROR(VLOOKUP($B19,'2019开发'!$B:$Q,2,0),0)</f>
        <v>18</v>
      </c>
      <c r="AO19" s="132">
        <f>IFERROR(VLOOKUP($B19,'2019开发'!$B:$Q,3,0),0)</f>
        <v>0</v>
      </c>
      <c r="AP19" s="132">
        <f>IFERROR(VLOOKUP($B19,'2019开发'!$B:$Q,4,0),0)</f>
        <v>0.31160816988667855</v>
      </c>
      <c r="AQ19" s="132" t="str">
        <f>IFERROR(VLOOKUP($B19,'2019开发'!$B:$Q,5,0),0)</f>
        <v/>
      </c>
      <c r="AR19" s="132" t="str">
        <f>IFERROR(VLOOKUP($B19,'2019开发'!$B:$Q,6,0),0)</f>
        <v/>
      </c>
      <c r="AS19" s="132">
        <f>表1[[#This Row],[列172]]*1.1</f>
        <v>0</v>
      </c>
      <c r="AT19" s="132" t="e">
        <f>表1[[#This Row],[列18]]*1.1</f>
        <v>#VALUE!</v>
      </c>
      <c r="AU19" s="132" t="e">
        <f>表1[[#This Row],[列19]]*1.1</f>
        <v>#VALUE!</v>
      </c>
      <c r="AV19" s="4" t="s">
        <v>411</v>
      </c>
      <c r="AW19" s="4" t="str">
        <f t="shared" si="4"/>
        <v>Down</v>
      </c>
      <c r="AX19" s="6"/>
      <c r="AY19" s="6"/>
      <c r="AZ19" s="6"/>
      <c r="BA19" s="6"/>
      <c r="BB19" s="6"/>
      <c r="BC19" s="6"/>
      <c r="BD19" s="6"/>
      <c r="BE19" s="6"/>
      <c r="BF19" s="6"/>
      <c r="BG19" s="6"/>
      <c r="BH19" s="6"/>
      <c r="BI19" s="6"/>
      <c r="BJ19" s="6"/>
      <c r="BK19" s="6"/>
      <c r="BL19" s="6"/>
      <c r="BM19" s="6"/>
      <c r="BN19" s="6"/>
      <c r="BO19" s="6"/>
      <c r="BP19" s="6"/>
      <c r="BQ19" s="6"/>
      <c r="BR19" s="6"/>
      <c r="BS19" s="6"/>
      <c r="BT19" s="6"/>
      <c r="BU19" s="6"/>
      <c r="BV19" s="6"/>
      <c r="BW19" s="6"/>
      <c r="BX19" s="6"/>
      <c r="BY19" s="6"/>
    </row>
    <row r="20" spans="1:77" s="36" customFormat="1" ht="20.25" customHeight="1">
      <c r="A20" s="335" t="s">
        <v>72</v>
      </c>
      <c r="B20" s="156" t="s">
        <v>73</v>
      </c>
      <c r="C20" s="3">
        <v>78</v>
      </c>
      <c r="D20" s="6">
        <v>3.4786398879297198</v>
      </c>
      <c r="E20" s="6">
        <v>2.4261076471815501</v>
      </c>
      <c r="F20" s="6">
        <v>5.9047475351112704</v>
      </c>
      <c r="G20" s="6">
        <v>1.0525322407481701</v>
      </c>
      <c r="H20" s="3">
        <v>98</v>
      </c>
      <c r="I20" s="6">
        <v>4.0299976294748996</v>
      </c>
      <c r="J20" s="6">
        <v>2.6203189314986099</v>
      </c>
      <c r="K20" s="6">
        <v>6.6503165609735104</v>
      </c>
      <c r="L20" s="6">
        <v>1.4096786979763001</v>
      </c>
      <c r="M20" s="3">
        <v>131</v>
      </c>
      <c r="N20" s="6">
        <v>3.4943040188568402</v>
      </c>
      <c r="O20" s="6">
        <v>2.0464706169289699</v>
      </c>
      <c r="P20" s="6">
        <v>5.5407746357858096</v>
      </c>
      <c r="Q20" s="6">
        <v>1.44783340192787</v>
      </c>
      <c r="R20" s="3">
        <v>127</v>
      </c>
      <c r="S20" s="6">
        <v>4.8986454086843603</v>
      </c>
      <c r="T20" s="6">
        <v>3.3101828688380999</v>
      </c>
      <c r="U20" s="6">
        <v>8.2088282775224606</v>
      </c>
      <c r="V20" s="6">
        <v>1.58846253984626</v>
      </c>
      <c r="W20" s="3">
        <v>233</v>
      </c>
      <c r="X20" s="6">
        <v>5.3190581469491098</v>
      </c>
      <c r="Y20" s="6">
        <v>9.4073888010345108</v>
      </c>
      <c r="Z20" s="6">
        <v>1.2307274928637</v>
      </c>
      <c r="AA20" s="3">
        <v>222</v>
      </c>
      <c r="AB20" s="6">
        <v>3.6511100581259468</v>
      </c>
      <c r="AC20" s="6">
        <v>5.9886984703776012</v>
      </c>
      <c r="AD20" s="6">
        <v>1.313521645874292</v>
      </c>
      <c r="AE20" s="3">
        <v>177</v>
      </c>
      <c r="AF20" s="6">
        <v>3.7642580731472202</v>
      </c>
      <c r="AG20" s="6">
        <v>6.3167568555334697</v>
      </c>
      <c r="AH20" s="6">
        <v>1.21175929076098</v>
      </c>
      <c r="AI20" s="6">
        <f t="shared" si="0"/>
        <v>4.185588346407596</v>
      </c>
      <c r="AJ20" s="6">
        <v>4.5052461124024239</v>
      </c>
      <c r="AK20" s="6">
        <v>4.5189712758960843</v>
      </c>
      <c r="AL20" s="133">
        <v>5.1966565232894331</v>
      </c>
      <c r="AM20" s="228">
        <f>(表1[[#This Row],[列1682243]]+AL20)/2</f>
        <v>4.8578138995927587</v>
      </c>
      <c r="AN20" s="15">
        <f>IFERROR(VLOOKUP($B20,'2019开发'!$B:$Q,2,0),0)</f>
        <v>305</v>
      </c>
      <c r="AO20" s="132">
        <f>IFERROR(VLOOKUP($B20,'2019开发'!$B:$Q,3,0),0)</f>
        <v>0</v>
      </c>
      <c r="AP20" s="132">
        <f>IFERROR(VLOOKUP($B20,'2019开发'!$B:$Q,4,0),0)</f>
        <v>1.7517688434772418</v>
      </c>
      <c r="AQ20" s="132" t="str">
        <f>IFERROR(VLOOKUP($B20,'2019开发'!$B:$Q,5,0),0)</f>
        <v/>
      </c>
      <c r="AR20" s="132" t="str">
        <f>IFERROR(VLOOKUP($B20,'2019开发'!$B:$Q,6,0),0)</f>
        <v/>
      </c>
      <c r="AS20" s="132">
        <f>表1[[#This Row],[列172]]*1.1</f>
        <v>0</v>
      </c>
      <c r="AT20" s="132" t="e">
        <f>表1[[#This Row],[列18]]*1.1</f>
        <v>#VALUE!</v>
      </c>
      <c r="AU20" s="132" t="e">
        <f>表1[[#This Row],[列19]]*1.1</f>
        <v>#VALUE!</v>
      </c>
      <c r="AV20" s="4" t="s">
        <v>411</v>
      </c>
      <c r="AW20" s="4" t="str">
        <f t="shared" si="4"/>
        <v>Down</v>
      </c>
      <c r="AX20" s="6"/>
      <c r="AY20" s="6"/>
      <c r="AZ20" s="6"/>
      <c r="BA20" s="6"/>
      <c r="BB20" s="6"/>
      <c r="BC20" s="6"/>
      <c r="BD20" s="6"/>
      <c r="BE20" s="6"/>
      <c r="BF20" s="6"/>
      <c r="BG20" s="6"/>
      <c r="BH20" s="6"/>
      <c r="BI20" s="6"/>
      <c r="BJ20" s="6"/>
      <c r="BK20" s="6"/>
      <c r="BL20" s="6"/>
      <c r="BM20" s="6"/>
      <c r="BN20" s="6"/>
      <c r="BO20" s="6"/>
      <c r="BP20" s="6"/>
      <c r="BQ20" s="6"/>
      <c r="BR20" s="6"/>
      <c r="BS20" s="6"/>
      <c r="BT20" s="6"/>
      <c r="BU20" s="6"/>
      <c r="BV20" s="6"/>
      <c r="BW20" s="6"/>
      <c r="BX20" s="6"/>
      <c r="BY20" s="6"/>
    </row>
    <row r="21" spans="1:77" s="54" customFormat="1" ht="20.25" customHeight="1">
      <c r="A21" s="336"/>
      <c r="B21" s="156" t="s">
        <v>74</v>
      </c>
      <c r="C21" s="3">
        <v>61</v>
      </c>
      <c r="D21" s="6">
        <v>2.41074625993505</v>
      </c>
      <c r="E21" s="6">
        <v>1.7805959852954301</v>
      </c>
      <c r="F21" s="6">
        <v>4.19134224523048</v>
      </c>
      <c r="G21" s="6">
        <v>0.63015027463962303</v>
      </c>
      <c r="H21" s="3">
        <v>85</v>
      </c>
      <c r="I21" s="6">
        <v>2.3131169707739998</v>
      </c>
      <c r="J21" s="6">
        <v>1.96115323152392</v>
      </c>
      <c r="K21" s="6">
        <v>4.2742702022979202</v>
      </c>
      <c r="L21" s="6">
        <v>0.35196373925008001</v>
      </c>
      <c r="M21" s="3">
        <v>124</v>
      </c>
      <c r="N21" s="6">
        <v>2.9958579467569102</v>
      </c>
      <c r="O21" s="6">
        <v>2.4400129122304302</v>
      </c>
      <c r="P21" s="6">
        <v>5.4358708589873297</v>
      </c>
      <c r="Q21" s="6">
        <v>0.55584503452648204</v>
      </c>
      <c r="R21" s="3">
        <v>93</v>
      </c>
      <c r="S21" s="6">
        <v>2.9736767395855899</v>
      </c>
      <c r="T21" s="6">
        <v>2.2834943469853601</v>
      </c>
      <c r="U21" s="6">
        <v>5.25717108657095</v>
      </c>
      <c r="V21" s="6">
        <v>0.69018239260023295</v>
      </c>
      <c r="W21" s="3">
        <v>146</v>
      </c>
      <c r="X21" s="6">
        <v>3.0151035785937501</v>
      </c>
      <c r="Y21" s="6">
        <v>6.1895128462361804</v>
      </c>
      <c r="Z21" s="6">
        <v>0</v>
      </c>
      <c r="AA21" s="3">
        <v>119</v>
      </c>
      <c r="AB21" s="6">
        <v>2.7878253746936346</v>
      </c>
      <c r="AC21" s="6">
        <v>5.7632588054898957</v>
      </c>
      <c r="AD21" s="6">
        <v>0</v>
      </c>
      <c r="AE21" s="3">
        <v>149</v>
      </c>
      <c r="AF21" s="6">
        <v>2.3065131837035402</v>
      </c>
      <c r="AG21" s="6">
        <v>4.1987662812352999</v>
      </c>
      <c r="AH21" s="6">
        <v>0.414260086171784</v>
      </c>
      <c r="AI21" s="6">
        <f t="shared" si="0"/>
        <v>2.9863517151120589</v>
      </c>
      <c r="AJ21" s="6">
        <v>2.9130428002386042</v>
      </c>
      <c r="AK21" s="6">
        <v>2.6385987412302923</v>
      </c>
      <c r="AL21" s="133">
        <v>0.89789193862041194</v>
      </c>
      <c r="AM21" s="228">
        <f>(表1[[#This Row],[列1682243]]+AL21)/2</f>
        <v>1.7682453399253522</v>
      </c>
      <c r="AN21" s="15">
        <f>IFERROR(VLOOKUP($B21,'2019开发'!$B:$Q,2,0),0)</f>
        <v>40</v>
      </c>
      <c r="AO21" s="132">
        <f>IFERROR(VLOOKUP($B21,'2019开发'!$B:$Q,3,0),0)</f>
        <v>0</v>
      </c>
      <c r="AP21" s="132">
        <f>IFERROR(VLOOKUP($B21,'2019开发'!$B:$Q,4,0),0)</f>
        <v>0.18765653395325152</v>
      </c>
      <c r="AQ21" s="132" t="str">
        <f>IFERROR(VLOOKUP($B21,'2019开发'!$B:$Q,5,0),0)</f>
        <v/>
      </c>
      <c r="AR21" s="132" t="str">
        <f>IFERROR(VLOOKUP($B21,'2019开发'!$B:$Q,6,0),0)</f>
        <v/>
      </c>
      <c r="AS21" s="132">
        <f>表1[[#This Row],[列172]]*1.1</f>
        <v>0</v>
      </c>
      <c r="AT21" s="132" t="e">
        <f>表1[[#This Row],[列18]]*1.1</f>
        <v>#VALUE!</v>
      </c>
      <c r="AU21" s="132" t="e">
        <f>表1[[#This Row],[列19]]*1.1</f>
        <v>#VALUE!</v>
      </c>
      <c r="AV21" s="4" t="s">
        <v>411</v>
      </c>
      <c r="AW21" s="4" t="str">
        <f t="shared" si="4"/>
        <v>Down</v>
      </c>
      <c r="AX21" s="6"/>
      <c r="AY21" s="6"/>
      <c r="AZ21" s="6"/>
      <c r="BA21" s="6"/>
      <c r="BB21" s="6"/>
      <c r="BC21" s="6"/>
      <c r="BD21" s="6"/>
      <c r="BE21" s="6"/>
      <c r="BF21" s="6"/>
      <c r="BG21" s="6"/>
      <c r="BH21" s="6"/>
      <c r="BI21" s="6"/>
      <c r="BJ21" s="6"/>
      <c r="BK21" s="6"/>
      <c r="BL21" s="6"/>
      <c r="BM21" s="6"/>
      <c r="BN21" s="6"/>
      <c r="BO21" s="6"/>
      <c r="BP21" s="6"/>
      <c r="BQ21" s="6"/>
      <c r="BR21" s="6"/>
      <c r="BS21" s="6"/>
      <c r="BT21" s="6"/>
      <c r="BU21" s="6"/>
      <c r="BV21" s="6"/>
      <c r="BW21" s="6"/>
      <c r="BX21" s="6"/>
      <c r="BY21" s="6"/>
    </row>
    <row r="22" spans="1:77" s="54" customFormat="1" ht="20.25" customHeight="1">
      <c r="A22" s="336"/>
      <c r="B22" s="156" t="s">
        <v>76</v>
      </c>
      <c r="C22" s="3">
        <v>110</v>
      </c>
      <c r="D22" s="6">
        <v>0.236363636363636</v>
      </c>
      <c r="E22" s="6">
        <v>0.83421415778616204</v>
      </c>
      <c r="F22" s="6">
        <v>1.0705777941498</v>
      </c>
      <c r="G22" s="6">
        <v>0</v>
      </c>
      <c r="H22" s="3">
        <v>109</v>
      </c>
      <c r="I22" s="6">
        <v>0.394495412844037</v>
      </c>
      <c r="J22" s="6">
        <v>1.83594938919922</v>
      </c>
      <c r="K22" s="6">
        <v>2.2304448020432601</v>
      </c>
      <c r="L22" s="6">
        <v>0</v>
      </c>
      <c r="M22" s="3">
        <v>146</v>
      </c>
      <c r="N22" s="6">
        <v>0.26027397260273999</v>
      </c>
      <c r="O22" s="6">
        <v>1.42419871976732</v>
      </c>
      <c r="P22" s="6">
        <v>1.6844726923700599</v>
      </c>
      <c r="Q22" s="6">
        <v>0</v>
      </c>
      <c r="R22" s="3">
        <v>156</v>
      </c>
      <c r="S22" s="6">
        <v>0.147435897435897</v>
      </c>
      <c r="T22" s="6">
        <v>0.71666330043258897</v>
      </c>
      <c r="U22" s="6">
        <v>0.86409919786848699</v>
      </c>
      <c r="V22" s="6">
        <v>0</v>
      </c>
      <c r="W22" s="3">
        <v>246</v>
      </c>
      <c r="X22" s="4">
        <v>0.105691056910569</v>
      </c>
      <c r="Y22" s="4">
        <v>0.58057893850259301</v>
      </c>
      <c r="Z22" s="4">
        <v>0</v>
      </c>
      <c r="AA22" s="3">
        <v>248</v>
      </c>
      <c r="AB22" s="4">
        <v>0.3911290322580645</v>
      </c>
      <c r="AC22" s="4">
        <v>2.5907429879633543</v>
      </c>
      <c r="AD22" s="4">
        <v>0</v>
      </c>
      <c r="AE22" s="3">
        <v>219</v>
      </c>
      <c r="AF22" s="6">
        <v>0.31506849315068503</v>
      </c>
      <c r="AG22" s="6">
        <v>1.7377876141025399</v>
      </c>
      <c r="AH22" s="6">
        <v>0</v>
      </c>
      <c r="AI22" s="6">
        <f t="shared" si="0"/>
        <v>0.20198675496688731</v>
      </c>
      <c r="AJ22" s="4">
        <v>0.24898785425101208</v>
      </c>
      <c r="AK22" s="4">
        <v>0.57228915662650603</v>
      </c>
      <c r="AL22" s="133">
        <v>0.13740458015267176</v>
      </c>
      <c r="AM22" s="228">
        <f>(表1[[#This Row],[列1682243]]+AL22)/2</f>
        <v>0.3548468683895889</v>
      </c>
      <c r="AN22" s="15">
        <f>IFERROR(VLOOKUP($B22,'2019开发'!$B:$Q,2,0),0)</f>
        <v>347</v>
      </c>
      <c r="AO22" s="132">
        <f>IFERROR(VLOOKUP($B22,'2019开发'!$B:$Q,3,0),0)</f>
        <v>0</v>
      </c>
      <c r="AP22" s="132">
        <f>IFERROR(VLOOKUP($B22,'2019开发'!$B:$Q,4,0),0)</f>
        <v>0.42089689356342114</v>
      </c>
      <c r="AQ22" s="132" t="str">
        <f>IFERROR(VLOOKUP($B22,'2019开发'!$B:$Q,5,0),0)</f>
        <v/>
      </c>
      <c r="AR22" s="17" t="str">
        <f>IFERROR(VLOOKUP($B22,'2019开发'!$B:$Q,6,0),0)</f>
        <v/>
      </c>
      <c r="AS22" s="132">
        <f>表1[[#This Row],[列172]]*1.1</f>
        <v>0</v>
      </c>
      <c r="AT22" s="132" t="e">
        <f>表1[[#This Row],[列18]]*1.1</f>
        <v>#VALUE!</v>
      </c>
      <c r="AU22" s="17" t="e">
        <f>表1[[#This Row],[列19]]*1.1</f>
        <v>#VALUE!</v>
      </c>
      <c r="AV22" s="4" t="s">
        <v>411</v>
      </c>
      <c r="AW22" s="4" t="str">
        <f t="shared" si="5"/>
        <v>Good</v>
      </c>
      <c r="AX22" s="6"/>
      <c r="AY22" s="6"/>
      <c r="AZ22" s="6"/>
      <c r="BA22" s="6"/>
      <c r="BB22" s="6"/>
      <c r="BC22" s="6"/>
      <c r="BD22" s="6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6"/>
      <c r="BP22" s="6"/>
      <c r="BQ22" s="6"/>
      <c r="BR22" s="6"/>
      <c r="BS22" s="6"/>
      <c r="BT22" s="6"/>
      <c r="BU22" s="6"/>
      <c r="BV22" s="6"/>
      <c r="BW22" s="6"/>
      <c r="BX22" s="6"/>
      <c r="BY22" s="6"/>
    </row>
    <row r="23" spans="1:77" s="36" customFormat="1" ht="20.25" customHeight="1">
      <c r="A23" s="337"/>
      <c r="B23" s="156" t="s">
        <v>77</v>
      </c>
      <c r="C23" s="3">
        <v>101</v>
      </c>
      <c r="D23" s="6">
        <v>2.9702970297029702E-2</v>
      </c>
      <c r="E23" s="6">
        <v>0.17061333737750101</v>
      </c>
      <c r="F23" s="6">
        <v>0.20031630767453101</v>
      </c>
      <c r="G23" s="6">
        <v>0</v>
      </c>
      <c r="H23" s="3">
        <v>109</v>
      </c>
      <c r="I23" s="6">
        <v>7.3394495412843999E-2</v>
      </c>
      <c r="J23" s="6">
        <v>0.35241027275008502</v>
      </c>
      <c r="K23" s="6">
        <v>0.425804768162929</v>
      </c>
      <c r="L23" s="6">
        <v>0</v>
      </c>
      <c r="M23" s="3">
        <v>149</v>
      </c>
      <c r="N23" s="6">
        <v>6.7114093959731502E-2</v>
      </c>
      <c r="O23" s="6">
        <v>0.36138677211095399</v>
      </c>
      <c r="P23" s="6">
        <v>0.42850086607068599</v>
      </c>
      <c r="Q23" s="6">
        <v>0</v>
      </c>
      <c r="R23" s="3">
        <v>155</v>
      </c>
      <c r="S23" s="6">
        <v>6.4516129032258099E-3</v>
      </c>
      <c r="T23" s="6">
        <v>8.03219328902499E-2</v>
      </c>
      <c r="U23" s="6">
        <v>8.6773545793475695E-2</v>
      </c>
      <c r="V23" s="6">
        <v>0</v>
      </c>
      <c r="W23" s="3">
        <v>229</v>
      </c>
      <c r="X23" s="4">
        <v>8.7336244541484694E-3</v>
      </c>
      <c r="Y23" s="4">
        <v>0.101982319263972</v>
      </c>
      <c r="Z23" s="4">
        <v>0</v>
      </c>
      <c r="AA23" s="3">
        <v>246</v>
      </c>
      <c r="AB23" s="4">
        <v>0</v>
      </c>
      <c r="AC23" s="4">
        <v>0</v>
      </c>
      <c r="AD23" s="4">
        <v>0</v>
      </c>
      <c r="AE23" s="3">
        <v>210</v>
      </c>
      <c r="AF23" s="6">
        <v>5.2380952380952403E-2</v>
      </c>
      <c r="AG23" s="6">
        <v>0.33270722779601902</v>
      </c>
      <c r="AH23" s="6">
        <v>0</v>
      </c>
      <c r="AI23" s="6">
        <f t="shared" si="0"/>
        <v>3.618421052631577E-2</v>
      </c>
      <c r="AJ23" s="4">
        <v>4.2105263157894727E-3</v>
      </c>
      <c r="AK23" s="4">
        <v>2.7863777089783281E-2</v>
      </c>
      <c r="AL23" s="133">
        <v>5.0377833753148613E-3</v>
      </c>
      <c r="AM23" s="228">
        <f>(表1[[#This Row],[列1682243]]+AL23)/2</f>
        <v>1.6450780232549072E-2</v>
      </c>
      <c r="AN23" s="15">
        <f>IFERROR(VLOOKUP($B23,'2019开发'!$B:$Q,2,0),0)</f>
        <v>340</v>
      </c>
      <c r="AO23" s="17">
        <v>0</v>
      </c>
      <c r="AP23" s="132">
        <f>IFERROR(VLOOKUP($B23,'2019开发'!$B:$Q,4,0),0)</f>
        <v>2.3808285322551056E-3</v>
      </c>
      <c r="AQ23" s="132" t="str">
        <f>IFERROR(VLOOKUP($B23,'2019开发'!$B:$Q,5,0),0)</f>
        <v/>
      </c>
      <c r="AR23" s="17" t="str">
        <f>IFERROR(VLOOKUP($B23,'2019开发'!$B:$Q,6,0),0)</f>
        <v/>
      </c>
      <c r="AS23" s="132">
        <f>表1[[#This Row],[列172]]*1.1</f>
        <v>0</v>
      </c>
      <c r="AT23" s="132" t="e">
        <f>表1[[#This Row],[列18]]*1.1</f>
        <v>#VALUE!</v>
      </c>
      <c r="AU23" s="17" t="e">
        <f>表1[[#This Row],[列19]]*1.1</f>
        <v>#VALUE!</v>
      </c>
      <c r="AV23" s="4" t="s">
        <v>411</v>
      </c>
      <c r="AW23" s="4" t="str">
        <f t="shared" si="5"/>
        <v>Good</v>
      </c>
      <c r="AX23" s="6"/>
      <c r="AY23" s="6"/>
      <c r="AZ23" s="6"/>
      <c r="BA23" s="6"/>
      <c r="BB23" s="6"/>
      <c r="BC23" s="6"/>
      <c r="BD23" s="6"/>
      <c r="BE23" s="6"/>
      <c r="BF23" s="6"/>
      <c r="BG23" s="6"/>
      <c r="BH23" s="6"/>
      <c r="BI23" s="6"/>
      <c r="BJ23" s="6"/>
      <c r="BK23" s="6"/>
      <c r="BL23" s="6"/>
      <c r="BM23" s="6"/>
      <c r="BN23" s="6"/>
      <c r="BO23" s="6"/>
      <c r="BP23" s="6"/>
      <c r="BQ23" s="6"/>
      <c r="BR23" s="6"/>
      <c r="BS23" s="6"/>
      <c r="BT23" s="6"/>
      <c r="BU23" s="6"/>
      <c r="BV23" s="6"/>
      <c r="BW23" s="6"/>
      <c r="BX23" s="6"/>
      <c r="BY23" s="6"/>
    </row>
    <row r="24" spans="1:77" s="36" customFormat="1" ht="20.25" customHeight="1">
      <c r="A24" s="335" t="s">
        <v>75</v>
      </c>
      <c r="B24" s="156" t="s">
        <v>78</v>
      </c>
      <c r="C24" s="3">
        <v>33</v>
      </c>
      <c r="D24" s="6">
        <v>0.72771848969854902</v>
      </c>
      <c r="E24" s="6">
        <v>0.39794758199258701</v>
      </c>
      <c r="F24" s="6">
        <v>1.12566607169114</v>
      </c>
      <c r="G24" s="6">
        <v>0.32977090770596201</v>
      </c>
      <c r="H24" s="3">
        <v>65</v>
      </c>
      <c r="I24" s="6">
        <v>0.67075379962529402</v>
      </c>
      <c r="J24" s="6">
        <v>0.36509238411406802</v>
      </c>
      <c r="K24" s="6">
        <v>1.03584618373936</v>
      </c>
      <c r="L24" s="6">
        <v>0.305661415511226</v>
      </c>
      <c r="M24" s="3">
        <v>83</v>
      </c>
      <c r="N24" s="6">
        <v>0.75334728038115395</v>
      </c>
      <c r="O24" s="6">
        <v>0.56757945158455403</v>
      </c>
      <c r="P24" s="6">
        <v>1.3209267319657101</v>
      </c>
      <c r="Q24" s="6">
        <v>0.1857678287966</v>
      </c>
      <c r="R24" s="3">
        <v>57</v>
      </c>
      <c r="S24" s="6">
        <v>0.65787482912106898</v>
      </c>
      <c r="T24" s="6">
        <v>0.44556646894201102</v>
      </c>
      <c r="U24" s="6">
        <v>1.1034412980630799</v>
      </c>
      <c r="V24" s="6">
        <v>0.21230836017905799</v>
      </c>
      <c r="W24" s="3">
        <v>109</v>
      </c>
      <c r="X24" s="6">
        <v>0.75554980156387297</v>
      </c>
      <c r="Y24" s="6">
        <v>1.5270019650904001</v>
      </c>
      <c r="Z24" s="6">
        <v>0</v>
      </c>
      <c r="AA24" s="3">
        <v>120</v>
      </c>
      <c r="AB24" s="6">
        <v>0.76535915698072721</v>
      </c>
      <c r="AC24" s="6">
        <v>1.214408440572122</v>
      </c>
      <c r="AD24" s="6">
        <v>0.31630987338933236</v>
      </c>
      <c r="AE24" s="3">
        <v>98</v>
      </c>
      <c r="AF24" s="6">
        <v>0.68993578709894099</v>
      </c>
      <c r="AG24" s="6">
        <v>1.0653302170075301</v>
      </c>
      <c r="AH24" s="6">
        <v>0.31454135719034798</v>
      </c>
      <c r="AI24" s="6">
        <f t="shared" si="0"/>
        <v>0.71447635379669072</v>
      </c>
      <c r="AJ24" s="6">
        <v>0.76069007514475728</v>
      </c>
      <c r="AK24" s="6">
        <v>0.58010921653480818</v>
      </c>
      <c r="AL24" s="133">
        <v>0.71453986449812701</v>
      </c>
      <c r="AM24" s="228">
        <f>(表1[[#This Row],[列1682243]]+AL24)/2</f>
        <v>0.64732454051646759</v>
      </c>
      <c r="AN24" s="15">
        <f>IFERROR(VLOOKUP($B24,'2019开发'!$B:$Q,2,0),0)</f>
        <v>6</v>
      </c>
      <c r="AO24" s="132">
        <f>IFERROR(VLOOKUP($B24,'2019开发'!$B:$Q,3,0),0)</f>
        <v>0</v>
      </c>
      <c r="AP24" s="132" t="str">
        <f>IFERROR(VLOOKUP($B24,'2019开发'!$B:$Q,4,0),0)</f>
        <v/>
      </c>
      <c r="AQ24" s="132" t="str">
        <f>IFERROR(VLOOKUP($B24,'2019开发'!$B:$Q,5,0),0)</f>
        <v/>
      </c>
      <c r="AR24" s="132" t="str">
        <f>IFERROR(VLOOKUP($B24,'2019开发'!$B:$Q,6,0),0)</f>
        <v/>
      </c>
      <c r="AS24" s="132">
        <f>表1[[#This Row],[列172]]*1.1</f>
        <v>0</v>
      </c>
      <c r="AT24" s="132" t="e">
        <f>表1[[#This Row],[列18]]*1.1</f>
        <v>#VALUE!</v>
      </c>
      <c r="AU24" s="132" t="e">
        <f>表1[[#This Row],[列19]]*1.1</f>
        <v>#VALUE!</v>
      </c>
      <c r="AV24" s="4" t="s">
        <v>411</v>
      </c>
      <c r="AW24" s="4" t="str">
        <f t="shared" si="4"/>
        <v>Down</v>
      </c>
      <c r="AX24" s="6"/>
      <c r="AY24" s="6"/>
      <c r="AZ24" s="6"/>
      <c r="BA24" s="6"/>
      <c r="BB24" s="6"/>
      <c r="BC24" s="6"/>
      <c r="BD24" s="6"/>
      <c r="BE24" s="6"/>
      <c r="BF24" s="6"/>
      <c r="BG24" s="6"/>
      <c r="BH24" s="6"/>
      <c r="BI24" s="6"/>
      <c r="BJ24" s="6"/>
      <c r="BK24" s="6"/>
      <c r="BL24" s="6"/>
      <c r="BM24" s="6"/>
      <c r="BN24" s="6"/>
      <c r="BO24" s="6"/>
      <c r="BP24" s="6"/>
      <c r="BQ24" s="6"/>
      <c r="BR24" s="6"/>
      <c r="BS24" s="6"/>
      <c r="BT24" s="6"/>
      <c r="BU24" s="6"/>
      <c r="BV24" s="6"/>
      <c r="BW24" s="6"/>
      <c r="BX24" s="6"/>
      <c r="BY24" s="6"/>
    </row>
    <row r="25" spans="1:77" s="36" customFormat="1" ht="20.25" customHeight="1">
      <c r="A25" s="336"/>
      <c r="B25" s="156" t="s">
        <v>79</v>
      </c>
      <c r="C25" s="3">
        <v>29</v>
      </c>
      <c r="D25" s="4">
        <v>6.8388177210816997E-2</v>
      </c>
      <c r="E25" s="4">
        <v>6.8000831889321697E-2</v>
      </c>
      <c r="F25" s="4">
        <v>0.13638900910013901</v>
      </c>
      <c r="G25" s="4">
        <v>3.8734532149525803E-4</v>
      </c>
      <c r="H25" s="3">
        <v>66</v>
      </c>
      <c r="I25" s="4">
        <v>6.9004816984376396E-2</v>
      </c>
      <c r="J25" s="4">
        <v>8.1025738563746799E-2</v>
      </c>
      <c r="K25" s="4">
        <v>0.150030555548123</v>
      </c>
      <c r="L25" s="4">
        <v>0</v>
      </c>
      <c r="M25" s="3">
        <v>62</v>
      </c>
      <c r="N25" s="4">
        <v>0.117161769151919</v>
      </c>
      <c r="O25" s="4">
        <v>0.10792840376901899</v>
      </c>
      <c r="P25" s="4">
        <v>0.225090172920938</v>
      </c>
      <c r="Q25" s="4">
        <v>9.2333653828995006E-3</v>
      </c>
      <c r="R25" s="3">
        <v>120</v>
      </c>
      <c r="S25" s="4">
        <v>5.8399955952397102E-2</v>
      </c>
      <c r="T25" s="4">
        <v>0.100643732686322</v>
      </c>
      <c r="U25" s="4">
        <v>0.15904368863871901</v>
      </c>
      <c r="V25" s="4">
        <v>0</v>
      </c>
      <c r="W25" s="3">
        <v>186</v>
      </c>
      <c r="X25" s="6">
        <v>5.80013105999388E-2</v>
      </c>
      <c r="Y25" s="6">
        <v>0.26290134094979301</v>
      </c>
      <c r="Z25" s="6">
        <v>0</v>
      </c>
      <c r="AA25" s="3">
        <v>76</v>
      </c>
      <c r="AB25" s="6">
        <v>9.2929414821784406E-2</v>
      </c>
      <c r="AC25" s="6">
        <v>0.27214231614589551</v>
      </c>
      <c r="AD25" s="6">
        <v>0</v>
      </c>
      <c r="AE25" s="3">
        <v>95</v>
      </c>
      <c r="AF25" s="4">
        <v>6.8816579579816198E-2</v>
      </c>
      <c r="AG25" s="4">
        <v>0.14574006317831001</v>
      </c>
      <c r="AH25" s="4">
        <v>0</v>
      </c>
      <c r="AI25" s="4">
        <f t="shared" si="0"/>
        <v>7.8417716492893572E-2</v>
      </c>
      <c r="AJ25" s="6">
        <v>6.8133127091771883E-2</v>
      </c>
      <c r="AK25" s="6">
        <v>6.7169716625482254E-2</v>
      </c>
      <c r="AL25" s="133">
        <v>5.6974731371873262E-2</v>
      </c>
      <c r="AM25" s="228">
        <f>(表1[[#This Row],[列1682243]]+AL25)/2</f>
        <v>6.2072223998677761E-2</v>
      </c>
      <c r="AN25" s="15">
        <f>IFERROR(VLOOKUP($B25,'2019开发'!$B:$Q,2,0),0)</f>
        <v>6</v>
      </c>
      <c r="AO25" s="132">
        <f>IFERROR(VLOOKUP($B25,'2019开发'!$B:$Q,3,0),0)</f>
        <v>0</v>
      </c>
      <c r="AP25" s="132" t="str">
        <f>IFERROR(VLOOKUP($B25,'2019开发'!$B:$Q,4,0),0)</f>
        <v/>
      </c>
      <c r="AQ25" s="132" t="str">
        <f>IFERROR(VLOOKUP($B25,'2019开发'!$B:$Q,5,0),0)</f>
        <v/>
      </c>
      <c r="AR25" s="132" t="str">
        <f>IFERROR(VLOOKUP($B25,'2019开发'!$B:$Q,6,0),0)</f>
        <v/>
      </c>
      <c r="AS25" s="132">
        <f>表1[[#This Row],[列172]]*1.1</f>
        <v>0</v>
      </c>
      <c r="AT25" s="132" t="e">
        <f>表1[[#This Row],[列18]]*1.1</f>
        <v>#VALUE!</v>
      </c>
      <c r="AU25" s="132" t="e">
        <f>表1[[#This Row],[列19]]*1.1</f>
        <v>#VALUE!</v>
      </c>
      <c r="AV25" s="4" t="s">
        <v>411</v>
      </c>
      <c r="AW25" s="4" t="str">
        <f t="shared" si="4"/>
        <v>Down</v>
      </c>
      <c r="AX25" s="6"/>
      <c r="AY25" s="6"/>
      <c r="AZ25" s="6"/>
      <c r="BA25" s="6"/>
      <c r="BB25" s="6"/>
      <c r="BC25" s="6"/>
      <c r="BD25" s="6"/>
      <c r="BE25" s="6"/>
      <c r="BF25" s="6"/>
      <c r="BG25" s="6"/>
      <c r="BH25" s="6"/>
      <c r="BI25" s="6"/>
      <c r="BJ25" s="6"/>
      <c r="BK25" s="6"/>
      <c r="BL25" s="6"/>
      <c r="BM25" s="6"/>
      <c r="BN25" s="6"/>
      <c r="BO25" s="6"/>
      <c r="BP25" s="6"/>
      <c r="BQ25" s="6"/>
      <c r="BR25" s="6"/>
      <c r="BS25" s="6"/>
      <c r="BT25" s="6"/>
      <c r="BU25" s="6"/>
      <c r="BV25" s="6"/>
      <c r="BW25" s="6"/>
      <c r="BX25" s="6"/>
      <c r="BY25" s="6"/>
    </row>
    <row r="26" spans="1:77" s="36" customFormat="1" ht="20.25" customHeight="1">
      <c r="A26" s="336"/>
      <c r="B26" s="156" t="s">
        <v>80</v>
      </c>
      <c r="C26" s="3">
        <v>99</v>
      </c>
      <c r="D26" s="4">
        <v>25.857490232399599</v>
      </c>
      <c r="E26" s="4">
        <v>15.7802341920085</v>
      </c>
      <c r="F26" s="4">
        <v>41.637724424408098</v>
      </c>
      <c r="G26" s="4">
        <v>10.077256040390999</v>
      </c>
      <c r="H26" s="3">
        <v>76</v>
      </c>
      <c r="I26" s="4">
        <v>24.314963607861401</v>
      </c>
      <c r="J26" s="4">
        <v>21.297943657988</v>
      </c>
      <c r="K26" s="4">
        <v>45.612907265849401</v>
      </c>
      <c r="L26" s="4">
        <v>3.01701994987341</v>
      </c>
      <c r="M26" s="3">
        <v>88</v>
      </c>
      <c r="N26" s="4">
        <v>30.395230701131901</v>
      </c>
      <c r="O26" s="4">
        <v>19.626424797560901</v>
      </c>
      <c r="P26" s="4">
        <v>50.021655498692802</v>
      </c>
      <c r="Q26" s="4">
        <v>10.768805903571</v>
      </c>
      <c r="R26" s="3">
        <v>137</v>
      </c>
      <c r="S26" s="4">
        <v>27.870710418463599</v>
      </c>
      <c r="T26" s="4">
        <v>33.175090746542601</v>
      </c>
      <c r="U26" s="4">
        <v>61.045801165006203</v>
      </c>
      <c r="V26" s="4">
        <v>0</v>
      </c>
      <c r="W26" s="3">
        <v>189</v>
      </c>
      <c r="X26" s="11">
        <v>40.420817300278003</v>
      </c>
      <c r="Y26" s="11">
        <v>78.819395706459005</v>
      </c>
      <c r="Z26" s="11">
        <v>2.0222388940969398</v>
      </c>
      <c r="AA26" s="3">
        <v>173</v>
      </c>
      <c r="AB26" s="11">
        <v>39.598813971181343</v>
      </c>
      <c r="AC26" s="11">
        <v>83.984177262041982</v>
      </c>
      <c r="AD26" s="11">
        <v>0</v>
      </c>
      <c r="AE26" s="3">
        <v>175</v>
      </c>
      <c r="AF26" s="4">
        <v>25.187592955457301</v>
      </c>
      <c r="AG26" s="4">
        <v>43.527617012793698</v>
      </c>
      <c r="AH26" s="4">
        <v>6.84756889812083</v>
      </c>
      <c r="AI26" s="4">
        <f t="shared" si="0"/>
        <v>28.858078351240536</v>
      </c>
      <c r="AJ26" s="11">
        <v>40.027981455157224</v>
      </c>
      <c r="AK26" s="11">
        <v>52.416123873831914</v>
      </c>
      <c r="AL26" s="133">
        <v>44.122206886651512</v>
      </c>
      <c r="AM26" s="188">
        <f>(表1[[#This Row],[列1682243]]+AL26)/2</f>
        <v>48.269165380241716</v>
      </c>
      <c r="AN26" s="15">
        <f>IFERROR(VLOOKUP($B26,'2019开发'!$B:$Q,2,0),0)</f>
        <v>56</v>
      </c>
      <c r="AO26" s="6">
        <f>IFERROR(VLOOKUP($B26,'2019开发'!$B:$Q,3,0),0)</f>
        <v>0</v>
      </c>
      <c r="AP26" s="132">
        <f>IFERROR(VLOOKUP($B26,'2019开发'!$B:$Q,4,0),0)</f>
        <v>53.483251794152864</v>
      </c>
      <c r="AQ26" s="132" t="str">
        <f>IFERROR(VLOOKUP($B26,'2019开发'!$B:$Q,5,0),0)</f>
        <v/>
      </c>
      <c r="AR26" s="17" t="str">
        <f>IFERROR(VLOOKUP($B26,'2019开发'!$B:$Q,6,0),0)</f>
        <v/>
      </c>
      <c r="AS26" s="132">
        <f>表1[[#This Row],[列172]]*1.1</f>
        <v>0</v>
      </c>
      <c r="AT26" s="132" t="e">
        <f>表1[[#This Row],[列18]]*1.1</f>
        <v>#VALUE!</v>
      </c>
      <c r="AU26" s="17" t="e">
        <f>表1[[#This Row],[列19]]*1.1</f>
        <v>#VALUE!</v>
      </c>
      <c r="AV26" s="4"/>
      <c r="AW26" s="4" t="str">
        <f t="shared" si="4"/>
        <v>Down</v>
      </c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</row>
    <row r="27" spans="1:77" s="55" customFormat="1" ht="20.25" customHeight="1">
      <c r="A27" s="336"/>
      <c r="B27" s="156" t="s">
        <v>81</v>
      </c>
      <c r="C27" s="3"/>
      <c r="D27" s="5"/>
      <c r="E27" s="5"/>
      <c r="F27" s="5"/>
      <c r="G27" s="5"/>
      <c r="H27" s="3">
        <v>70</v>
      </c>
      <c r="I27" s="5">
        <v>0.158459806871665</v>
      </c>
      <c r="J27" s="5">
        <v>0.26766434851975401</v>
      </c>
      <c r="K27" s="5">
        <v>0.42612415539141901</v>
      </c>
      <c r="L27" s="5">
        <v>0</v>
      </c>
      <c r="M27" s="3">
        <v>105</v>
      </c>
      <c r="N27" s="5">
        <v>0.162479283341292</v>
      </c>
      <c r="O27" s="5">
        <v>0.29735173526450198</v>
      </c>
      <c r="P27" s="5">
        <v>0.45983101860579401</v>
      </c>
      <c r="Q27" s="5">
        <v>0</v>
      </c>
      <c r="R27" s="3">
        <v>99</v>
      </c>
      <c r="S27" s="5">
        <v>0.27255515524972201</v>
      </c>
      <c r="T27" s="5">
        <v>0.35755595622111003</v>
      </c>
      <c r="U27" s="5">
        <v>0.63011111147083199</v>
      </c>
      <c r="V27" s="5">
        <v>0</v>
      </c>
      <c r="W27" s="3">
        <v>151</v>
      </c>
      <c r="X27" s="16">
        <v>0.30267685775550401</v>
      </c>
      <c r="Y27" s="16">
        <v>0.66891932450492197</v>
      </c>
      <c r="Z27" s="16">
        <v>0</v>
      </c>
      <c r="AA27" s="3">
        <v>82</v>
      </c>
      <c r="AB27" s="16">
        <v>0.67651414713380853</v>
      </c>
      <c r="AC27" s="16">
        <v>0.95581724036839932</v>
      </c>
      <c r="AD27" s="16">
        <v>0.39721105389921779</v>
      </c>
      <c r="AE27" s="3">
        <v>70</v>
      </c>
      <c r="AF27" s="5">
        <v>0.158459806871665</v>
      </c>
      <c r="AG27" s="5">
        <v>0.42612415539141901</v>
      </c>
      <c r="AH27" s="5">
        <v>0</v>
      </c>
      <c r="AI27" s="5">
        <f t="shared" si="0"/>
        <v>0.2158984564733242</v>
      </c>
      <c r="AJ27" s="16">
        <v>0.43424191238649534</v>
      </c>
      <c r="AK27" s="16">
        <v>0.62038419959817204</v>
      </c>
      <c r="AL27" s="242">
        <v>0.36596255592465327</v>
      </c>
      <c r="AM27" s="189">
        <f>(表1[[#This Row],[列1682243]]+AL27)/2</f>
        <v>0.49317337776141268</v>
      </c>
      <c r="AN27" s="15">
        <f>IFERROR(VLOOKUP($B27,'2019开发'!$B:$Q,2,0),0)</f>
        <v>224</v>
      </c>
      <c r="AO27" s="23">
        <f>IFERROR(VLOOKUP($B27,'2019开发'!$B:$Q,3,0),0)</f>
        <v>0</v>
      </c>
      <c r="AP27" s="23">
        <f>IFERROR(VLOOKUP($B27,'2019开发'!$B:$Q,4,0),0)</f>
        <v>8.6838899914043352E-2</v>
      </c>
      <c r="AQ27" s="23" t="str">
        <f>IFERROR(VLOOKUP($B27,'2019开发'!$B:$Q,5,0),0)</f>
        <v/>
      </c>
      <c r="AR27" s="23" t="str">
        <f>IFERROR(VLOOKUP($B27,'2019开发'!$B:$Q,6,0),0)</f>
        <v/>
      </c>
      <c r="AS27" s="23">
        <f>表1[[#This Row],[列172]]*1.1</f>
        <v>0</v>
      </c>
      <c r="AT27" s="23" t="e">
        <f>表1[[#This Row],[列18]]*1.1</f>
        <v>#VALUE!</v>
      </c>
      <c r="AU27" s="23" t="e">
        <f>表1[[#This Row],[列19]]*1.1</f>
        <v>#VALUE!</v>
      </c>
      <c r="AV27" s="23"/>
      <c r="AW27" s="4" t="str">
        <f t="shared" si="4"/>
        <v>Down</v>
      </c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</row>
    <row r="28" spans="1:77" s="36" customFormat="1" ht="20.25" customHeight="1">
      <c r="A28" s="337"/>
      <c r="B28" s="156" t="s">
        <v>82</v>
      </c>
      <c r="C28" s="3">
        <v>98</v>
      </c>
      <c r="D28" s="6">
        <v>2.6911001586628802</v>
      </c>
      <c r="E28" s="6">
        <v>2.0823637788500702</v>
      </c>
      <c r="F28" s="6">
        <v>4.7734639375129504</v>
      </c>
      <c r="G28" s="6">
        <v>0.60873637981280604</v>
      </c>
      <c r="H28" s="3">
        <v>104</v>
      </c>
      <c r="I28" s="6">
        <v>1.81230433220402</v>
      </c>
      <c r="J28" s="6">
        <v>2.03722219336212</v>
      </c>
      <c r="K28" s="6">
        <v>3.8495265255661399</v>
      </c>
      <c r="L28" s="6">
        <v>0</v>
      </c>
      <c r="M28" s="3">
        <v>136</v>
      </c>
      <c r="N28" s="6">
        <v>2.43408404443782</v>
      </c>
      <c r="O28" s="6">
        <v>2.9622808490638999</v>
      </c>
      <c r="P28" s="6">
        <v>5.3963648935017199</v>
      </c>
      <c r="Q28" s="6">
        <v>0</v>
      </c>
      <c r="R28" s="3">
        <v>113</v>
      </c>
      <c r="S28" s="6">
        <v>2.26163750288694</v>
      </c>
      <c r="T28" s="6">
        <v>1.98915796748662</v>
      </c>
      <c r="U28" s="6">
        <v>4.2507954703735598</v>
      </c>
      <c r="V28" s="6">
        <v>0.272479535400317</v>
      </c>
      <c r="W28" s="3">
        <v>203</v>
      </c>
      <c r="X28" s="6">
        <v>3.2235911388776799</v>
      </c>
      <c r="Y28" s="6">
        <v>7.8908723820338196</v>
      </c>
      <c r="Z28" s="6">
        <v>0</v>
      </c>
      <c r="AA28" s="3">
        <v>146</v>
      </c>
      <c r="AB28" s="6">
        <v>2.1966435979767955</v>
      </c>
      <c r="AC28" s="6">
        <v>3.9463735176719976</v>
      </c>
      <c r="AD28" s="6">
        <v>0.44691367828159345</v>
      </c>
      <c r="AE28" s="3">
        <v>202</v>
      </c>
      <c r="AF28" s="6">
        <v>2.23865082226822</v>
      </c>
      <c r="AG28" s="6">
        <v>4.3394197658361104</v>
      </c>
      <c r="AH28" s="6">
        <v>0.13788187870033</v>
      </c>
      <c r="AI28" s="6">
        <f t="shared" si="0"/>
        <v>2.3558251721677417</v>
      </c>
      <c r="AJ28" s="6">
        <v>2.0682818357542847</v>
      </c>
      <c r="AK28" s="6">
        <v>3.7310296749989065</v>
      </c>
      <c r="AL28" s="133">
        <v>2.1842218146090135</v>
      </c>
      <c r="AM28" s="228">
        <f>(表1[[#This Row],[列1682243]]+AL28)/2</f>
        <v>2.95762574480396</v>
      </c>
      <c r="AN28" s="15">
        <f>IFERROR(VLOOKUP($B28,'2019开发'!$B:$Q,2,0),0)</f>
        <v>39</v>
      </c>
      <c r="AO28" s="6">
        <f>IFERROR(VLOOKUP($B28,'2019开发'!$B:$Q,3,0),0)</f>
        <v>0</v>
      </c>
      <c r="AP28" s="132">
        <f>IFERROR(VLOOKUP($B28,'2019开发'!$B:$Q,4,0),0)</f>
        <v>0.58742295237034947</v>
      </c>
      <c r="AQ28" s="132" t="str">
        <f>IFERROR(VLOOKUP($B28,'2019开发'!$B:$Q,5,0),0)</f>
        <v/>
      </c>
      <c r="AR28" s="132" t="str">
        <f>IFERROR(VLOOKUP($B28,'2019开发'!$B:$Q,6,0),0)</f>
        <v/>
      </c>
      <c r="AS28" s="132">
        <f>表1[[#This Row],[列172]]*1.1</f>
        <v>0</v>
      </c>
      <c r="AT28" s="132" t="e">
        <f>表1[[#This Row],[列18]]*1.1</f>
        <v>#VALUE!</v>
      </c>
      <c r="AU28" s="132" t="e">
        <f>表1[[#This Row],[列19]]*1.1</f>
        <v>#VALUE!</v>
      </c>
      <c r="AV28" s="4" t="s">
        <v>411</v>
      </c>
      <c r="AW28" s="4" t="str">
        <f t="shared" si="4"/>
        <v>Down</v>
      </c>
      <c r="AX28" s="6"/>
      <c r="AY28" s="6"/>
      <c r="AZ28" s="6"/>
      <c r="BA28" s="6"/>
      <c r="BB28" s="6"/>
      <c r="BC28" s="6"/>
      <c r="BD28" s="6"/>
      <c r="BE28" s="6"/>
      <c r="BF28" s="6"/>
      <c r="BG28" s="6"/>
      <c r="BH28" s="6"/>
      <c r="BI28" s="6"/>
      <c r="BJ28" s="6"/>
      <c r="BK28" s="6"/>
      <c r="BL28" s="6"/>
      <c r="BM28" s="6"/>
      <c r="BN28" s="6"/>
      <c r="BO28" s="6"/>
      <c r="BP28" s="6"/>
      <c r="BQ28" s="6"/>
      <c r="BR28" s="6"/>
      <c r="BS28" s="6"/>
      <c r="BT28" s="6"/>
      <c r="BU28" s="6"/>
      <c r="BV28" s="6"/>
      <c r="BW28" s="6"/>
      <c r="BX28" s="6"/>
      <c r="BY28" s="6"/>
    </row>
    <row r="29" spans="1:77" s="36" customFormat="1" ht="20.25" customHeight="1">
      <c r="A29" s="60" t="s">
        <v>83</v>
      </c>
      <c r="B29" s="156" t="s">
        <v>84</v>
      </c>
      <c r="C29" s="3"/>
      <c r="D29" s="5"/>
      <c r="E29" s="5"/>
      <c r="F29" s="5"/>
      <c r="G29" s="5"/>
      <c r="H29" s="3"/>
      <c r="I29" s="3"/>
      <c r="J29" s="3"/>
      <c r="K29" s="3"/>
      <c r="L29" s="3"/>
      <c r="M29" s="3">
        <v>52</v>
      </c>
      <c r="N29" s="6">
        <v>0.25394490539550102</v>
      </c>
      <c r="O29" s="6">
        <v>0.37062011495198099</v>
      </c>
      <c r="P29" s="6">
        <v>0.62456502034748196</v>
      </c>
      <c r="Q29" s="6">
        <v>0</v>
      </c>
      <c r="R29" s="3">
        <v>25</v>
      </c>
      <c r="S29" s="6">
        <v>0.25116483532419598</v>
      </c>
      <c r="T29" s="6">
        <v>0.51398253281558004</v>
      </c>
      <c r="U29" s="6">
        <v>0.76514736813977602</v>
      </c>
      <c r="V29" s="6">
        <v>0</v>
      </c>
      <c r="W29" s="3">
        <v>67</v>
      </c>
      <c r="X29" s="3">
        <v>0.178843797885474</v>
      </c>
      <c r="Y29" s="3">
        <v>0.66333508221104598</v>
      </c>
      <c r="Z29" s="3">
        <v>0</v>
      </c>
      <c r="AA29" s="3">
        <v>48</v>
      </c>
      <c r="AB29" s="3">
        <v>0.36317790537613814</v>
      </c>
      <c r="AC29" s="3">
        <v>1.1599376117330844</v>
      </c>
      <c r="AD29" s="3">
        <v>0</v>
      </c>
      <c r="AE29" s="3"/>
      <c r="AF29" s="3"/>
      <c r="AG29" s="3"/>
      <c r="AH29" s="3"/>
      <c r="AI29" s="6">
        <f t="shared" si="0"/>
        <v>0.2530422852424799</v>
      </c>
      <c r="AJ29" s="6">
        <v>0.2557832514467947</v>
      </c>
      <c r="AK29" s="6">
        <v>0.18069080398944357</v>
      </c>
      <c r="AL29" s="133">
        <v>0.24449957510038708</v>
      </c>
      <c r="AM29" s="188">
        <f>(表1[[#This Row],[列1682243]]+AL29)/2</f>
        <v>0.21259518954491533</v>
      </c>
      <c r="AN29" s="15">
        <f>IFERROR(VLOOKUP($B29,'2019开发'!$B:$Q,2,0),0)</f>
        <v>13</v>
      </c>
      <c r="AO29" s="6">
        <f>IFERROR(VLOOKUP($B29,'2019开发'!$B:$Q,3,0),0)</f>
        <v>0</v>
      </c>
      <c r="AP29" s="132">
        <f>IFERROR(VLOOKUP($B29,'2019开发'!$B:$Q,4,0),0)</f>
        <v>2.8262117900353888E-2</v>
      </c>
      <c r="AQ29" s="132" t="str">
        <f>IFERROR(VLOOKUP($B29,'2019开发'!$B:$Q,5,0),0)</f>
        <v/>
      </c>
      <c r="AR29" s="132" t="str">
        <f>IFERROR(VLOOKUP($B29,'2019开发'!$B:$Q,6,0),0)</f>
        <v/>
      </c>
      <c r="AS29" s="132">
        <f>表1[[#This Row],[列172]]*1.1</f>
        <v>0</v>
      </c>
      <c r="AT29" s="132" t="e">
        <f>表1[[#This Row],[列18]]*1.1</f>
        <v>#VALUE!</v>
      </c>
      <c r="AU29" s="132" t="e">
        <f>表1[[#This Row],[列19]]*1.1</f>
        <v>#VALUE!</v>
      </c>
      <c r="AV29" s="4"/>
      <c r="AW29" s="4" t="str">
        <f t="shared" si="5"/>
        <v>Good</v>
      </c>
      <c r="AX29" s="6"/>
      <c r="AY29" s="6"/>
      <c r="AZ29" s="6"/>
      <c r="BA29" s="6"/>
      <c r="BB29" s="6"/>
      <c r="BC29" s="6"/>
      <c r="BD29" s="6"/>
      <c r="BE29" s="6"/>
      <c r="BF29" s="6"/>
      <c r="BG29" s="6"/>
      <c r="BH29" s="6"/>
      <c r="BI29" s="6"/>
      <c r="BJ29" s="6"/>
      <c r="BK29" s="6"/>
      <c r="BL29" s="6"/>
      <c r="BM29" s="6"/>
      <c r="BN29" s="6"/>
      <c r="BO29" s="6"/>
      <c r="BP29" s="6"/>
      <c r="BQ29" s="6"/>
      <c r="BR29" s="6"/>
      <c r="BS29" s="6"/>
      <c r="BT29" s="6"/>
      <c r="BU29" s="6"/>
      <c r="BV29" s="6"/>
      <c r="BW29" s="6"/>
      <c r="BX29" s="6"/>
      <c r="BY29" s="6"/>
    </row>
    <row r="30" spans="1:77" s="36" customFormat="1" ht="20.25" customHeight="1">
      <c r="A30" s="334" t="s">
        <v>85</v>
      </c>
      <c r="B30" s="156" t="s">
        <v>86</v>
      </c>
      <c r="C30" s="3"/>
      <c r="D30" s="5"/>
      <c r="E30" s="5"/>
      <c r="F30" s="5"/>
      <c r="G30" s="5"/>
      <c r="H30" s="3"/>
      <c r="I30" s="3"/>
      <c r="J30" s="3"/>
      <c r="K30" s="3"/>
      <c r="L30" s="3"/>
      <c r="M30" s="3"/>
      <c r="N30" s="3" t="s">
        <v>87</v>
      </c>
      <c r="O30" s="3" t="s">
        <v>87</v>
      </c>
      <c r="P30" s="3" t="s">
        <v>87</v>
      </c>
      <c r="Q30" s="3" t="s">
        <v>87</v>
      </c>
      <c r="R30" s="3"/>
      <c r="S30" s="3"/>
      <c r="T30" s="3"/>
      <c r="U30" s="3"/>
      <c r="V30" s="3"/>
      <c r="W30" s="3">
        <v>2</v>
      </c>
      <c r="X30" s="3">
        <v>0.11874999999999999</v>
      </c>
      <c r="Y30" s="3">
        <v>0.28668786053180501</v>
      </c>
      <c r="Z30" s="3">
        <v>0</v>
      </c>
      <c r="AA30" s="3"/>
      <c r="AB30" s="3"/>
      <c r="AC30" s="3"/>
      <c r="AD30" s="3"/>
      <c r="AE30" s="3"/>
      <c r="AF30" s="3"/>
      <c r="AG30" s="3"/>
      <c r="AH30" s="3"/>
      <c r="AI30" s="3"/>
      <c r="AJ30" s="3">
        <v>0.11874999999999999</v>
      </c>
      <c r="AK30" s="3">
        <v>0.24831717302305537</v>
      </c>
      <c r="AL30" s="133">
        <v>8.6417748917748931E-3</v>
      </c>
      <c r="AM30" s="188">
        <f>(表1[[#This Row],[列1682243]]+AL30)/2</f>
        <v>0.12847947395741513</v>
      </c>
      <c r="AN30" s="15">
        <f>IFERROR(VLOOKUP($B30,'2019开发'!$B:$Q,2,0),0)</f>
        <v>1</v>
      </c>
      <c r="AO30" s="17">
        <f>IFERROR(VLOOKUP($B30,'2019开发'!$B:$Q,3,0),0)</f>
        <v>0</v>
      </c>
      <c r="AP30" s="132" t="str">
        <f>IFERROR(VLOOKUP($B30,'2019开发'!$B:$Q,4,0),0)</f>
        <v/>
      </c>
      <c r="AQ30" s="132" t="str">
        <f>IFERROR(VLOOKUP($B30,'2019开发'!$B:$Q,5,0),0)</f>
        <v/>
      </c>
      <c r="AR30" s="132" t="str">
        <f>IFERROR(VLOOKUP($B30,'2019开发'!$B:$Q,6,0),0)</f>
        <v/>
      </c>
      <c r="AS30" s="132">
        <f>表1[[#This Row],[列172]]*1.1</f>
        <v>0</v>
      </c>
      <c r="AT30" s="132" t="e">
        <f>表1[[#This Row],[列18]]*1.1</f>
        <v>#VALUE!</v>
      </c>
      <c r="AU30" s="132" t="e">
        <f>表1[[#This Row],[列19]]*1.1</f>
        <v>#VALUE!</v>
      </c>
      <c r="AV30" s="4"/>
      <c r="AW30" s="4" t="str">
        <f t="shared" si="5"/>
        <v>Good</v>
      </c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</row>
    <row r="31" spans="1:77" s="54" customFormat="1" ht="20.25" customHeight="1">
      <c r="A31" s="334"/>
      <c r="B31" s="156" t="s">
        <v>88</v>
      </c>
      <c r="C31" s="3"/>
      <c r="D31" s="5"/>
      <c r="E31" s="5"/>
      <c r="F31" s="5"/>
      <c r="G31" s="5"/>
      <c r="H31" s="3"/>
      <c r="I31" s="3"/>
      <c r="J31" s="3"/>
      <c r="K31" s="3"/>
      <c r="L31" s="3"/>
      <c r="M31" s="3"/>
      <c r="N31" s="3" t="s">
        <v>87</v>
      </c>
      <c r="O31" s="3" t="s">
        <v>87</v>
      </c>
      <c r="P31" s="3" t="s">
        <v>87</v>
      </c>
      <c r="Q31" s="3" t="s">
        <v>87</v>
      </c>
      <c r="R31" s="3"/>
      <c r="S31" s="3"/>
      <c r="T31" s="3"/>
      <c r="U31" s="3"/>
      <c r="V31" s="3"/>
      <c r="W31" s="3">
        <v>180</v>
      </c>
      <c r="X31" s="3">
        <v>0</v>
      </c>
      <c r="Y31" s="3">
        <v>0</v>
      </c>
      <c r="Z31" s="3">
        <v>0</v>
      </c>
      <c r="AA31" s="3"/>
      <c r="AB31" s="3"/>
      <c r="AC31" s="3"/>
      <c r="AD31" s="3"/>
      <c r="AE31" s="3"/>
      <c r="AF31" s="3"/>
      <c r="AG31" s="3"/>
      <c r="AH31" s="3"/>
      <c r="AI31" s="3"/>
      <c r="AJ31" s="3">
        <v>0</v>
      </c>
      <c r="AK31" s="3">
        <v>7.7735633283543978E-2</v>
      </c>
      <c r="AL31" s="133">
        <v>7.1295599039657024E-3</v>
      </c>
      <c r="AM31" s="228">
        <f>(表1[[#This Row],[列1682243]]+AL31)/2</f>
        <v>4.243259659375484E-2</v>
      </c>
      <c r="AN31" s="15">
        <f>IFERROR(VLOOKUP($B31,'2019开发'!$B:$Q,2,0),0)</f>
        <v>20</v>
      </c>
      <c r="AO31" s="6">
        <f>IFERROR(VLOOKUP($B31,'2019开发'!$B:$Q,3,0),0)</f>
        <v>0</v>
      </c>
      <c r="AP31" s="132" t="str">
        <f>IFERROR(VLOOKUP($B31,'2019开发'!$B:$Q,4,0),0)</f>
        <v/>
      </c>
      <c r="AQ31" s="132" t="str">
        <f>IFERROR(VLOOKUP($B31,'2019开发'!$B:$Q,5,0),0)</f>
        <v/>
      </c>
      <c r="AR31" s="132" t="str">
        <f>IFERROR(VLOOKUP($B31,'2019开发'!$B:$Q,6,0),0)</f>
        <v/>
      </c>
      <c r="AS31" s="132">
        <f>表1[[#This Row],[列172]]*1.1</f>
        <v>0</v>
      </c>
      <c r="AT31" s="132" t="e">
        <f>表1[[#This Row],[列18]]*1.1</f>
        <v>#VALUE!</v>
      </c>
      <c r="AU31" s="132" t="e">
        <f>表1[[#This Row],[列19]]*1.1</f>
        <v>#VALUE!</v>
      </c>
      <c r="AV31" s="4"/>
      <c r="AW31" s="4" t="str">
        <f t="shared" si="5"/>
        <v>Good</v>
      </c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X31" s="4"/>
      <c r="BY31" s="4"/>
    </row>
    <row r="32" spans="1:77" s="54" customFormat="1" ht="20.25" customHeight="1">
      <c r="A32" s="334" t="s">
        <v>89</v>
      </c>
      <c r="B32" s="156" t="s">
        <v>90</v>
      </c>
      <c r="C32" s="3">
        <v>82</v>
      </c>
      <c r="D32" s="4">
        <v>1.68170731707317</v>
      </c>
      <c r="E32" s="4">
        <v>2.22511634035031</v>
      </c>
      <c r="F32" s="4">
        <v>3.9068236574234798</v>
      </c>
      <c r="G32" s="4">
        <v>0</v>
      </c>
      <c r="H32" s="3">
        <v>86</v>
      </c>
      <c r="I32" s="4">
        <v>1.2452380952380999</v>
      </c>
      <c r="J32" s="4">
        <v>1.96250422526779</v>
      </c>
      <c r="K32" s="4">
        <v>3.2077423205058802</v>
      </c>
      <c r="L32" s="4">
        <v>0</v>
      </c>
      <c r="M32" s="3">
        <v>119</v>
      </c>
      <c r="N32" s="4">
        <v>1.0546218487395</v>
      </c>
      <c r="O32" s="4">
        <v>2.4845880161562102</v>
      </c>
      <c r="P32" s="4">
        <v>3.5392098648957102</v>
      </c>
      <c r="Q32" s="4">
        <v>0</v>
      </c>
      <c r="R32" s="3">
        <v>133</v>
      </c>
      <c r="S32" s="4">
        <v>1.3345864661654101</v>
      </c>
      <c r="T32" s="4">
        <v>3.44803512586653</v>
      </c>
      <c r="U32" s="4">
        <v>4.7826215920319397</v>
      </c>
      <c r="V32" s="4">
        <v>0</v>
      </c>
      <c r="W32" s="3">
        <v>202</v>
      </c>
      <c r="X32" s="4">
        <v>0.561386138613861</v>
      </c>
      <c r="Y32" s="4">
        <v>2.5861566395592002</v>
      </c>
      <c r="Z32" s="4">
        <v>0</v>
      </c>
      <c r="AA32" s="3">
        <v>266</v>
      </c>
      <c r="AB32" s="4">
        <v>0.74714285714285622</v>
      </c>
      <c r="AC32" s="4">
        <v>2.443044719481783</v>
      </c>
      <c r="AD32" s="4">
        <v>0</v>
      </c>
      <c r="AE32" s="3">
        <v>168</v>
      </c>
      <c r="AF32" s="4">
        <v>1.4608433734939801</v>
      </c>
      <c r="AG32" s="4">
        <v>3.5622361034762799</v>
      </c>
      <c r="AH32" s="4">
        <v>0</v>
      </c>
      <c r="AI32" s="4">
        <f t="shared" ref="AI32:AI46" si="9">SUM(N32*$M32,S32*$R32)/SUM($M32,$R32)</f>
        <v>1.2023809523809526</v>
      </c>
      <c r="AJ32" s="4">
        <v>0.66696581196581117</v>
      </c>
      <c r="AK32" s="4">
        <v>1.8693749999999998</v>
      </c>
      <c r="AL32" s="133">
        <v>1.5412195121951215</v>
      </c>
      <c r="AM32" s="188">
        <f>(表1[[#This Row],[列1682243]]+AL32)/2</f>
        <v>1.7052972560975608</v>
      </c>
      <c r="AN32" s="15">
        <f>IFERROR(VLOOKUP($B32,'2019开发'!$B:$Q,2,0),0)</f>
        <v>69</v>
      </c>
      <c r="AO32" s="6">
        <f>IFERROR(VLOOKUP($B32,'2019开发'!$B:$Q,3,0),0)</f>
        <v>0</v>
      </c>
      <c r="AP32" s="132">
        <f>IFERROR(VLOOKUP($B32,'2019开发'!$B:$Q,4,0),0)</f>
        <v>2.7021580768802145</v>
      </c>
      <c r="AQ32" s="132" t="str">
        <f>IFERROR(VLOOKUP($B32,'2019开发'!$B:$Q,5,0),0)</f>
        <v/>
      </c>
      <c r="AR32" s="132" t="str">
        <f>IFERROR(VLOOKUP($B32,'2019开发'!$B:$Q,6,0),0)</f>
        <v/>
      </c>
      <c r="AS32" s="132">
        <f>表1[[#This Row],[列172]]*1.1</f>
        <v>0</v>
      </c>
      <c r="AT32" s="132" t="e">
        <f>表1[[#This Row],[列18]]*1.1</f>
        <v>#VALUE!</v>
      </c>
      <c r="AU32" s="132" t="e">
        <f>表1[[#This Row],[列19]]*1.1</f>
        <v>#VALUE!</v>
      </c>
      <c r="AV32" s="4"/>
      <c r="AW32" s="4" t="str">
        <f t="shared" si="5"/>
        <v>Good</v>
      </c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</row>
    <row r="33" spans="1:77" s="54" customFormat="1">
      <c r="A33" s="334"/>
      <c r="B33" s="156" t="s">
        <v>91</v>
      </c>
      <c r="C33" s="3"/>
      <c r="D33" s="5"/>
      <c r="E33" s="5"/>
      <c r="F33" s="5"/>
      <c r="G33" s="5"/>
      <c r="H33" s="3">
        <v>80</v>
      </c>
      <c r="I33" s="4">
        <v>0.83750000000000002</v>
      </c>
      <c r="J33" s="4">
        <v>3.7465384867783502</v>
      </c>
      <c r="K33" s="4">
        <v>4.5840384867783497</v>
      </c>
      <c r="L33" s="4">
        <v>0</v>
      </c>
      <c r="M33" s="3">
        <v>95</v>
      </c>
      <c r="N33" s="4">
        <v>0.105263157894737</v>
      </c>
      <c r="O33" s="4">
        <v>1.02597835208515</v>
      </c>
      <c r="P33" s="4">
        <v>1.13124150997989</v>
      </c>
      <c r="Q33" s="4">
        <v>0</v>
      </c>
      <c r="R33" s="3">
        <v>112</v>
      </c>
      <c r="S33" s="4">
        <v>9.1071428571428595E-2</v>
      </c>
      <c r="T33" s="4">
        <v>0.44001506350721198</v>
      </c>
      <c r="U33" s="4">
        <v>0.531086492078641</v>
      </c>
      <c r="V33" s="4">
        <v>0</v>
      </c>
      <c r="W33" s="3">
        <v>132</v>
      </c>
      <c r="X33" s="4">
        <v>0</v>
      </c>
      <c r="Y33" s="4">
        <v>0</v>
      </c>
      <c r="Z33" s="4">
        <v>0</v>
      </c>
      <c r="AA33" s="3">
        <v>223</v>
      </c>
      <c r="AB33" s="4">
        <v>0</v>
      </c>
      <c r="AC33" s="4">
        <v>0</v>
      </c>
      <c r="AD33" s="4">
        <v>0</v>
      </c>
      <c r="AE33" s="3">
        <v>127</v>
      </c>
      <c r="AF33" s="4">
        <v>0.52755905511810997</v>
      </c>
      <c r="AG33" s="4">
        <v>3.52180425415593</v>
      </c>
      <c r="AH33" s="4">
        <v>0</v>
      </c>
      <c r="AI33" s="4">
        <f t="shared" si="9"/>
        <v>9.758454106280201E-2</v>
      </c>
      <c r="AJ33" s="4">
        <v>0</v>
      </c>
      <c r="AK33" s="4">
        <v>2.6905829596412557E-2</v>
      </c>
      <c r="AL33" s="133">
        <v>1.4184397163120567E-2</v>
      </c>
      <c r="AM33" s="228">
        <f>(表1[[#This Row],[列1682243]]+AL33)/2</f>
        <v>2.0545113379766562E-2</v>
      </c>
      <c r="AN33" s="15">
        <f>IFERROR(VLOOKUP($B33,'2019开发'!$B:$Q,2,0),0)</f>
        <v>223</v>
      </c>
      <c r="AO33" s="6">
        <f>IFERROR(VLOOKUP($B33,'2019开发'!$B:$Q,3,0),0)</f>
        <v>0</v>
      </c>
      <c r="AP33" s="132">
        <f>IFERROR(VLOOKUP($B33,'2019开发'!$B:$Q,4,0),0)</f>
        <v>0</v>
      </c>
      <c r="AQ33" s="132" t="str">
        <f>IFERROR(VLOOKUP($B33,'2019开发'!$B:$Q,5,0),0)</f>
        <v/>
      </c>
      <c r="AR33" s="132" t="str">
        <f>IFERROR(VLOOKUP($B33,'2019开发'!$B:$Q,6,0),0)</f>
        <v/>
      </c>
      <c r="AS33" s="132">
        <f>表1[[#This Row],[列172]]*1.1</f>
        <v>0</v>
      </c>
      <c r="AT33" s="132" t="e">
        <f>表1[[#This Row],[列18]]*1.1</f>
        <v>#VALUE!</v>
      </c>
      <c r="AU33" s="132" t="e">
        <f>表1[[#This Row],[列19]]*1.1</f>
        <v>#VALUE!</v>
      </c>
      <c r="AV33" s="4"/>
      <c r="AW33" s="4" t="str">
        <f t="shared" si="5"/>
        <v>Good</v>
      </c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  <c r="BY33" s="4"/>
    </row>
    <row r="34" spans="1:77" s="54" customFormat="1">
      <c r="A34" s="331" t="s">
        <v>14</v>
      </c>
      <c r="B34" s="156" t="s">
        <v>403</v>
      </c>
      <c r="C34" s="3">
        <v>57</v>
      </c>
      <c r="D34" s="4">
        <v>0.64912280701754399</v>
      </c>
      <c r="E34" s="4">
        <v>3.36203184776162</v>
      </c>
      <c r="F34" s="4">
        <v>4.0111546547791601</v>
      </c>
      <c r="G34" s="4">
        <v>0</v>
      </c>
      <c r="H34" s="3">
        <v>103</v>
      </c>
      <c r="I34" s="4">
        <v>0</v>
      </c>
      <c r="J34" s="4">
        <v>0</v>
      </c>
      <c r="K34" s="4">
        <v>0</v>
      </c>
      <c r="L34" s="4">
        <v>0</v>
      </c>
      <c r="M34" s="3">
        <v>125</v>
      </c>
      <c r="N34" s="4">
        <v>0</v>
      </c>
      <c r="O34" s="4">
        <v>0</v>
      </c>
      <c r="P34" s="4">
        <v>0</v>
      </c>
      <c r="Q34" s="4">
        <v>0</v>
      </c>
      <c r="R34" s="3">
        <v>151</v>
      </c>
      <c r="S34" s="4">
        <v>0</v>
      </c>
      <c r="T34" s="4">
        <v>0</v>
      </c>
      <c r="U34" s="4">
        <v>0</v>
      </c>
      <c r="V34" s="4">
        <v>0</v>
      </c>
      <c r="W34" s="3">
        <v>169</v>
      </c>
      <c r="X34" s="9">
        <v>0</v>
      </c>
      <c r="Y34" s="9">
        <v>0</v>
      </c>
      <c r="Z34" s="9">
        <v>0</v>
      </c>
      <c r="AA34" s="3">
        <v>231</v>
      </c>
      <c r="AB34" s="9">
        <v>0</v>
      </c>
      <c r="AC34" s="9">
        <v>0</v>
      </c>
      <c r="AD34" s="9">
        <v>0</v>
      </c>
      <c r="AE34" s="3">
        <v>183</v>
      </c>
      <c r="AF34" s="4">
        <v>3.25</v>
      </c>
      <c r="AG34" s="4">
        <v>28.166368495316799</v>
      </c>
      <c r="AH34" s="4">
        <v>0</v>
      </c>
      <c r="AI34" s="4">
        <f t="shared" si="9"/>
        <v>0</v>
      </c>
      <c r="AJ34" s="9">
        <v>2.5000000000000005E-3</v>
      </c>
      <c r="AK34" s="9">
        <v>0.18181818181818182</v>
      </c>
      <c r="AL34" s="133">
        <v>0.79750778816199375</v>
      </c>
      <c r="AM34" s="228">
        <f>(表1[[#This Row],[列1682243]]+AL34)/2</f>
        <v>0.48966298499008776</v>
      </c>
      <c r="AN34" s="15">
        <f>IFERROR(VLOOKUP($B34,'2019开发'!$B:$Q,2,0),0)</f>
        <v>332</v>
      </c>
      <c r="AO34" s="3">
        <v>0</v>
      </c>
      <c r="AP34" s="132">
        <f>IFERROR(VLOOKUP($B34,'2019开发'!$B:$Q,4,0),0)</f>
        <v>0.69692423140542681</v>
      </c>
      <c r="AQ34" s="132" t="str">
        <f>IFERROR(VLOOKUP($B34,'2019开发'!$B:$Q,5,0),0)</f>
        <v/>
      </c>
      <c r="AR34" s="132" t="str">
        <f>IFERROR(VLOOKUP($B34,'2019开发'!$B:$Q,6,0),0)</f>
        <v/>
      </c>
      <c r="AS34" s="132">
        <f>表1[[#This Row],[列172]]*1.1</f>
        <v>0</v>
      </c>
      <c r="AT34" s="132" t="e">
        <f>表1[[#This Row],[列18]]*1.1</f>
        <v>#VALUE!</v>
      </c>
      <c r="AU34" s="132" t="e">
        <f>表1[[#This Row],[列19]]*1.1</f>
        <v>#VALUE!</v>
      </c>
      <c r="AV34" s="4" t="s">
        <v>411</v>
      </c>
      <c r="AW34" s="4" t="str">
        <f t="shared" si="5"/>
        <v>Good</v>
      </c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</row>
    <row r="35" spans="1:77" s="54" customFormat="1">
      <c r="A35" s="331"/>
      <c r="B35" s="156" t="s">
        <v>92</v>
      </c>
      <c r="C35" s="3">
        <v>85</v>
      </c>
      <c r="D35" s="4">
        <v>5.5440941176470604</v>
      </c>
      <c r="E35" s="4">
        <v>2.8781666189215902</v>
      </c>
      <c r="F35" s="4">
        <v>8.4222607365686493</v>
      </c>
      <c r="G35" s="4">
        <v>2.6659274987254702</v>
      </c>
      <c r="H35" s="3">
        <v>110</v>
      </c>
      <c r="I35" s="4">
        <v>5.30075727272727</v>
      </c>
      <c r="J35" s="4">
        <v>5.3139651618685004</v>
      </c>
      <c r="K35" s="4">
        <v>10.6147224345958</v>
      </c>
      <c r="L35" s="4">
        <v>0</v>
      </c>
      <c r="M35" s="3">
        <v>143</v>
      </c>
      <c r="N35" s="4">
        <v>4.4494914893616997</v>
      </c>
      <c r="O35" s="4">
        <v>4.11407020765306</v>
      </c>
      <c r="P35" s="4">
        <v>8.5635616970147606</v>
      </c>
      <c r="Q35" s="4">
        <v>0.33542128170864799</v>
      </c>
      <c r="R35" s="3">
        <v>157</v>
      </c>
      <c r="S35" s="4">
        <v>5.0266690322580603</v>
      </c>
      <c r="T35" s="4">
        <v>2.2977492380551099</v>
      </c>
      <c r="U35" s="4">
        <v>7.3244182703131804</v>
      </c>
      <c r="V35" s="4">
        <v>2.7289197942029499</v>
      </c>
      <c r="W35" s="3">
        <v>153</v>
      </c>
      <c r="X35" s="7">
        <v>5.6877228758169904</v>
      </c>
      <c r="Y35" s="7">
        <v>9.1762715392920793</v>
      </c>
      <c r="Z35" s="7">
        <v>2.19917421234191</v>
      </c>
      <c r="AA35" s="3">
        <v>189</v>
      </c>
      <c r="AB35" s="7">
        <v>5.6638818181818111</v>
      </c>
      <c r="AC35" s="7">
        <v>8.8148565786945383</v>
      </c>
      <c r="AD35" s="7">
        <v>2.5129070576690835</v>
      </c>
      <c r="AE35" s="3">
        <v>218</v>
      </c>
      <c r="AF35" s="4">
        <v>5.5264102803738302</v>
      </c>
      <c r="AG35" s="4">
        <v>9.8584670393609901</v>
      </c>
      <c r="AH35" s="4">
        <v>1.1943535213866701</v>
      </c>
      <c r="AI35" s="4">
        <f t="shared" si="9"/>
        <v>4.7515477368107959</v>
      </c>
      <c r="AJ35" s="7">
        <v>5.6745475544922854</v>
      </c>
      <c r="AK35" s="7">
        <v>6.5578673076923062</v>
      </c>
      <c r="AL35" s="133">
        <v>6.3638461538461524</v>
      </c>
      <c r="AM35" s="228">
        <f>(表1[[#This Row],[列1682243]]+AL35)/2</f>
        <v>6.4608567307692297</v>
      </c>
      <c r="AN35" s="15">
        <f>IFERROR(VLOOKUP($B35,'2019开发'!$B:$Q,2,0),0)</f>
        <v>221</v>
      </c>
      <c r="AO35" s="6">
        <f>IFERROR(VLOOKUP($B35,'2019开发'!$B:$Q,3,0),0)</f>
        <v>0</v>
      </c>
      <c r="AP35" s="132">
        <f>IFERROR(VLOOKUP($B35,'2019开发'!$B:$Q,4,0),0)</f>
        <v>1.6011360277967048</v>
      </c>
      <c r="AQ35" s="132" t="str">
        <f>IFERROR(VLOOKUP($B35,'2019开发'!$B:$Q,5,0),0)</f>
        <v/>
      </c>
      <c r="AR35" s="132" t="str">
        <f>IFERROR(VLOOKUP($B35,'2019开发'!$B:$Q,6,0),0)</f>
        <v/>
      </c>
      <c r="AS35" s="132">
        <f>表1[[#This Row],[列172]]*1.1</f>
        <v>0</v>
      </c>
      <c r="AT35" s="132" t="e">
        <f>表1[[#This Row],[列18]]*1.1</f>
        <v>#VALUE!</v>
      </c>
      <c r="AU35" s="132" t="e">
        <f>表1[[#This Row],[列19]]*1.1</f>
        <v>#VALUE!</v>
      </c>
      <c r="AV35" s="4" t="s">
        <v>411</v>
      </c>
      <c r="AW35" s="4" t="str">
        <f t="shared" si="5"/>
        <v>Good</v>
      </c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</row>
    <row r="36" spans="1:77" s="54" customFormat="1">
      <c r="A36" s="331"/>
      <c r="B36" s="156" t="s">
        <v>93</v>
      </c>
      <c r="C36" s="3">
        <v>89</v>
      </c>
      <c r="D36" s="16">
        <v>5.8606741573033701E-2</v>
      </c>
      <c r="E36" s="16">
        <v>4.3382492273415001E-2</v>
      </c>
      <c r="F36" s="16">
        <v>0.10198923384644901</v>
      </c>
      <c r="G36" s="16">
        <v>1.52242492996187E-2</v>
      </c>
      <c r="H36" s="3">
        <v>93</v>
      </c>
      <c r="I36" s="5">
        <v>6.2627956989247294E-2</v>
      </c>
      <c r="J36" s="5">
        <v>5.1460923050558702E-2</v>
      </c>
      <c r="K36" s="5">
        <v>0.114088880039806</v>
      </c>
      <c r="L36" s="5">
        <v>1.11670339386887E-2</v>
      </c>
      <c r="M36" s="3">
        <v>141</v>
      </c>
      <c r="N36" s="5">
        <v>5.7748201438848901E-2</v>
      </c>
      <c r="O36" s="5">
        <v>6.8865651976177902E-2</v>
      </c>
      <c r="P36" s="5">
        <v>0.12661385341502701</v>
      </c>
      <c r="Q36" s="5">
        <v>0</v>
      </c>
      <c r="R36" s="3">
        <v>140</v>
      </c>
      <c r="S36" s="5">
        <v>6.8905072463768105E-2</v>
      </c>
      <c r="T36" s="5">
        <v>6.9562131365188198E-2</v>
      </c>
      <c r="U36" s="5">
        <v>0.138467203828956</v>
      </c>
      <c r="V36" s="5">
        <v>0</v>
      </c>
      <c r="W36" s="3">
        <v>147</v>
      </c>
      <c r="X36" s="68">
        <v>7.1638095238095306E-2</v>
      </c>
      <c r="Y36" s="68">
        <v>0.128832051875131</v>
      </c>
      <c r="Z36" s="68">
        <v>1.44441386010599E-2</v>
      </c>
      <c r="AA36" s="3">
        <v>176</v>
      </c>
      <c r="AB36" s="68">
        <v>7.3464161849710941E-2</v>
      </c>
      <c r="AC36" s="68">
        <v>0.10435881573015238</v>
      </c>
      <c r="AD36" s="68">
        <v>4.2569507969269504E-2</v>
      </c>
      <c r="AE36" s="3">
        <v>199</v>
      </c>
      <c r="AF36" s="5">
        <v>5.7464102564102601E-2</v>
      </c>
      <c r="AG36" s="5">
        <v>0.10517312334104401</v>
      </c>
      <c r="AH36" s="5">
        <v>9.7550817871616506E-3</v>
      </c>
      <c r="AI36" s="5">
        <f t="shared" si="9"/>
        <v>6.3306784867634261E-2</v>
      </c>
      <c r="AJ36" s="68">
        <v>7.2633103670430757E-2</v>
      </c>
      <c r="AK36" s="68">
        <v>6.5477403846153831E-2</v>
      </c>
      <c r="AL36" s="243">
        <v>6.9721287128712908E-2</v>
      </c>
      <c r="AM36" s="189">
        <f>(表1[[#This Row],[列1682243]]+AL36)/2</f>
        <v>6.7599345487433377E-2</v>
      </c>
      <c r="AN36" s="15">
        <f>IFERROR(VLOOKUP($B36,'2019开发'!$B:$Q,2,0),0)</f>
        <v>194</v>
      </c>
      <c r="AO36" s="23">
        <f>IFERROR(VLOOKUP($B36,'2019开发'!$B:$Q,3,0),0)</f>
        <v>0</v>
      </c>
      <c r="AP36" s="23">
        <f>IFERROR(VLOOKUP($B36,'2019开发'!$B:$Q,4,0),0)</f>
        <v>1.2492689248245186E-2</v>
      </c>
      <c r="AQ36" s="23" t="str">
        <f>IFERROR(VLOOKUP($B36,'2019开发'!$B:$Q,5,0),0)</f>
        <v/>
      </c>
      <c r="AR36" s="23" t="str">
        <f>IFERROR(VLOOKUP($B36,'2019开发'!$B:$Q,6,0),0)</f>
        <v/>
      </c>
      <c r="AS36" s="23">
        <f>表1[[#This Row],[列172]]*1.1</f>
        <v>0</v>
      </c>
      <c r="AT36" s="22" t="e">
        <f>表1[[#This Row],[列18]]*1.1</f>
        <v>#VALUE!</v>
      </c>
      <c r="AU36" s="22" t="e">
        <f>表1[[#This Row],[列19]]*1.1</f>
        <v>#VALUE!</v>
      </c>
      <c r="AV36" s="4" t="s">
        <v>411</v>
      </c>
      <c r="AW36" s="4" t="str">
        <f t="shared" si="5"/>
        <v>Good</v>
      </c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</row>
    <row r="37" spans="1:77" s="54" customFormat="1">
      <c r="A37" s="331"/>
      <c r="B37" s="156" t="s">
        <v>15</v>
      </c>
      <c r="C37" s="14"/>
      <c r="D37" s="7"/>
      <c r="E37" s="7"/>
      <c r="F37" s="7"/>
      <c r="G37" s="7"/>
      <c r="H37" s="3"/>
      <c r="I37" s="7"/>
      <c r="J37" s="7"/>
      <c r="K37" s="7"/>
      <c r="L37" s="7"/>
      <c r="M37" s="3"/>
      <c r="N37" s="7"/>
      <c r="O37" s="7"/>
      <c r="P37" s="7"/>
      <c r="Q37" s="7"/>
      <c r="R37" s="3">
        <v>96</v>
      </c>
      <c r="S37" s="7">
        <v>0.19791666666666699</v>
      </c>
      <c r="T37" s="7">
        <v>1.1203363373433599</v>
      </c>
      <c r="U37" s="7">
        <v>1.31825300401002</v>
      </c>
      <c r="V37" s="7">
        <v>0</v>
      </c>
      <c r="W37" s="3">
        <v>102</v>
      </c>
      <c r="X37" s="9">
        <v>0</v>
      </c>
      <c r="Y37" s="9">
        <v>0</v>
      </c>
      <c r="Z37" s="9">
        <v>0</v>
      </c>
      <c r="AA37" s="3">
        <v>224</v>
      </c>
      <c r="AB37" s="9">
        <v>0</v>
      </c>
      <c r="AC37" s="9">
        <v>0</v>
      </c>
      <c r="AD37" s="9">
        <v>0</v>
      </c>
      <c r="AE37" s="3"/>
      <c r="AF37" s="7"/>
      <c r="AG37" s="7"/>
      <c r="AH37" s="7"/>
      <c r="AI37" s="7">
        <f t="shared" si="9"/>
        <v>0.19791666666666699</v>
      </c>
      <c r="AJ37" s="9">
        <v>0</v>
      </c>
      <c r="AK37" s="9">
        <v>0.69204651162790698</v>
      </c>
      <c r="AL37" s="133">
        <v>0</v>
      </c>
      <c r="AM37" s="188">
        <f>(表1[[#This Row],[列1682243]]+AL37)/2</f>
        <v>0.34602325581395349</v>
      </c>
      <c r="AN37" s="15">
        <f>IFERROR(VLOOKUP($B37,'2019开发'!$B:$Q,2,0),0)</f>
        <v>252</v>
      </c>
      <c r="AO37" s="6">
        <f>IFERROR(VLOOKUP($B37,'2019开发'!$B:$Q,3,0),0)</f>
        <v>0</v>
      </c>
      <c r="AP37" s="132">
        <f>IFERROR(VLOOKUP($B37,'2019开发'!$B:$Q,4,0),0)</f>
        <v>2.3663961292976974</v>
      </c>
      <c r="AQ37" s="132" t="str">
        <f>IFERROR(VLOOKUP($B37,'2019开发'!$B:$Q,5,0),0)</f>
        <v/>
      </c>
      <c r="AR37" s="132" t="str">
        <f>IFERROR(VLOOKUP($B37,'2019开发'!$B:$Q,6,0),0)</f>
        <v/>
      </c>
      <c r="AS37" s="132">
        <f>表1[[#This Row],[列172]]*1.1</f>
        <v>0</v>
      </c>
      <c r="AT37" s="132" t="e">
        <f>表1[[#This Row],[列18]]*1.1</f>
        <v>#VALUE!</v>
      </c>
      <c r="AU37" s="132" t="e">
        <f>表1[[#This Row],[列19]]*1.1</f>
        <v>#VALUE!</v>
      </c>
      <c r="AV37" s="4" t="s">
        <v>411</v>
      </c>
      <c r="AW37" s="4" t="str">
        <f t="shared" si="5"/>
        <v>Good</v>
      </c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</row>
    <row r="38" spans="1:77" s="54" customFormat="1">
      <c r="A38" s="331"/>
      <c r="B38" s="156" t="s">
        <v>16</v>
      </c>
      <c r="C38" s="14"/>
      <c r="D38" s="7"/>
      <c r="E38" s="7"/>
      <c r="F38" s="7"/>
      <c r="G38" s="7"/>
      <c r="H38" s="3"/>
      <c r="I38" s="7"/>
      <c r="J38" s="7"/>
      <c r="K38" s="7"/>
      <c r="L38" s="7"/>
      <c r="M38" s="3"/>
      <c r="N38" s="7"/>
      <c r="O38" s="7"/>
      <c r="P38" s="7"/>
      <c r="Q38" s="7"/>
      <c r="R38" s="3">
        <v>84</v>
      </c>
      <c r="S38" s="7">
        <v>15.9277108433735</v>
      </c>
      <c r="T38" s="7">
        <v>83.303263651190505</v>
      </c>
      <c r="U38" s="7">
        <v>99.230974494563995</v>
      </c>
      <c r="V38" s="7">
        <v>0</v>
      </c>
      <c r="W38" s="3">
        <v>94</v>
      </c>
      <c r="X38" s="9">
        <v>0</v>
      </c>
      <c r="Y38" s="9">
        <v>0</v>
      </c>
      <c r="Z38" s="9">
        <v>0</v>
      </c>
      <c r="AA38" s="3">
        <v>212</v>
      </c>
      <c r="AB38" s="9">
        <v>0</v>
      </c>
      <c r="AC38" s="9">
        <v>0</v>
      </c>
      <c r="AD38" s="9">
        <v>0</v>
      </c>
      <c r="AE38" s="3"/>
      <c r="AF38" s="7"/>
      <c r="AG38" s="7"/>
      <c r="AH38" s="7"/>
      <c r="AI38" s="7">
        <f t="shared" si="9"/>
        <v>15.927710843373498</v>
      </c>
      <c r="AJ38" s="9">
        <v>0</v>
      </c>
      <c r="AK38" s="9">
        <v>0.4552238805970148</v>
      </c>
      <c r="AL38" s="133">
        <v>5.3191489361702126E-3</v>
      </c>
      <c r="AM38" s="188">
        <f>(表1[[#This Row],[列1682243]]+AL38)/2</f>
        <v>0.23027151476659249</v>
      </c>
      <c r="AN38" s="15">
        <f>IFERROR(VLOOKUP($B38,'2019开发'!$B:$Q,2,0),0)</f>
        <v>109</v>
      </c>
      <c r="AO38" s="6">
        <f>IFERROR(VLOOKUP($B38,'2019开发'!$B:$Q,3,0),0)</f>
        <v>0</v>
      </c>
      <c r="AP38" s="132">
        <f>IFERROR(VLOOKUP($B38,'2019开发'!$B:$Q,4,0),0)</f>
        <v>1.0559461030016848</v>
      </c>
      <c r="AQ38" s="132" t="str">
        <f>IFERROR(VLOOKUP($B38,'2019开发'!$B:$Q,5,0),0)</f>
        <v/>
      </c>
      <c r="AR38" s="132" t="str">
        <f>IFERROR(VLOOKUP($B38,'2019开发'!$B:$Q,6,0),0)</f>
        <v/>
      </c>
      <c r="AS38" s="132">
        <f>表1[[#This Row],[列172]]*1.1</f>
        <v>0</v>
      </c>
      <c r="AT38" s="132" t="e">
        <f>表1[[#This Row],[列18]]*1.1</f>
        <v>#VALUE!</v>
      </c>
      <c r="AU38" s="132" t="e">
        <f>表1[[#This Row],[列19]]*1.1</f>
        <v>#VALUE!</v>
      </c>
      <c r="AV38" s="4" t="s">
        <v>411</v>
      </c>
      <c r="AW38" s="4" t="str">
        <f t="shared" si="5"/>
        <v>Good</v>
      </c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</row>
    <row r="39" spans="1:77">
      <c r="A39" s="331"/>
      <c r="B39" s="156" t="s">
        <v>404</v>
      </c>
      <c r="C39" s="3">
        <v>51</v>
      </c>
      <c r="D39" s="4">
        <v>184.82509803921599</v>
      </c>
      <c r="E39" s="4">
        <v>108.633122745736</v>
      </c>
      <c r="F39" s="4">
        <v>293.458220784952</v>
      </c>
      <c r="G39" s="4">
        <v>76.191975293479203</v>
      </c>
      <c r="H39" s="3">
        <v>57</v>
      </c>
      <c r="I39" s="4">
        <v>174.79040000000001</v>
      </c>
      <c r="J39" s="4">
        <v>116.631088234201</v>
      </c>
      <c r="K39" s="4">
        <v>291.42148823420098</v>
      </c>
      <c r="L39" s="4">
        <v>58.159311765799501</v>
      </c>
      <c r="M39" s="3">
        <v>78</v>
      </c>
      <c r="N39" s="4">
        <v>156.424375</v>
      </c>
      <c r="O39" s="4">
        <v>107.272518187714</v>
      </c>
      <c r="P39" s="4">
        <v>263.69689318771401</v>
      </c>
      <c r="Q39" s="4">
        <v>49.151856812286198</v>
      </c>
      <c r="R39" s="3">
        <v>91</v>
      </c>
      <c r="S39" s="4">
        <v>121.38943820224701</v>
      </c>
      <c r="T39" s="4">
        <v>83.502542249806993</v>
      </c>
      <c r="U39" s="4">
        <v>204.89198045205401</v>
      </c>
      <c r="V39" s="4">
        <v>37.886895952440199</v>
      </c>
      <c r="W39" s="3">
        <v>80</v>
      </c>
      <c r="X39" s="61">
        <v>91.916708860759499</v>
      </c>
      <c r="Y39" s="61">
        <v>142.91187883620299</v>
      </c>
      <c r="Z39" s="61">
        <v>40.921538885315698</v>
      </c>
      <c r="AA39" s="3">
        <v>64</v>
      </c>
      <c r="AB39" s="61">
        <v>91.666557377049159</v>
      </c>
      <c r="AC39" s="61">
        <v>120.82168602166594</v>
      </c>
      <c r="AD39" s="61">
        <v>62.511428732432378</v>
      </c>
      <c r="AE39" s="3">
        <v>112</v>
      </c>
      <c r="AF39" s="4">
        <v>179.85742574257401</v>
      </c>
      <c r="AG39" s="4">
        <v>292.068735240801</v>
      </c>
      <c r="AH39" s="4">
        <v>67.646116244347198</v>
      </c>
      <c r="AI39" s="4">
        <f t="shared" si="9"/>
        <v>137.55940903197916</v>
      </c>
      <c r="AJ39" s="61">
        <v>91.805530423554899</v>
      </c>
      <c r="AK39" s="61">
        <v>98.357751479289888</v>
      </c>
      <c r="AL39" s="133">
        <v>95.381531531531564</v>
      </c>
      <c r="AM39" s="188">
        <f>(表1[[#This Row],[列1682243]]+AL39)/2</f>
        <v>96.869641505410726</v>
      </c>
      <c r="AN39" s="15">
        <f>IFERROR(VLOOKUP($B39,'2019开发'!$B:$Q,2,0),0)</f>
        <v>121</v>
      </c>
      <c r="AO39" s="6">
        <f>IFERROR(VLOOKUP($B39,'2019开发'!$B:$Q,3,0),0)</f>
        <v>0</v>
      </c>
      <c r="AP39" s="132">
        <f>IFERROR(VLOOKUP($B39,'2019开发'!$B:$Q,4,0),0)</f>
        <v>14.614886711535652</v>
      </c>
      <c r="AQ39" s="132" t="str">
        <f>IFERROR(VLOOKUP($B39,'2019开发'!$B:$Q,5,0),0)</f>
        <v/>
      </c>
      <c r="AR39" s="132" t="str">
        <f>IFERROR(VLOOKUP($B39,'2019开发'!$B:$Q,6,0),0)</f>
        <v/>
      </c>
      <c r="AS39" s="132">
        <f>表1[[#This Row],[列172]]*1.1</f>
        <v>0</v>
      </c>
      <c r="AT39" s="132" t="e">
        <f>表1[[#This Row],[列18]]*1.1</f>
        <v>#VALUE!</v>
      </c>
      <c r="AU39" s="132" t="e">
        <f>表1[[#This Row],[列19]]*1.1</f>
        <v>#VALUE!</v>
      </c>
      <c r="AV39" s="4" t="s">
        <v>411</v>
      </c>
      <c r="AW39" s="4" t="str">
        <f t="shared" si="5"/>
        <v>Good</v>
      </c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</row>
    <row r="40" spans="1:77" s="54" customFormat="1">
      <c r="A40" s="82" t="s">
        <v>94</v>
      </c>
      <c r="B40" s="156" t="s">
        <v>95</v>
      </c>
      <c r="C40" s="3"/>
      <c r="D40" s="5"/>
      <c r="E40" s="5"/>
      <c r="F40" s="5"/>
      <c r="G40" s="5"/>
      <c r="H40" s="3">
        <v>92</v>
      </c>
      <c r="I40" s="5">
        <v>0.93627142857142898</v>
      </c>
      <c r="J40" s="5">
        <v>0.12960261253000799</v>
      </c>
      <c r="K40" s="5">
        <v>1</v>
      </c>
      <c r="L40" s="5">
        <v>0.80666881604142004</v>
      </c>
      <c r="M40" s="3">
        <v>124</v>
      </c>
      <c r="N40" s="5">
        <v>0.95682419354838699</v>
      </c>
      <c r="O40" s="5">
        <v>7.0308205781101502E-2</v>
      </c>
      <c r="P40" s="5">
        <v>1</v>
      </c>
      <c r="Q40" s="5">
        <v>0.74589957620508196</v>
      </c>
      <c r="R40" s="3">
        <v>161</v>
      </c>
      <c r="S40" s="5">
        <v>0.97291320754717003</v>
      </c>
      <c r="T40" s="5">
        <v>5.1910154994425403E-2</v>
      </c>
      <c r="U40" s="5">
        <v>1</v>
      </c>
      <c r="V40" s="5">
        <v>0.81718274256389301</v>
      </c>
      <c r="W40" s="3">
        <v>199</v>
      </c>
      <c r="X40" s="5">
        <v>0.98212590673575195</v>
      </c>
      <c r="Y40" s="5">
        <v>1</v>
      </c>
      <c r="Z40" s="5">
        <v>0.84423358283554895</v>
      </c>
      <c r="AA40" s="3">
        <v>209</v>
      </c>
      <c r="AB40" s="5">
        <v>0.95536346153846086</v>
      </c>
      <c r="AC40" s="5">
        <v>1</v>
      </c>
      <c r="AD40" s="5">
        <v>0.75065800799842908</v>
      </c>
      <c r="AE40" s="3">
        <v>92</v>
      </c>
      <c r="AF40" s="5">
        <v>0.93627142857142898</v>
      </c>
      <c r="AG40" s="5">
        <v>1</v>
      </c>
      <c r="AH40" s="5">
        <v>0.80666881604142004</v>
      </c>
      <c r="AI40" s="5">
        <f t="shared" si="9"/>
        <v>0.96591307514068203</v>
      </c>
      <c r="AJ40" s="5">
        <v>0.96841671299498266</v>
      </c>
      <c r="AK40" s="5">
        <v>0.96805133165124768</v>
      </c>
      <c r="AL40" s="243">
        <v>0.9757228937728939</v>
      </c>
      <c r="AM40" s="189">
        <f>(表1[[#This Row],[列1682243]]+AL40)/2</f>
        <v>0.97188711271207073</v>
      </c>
      <c r="AN40" s="15">
        <f>IFERROR(VLOOKUP($B40,'2019开发'!$B:$Q,2,0),0)</f>
        <v>265</v>
      </c>
      <c r="AO40" s="22">
        <f>IFERROR(VLOOKUP($B40,'2019开发'!$B:$Q,3,0),0)</f>
        <v>0</v>
      </c>
      <c r="AP40" s="23">
        <f>IFERROR(VLOOKUP($B40,'2019开发'!$B:$Q,4,0),0)</f>
        <v>1.3882933847974005E-2</v>
      </c>
      <c r="AQ40" s="23" t="str">
        <f>IFERROR(VLOOKUP($B40,'2019开发'!$B:$Q,5,0),0)</f>
        <v/>
      </c>
      <c r="AR40" s="23" t="str">
        <f>IFERROR(VLOOKUP($B40,'2019开发'!$B:$Q,6,0),0)</f>
        <v/>
      </c>
      <c r="AS40" s="23">
        <f>IF(表1[[#This Row],[列172]]*1.1&gt;100%,100%,表1[[#This Row],[列172]]*1.1)</f>
        <v>0</v>
      </c>
      <c r="AT40" s="22" t="e">
        <f>表1[[#This Row],[列18]]*1.1</f>
        <v>#VALUE!</v>
      </c>
      <c r="AU40" s="22" t="e">
        <f>表1[[#This Row],[列19]]*1.1</f>
        <v>#VALUE!</v>
      </c>
      <c r="AV40" s="4" t="s">
        <v>411</v>
      </c>
      <c r="AW40" s="4" t="str">
        <f t="shared" si="4"/>
        <v>Down</v>
      </c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</row>
    <row r="41" spans="1:77">
      <c r="A41" s="331" t="s">
        <v>96</v>
      </c>
      <c r="B41" s="157" t="s">
        <v>405</v>
      </c>
      <c r="C41" s="64"/>
      <c r="D41" s="9"/>
      <c r="E41" s="9"/>
      <c r="F41" s="9"/>
      <c r="G41" s="9"/>
      <c r="H41" s="8"/>
      <c r="I41" s="9"/>
      <c r="J41" s="9"/>
      <c r="K41" s="9"/>
      <c r="L41" s="9"/>
      <c r="M41" s="8">
        <v>45</v>
      </c>
      <c r="N41" s="9">
        <v>16.403111111111102</v>
      </c>
      <c r="O41" s="9">
        <v>15.0775088101182</v>
      </c>
      <c r="P41" s="9">
        <v>31.480619921229302</v>
      </c>
      <c r="Q41" s="9">
        <v>1.3256023009929101</v>
      </c>
      <c r="R41" s="3">
        <v>85</v>
      </c>
      <c r="S41" s="9">
        <v>4.9668235294117702</v>
      </c>
      <c r="T41" s="9">
        <v>4.6290534905623399</v>
      </c>
      <c r="U41" s="9">
        <v>9.5958770199741092</v>
      </c>
      <c r="V41" s="9">
        <v>0.33777003884942403</v>
      </c>
      <c r="W41" s="3">
        <v>110</v>
      </c>
      <c r="X41" s="4">
        <v>4.9370909090909096</v>
      </c>
      <c r="Y41" s="4">
        <v>9.3398747126653596</v>
      </c>
      <c r="Z41" s="4">
        <v>0.53430710551645599</v>
      </c>
      <c r="AA41" s="3">
        <v>198</v>
      </c>
      <c r="AB41" s="4">
        <v>4.8138743455497481</v>
      </c>
      <c r="AC41" s="4">
        <v>6.9586770391917607</v>
      </c>
      <c r="AD41" s="4">
        <v>2.6690716519077355</v>
      </c>
      <c r="AE41" s="8"/>
      <c r="AF41" s="9"/>
      <c r="AG41" s="9"/>
      <c r="AH41" s="9"/>
      <c r="AI41" s="9">
        <f t="shared" si="9"/>
        <v>8.9255384615384603</v>
      </c>
      <c r="AJ41" s="4">
        <v>4.8578802611001626</v>
      </c>
      <c r="AK41" s="4">
        <v>3.639010416666665</v>
      </c>
      <c r="AL41" s="133">
        <v>4.060892857142858</v>
      </c>
      <c r="AM41" s="188">
        <f>(表1[[#This Row],[列1682243]]+AL41)/2</f>
        <v>3.8499516369047617</v>
      </c>
      <c r="AN41" s="15">
        <f>IFERROR(VLOOKUP($B41,'2019开发'!$B:$Q,2,0),0)</f>
        <v>237</v>
      </c>
      <c r="AO41" s="6">
        <f>IFERROR(VLOOKUP($B41,'2019开发'!$B:$Q,3,0),0)</f>
        <v>0</v>
      </c>
      <c r="AP41" s="132">
        <f>IFERROR(VLOOKUP($B41,'2019开发'!$B:$Q,4,0),0)</f>
        <v>5.5118311484414394E-2</v>
      </c>
      <c r="AQ41" s="132" t="str">
        <f>IFERROR(VLOOKUP($B41,'2019开发'!$B:$Q,5,0),0)</f>
        <v/>
      </c>
      <c r="AR41" s="132" t="str">
        <f>IFERROR(VLOOKUP($B41,'2019开发'!$B:$Q,6,0),0)</f>
        <v/>
      </c>
      <c r="AS41" s="132">
        <f>表1[[#This Row],[列172]]*0.9</f>
        <v>0</v>
      </c>
      <c r="AT41" s="11" t="str">
        <f>表1[[#This Row],[列18]]</f>
        <v/>
      </c>
      <c r="AU41" s="11" t="str">
        <f>表1[[#This Row],[列19]]</f>
        <v/>
      </c>
      <c r="AV41" s="4" t="s">
        <v>411</v>
      </c>
      <c r="AW41" s="4" t="str">
        <f t="shared" si="5"/>
        <v>Good</v>
      </c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</row>
    <row r="42" spans="1:77">
      <c r="A42" s="331"/>
      <c r="B42" s="157" t="s">
        <v>406</v>
      </c>
      <c r="C42" s="65"/>
      <c r="D42" s="7"/>
      <c r="E42" s="7"/>
      <c r="F42" s="7"/>
      <c r="G42" s="7"/>
      <c r="H42" s="8">
        <v>84</v>
      </c>
      <c r="I42" s="7">
        <v>23.699349397590399</v>
      </c>
      <c r="J42" s="7">
        <v>21.282245650142698</v>
      </c>
      <c r="K42" s="7">
        <v>44.981595047733101</v>
      </c>
      <c r="L42" s="7">
        <v>2.41710374744765</v>
      </c>
      <c r="M42" s="10">
        <v>115</v>
      </c>
      <c r="N42" s="7">
        <v>24.452285714285701</v>
      </c>
      <c r="O42" s="7">
        <v>19.5423212962882</v>
      </c>
      <c r="P42" s="7">
        <v>43.994607010574001</v>
      </c>
      <c r="Q42" s="7">
        <v>4.9099644179974797</v>
      </c>
      <c r="R42" s="3">
        <v>141</v>
      </c>
      <c r="S42" s="7">
        <v>19.428333333333299</v>
      </c>
      <c r="T42" s="7">
        <v>13.227285920489701</v>
      </c>
      <c r="U42" s="7">
        <v>32.655619253822998</v>
      </c>
      <c r="V42" s="7">
        <v>6.2010474128436597</v>
      </c>
      <c r="W42" s="3">
        <v>116</v>
      </c>
      <c r="X42" s="4">
        <v>19.650350877192999</v>
      </c>
      <c r="Y42" s="4">
        <v>37.170698791154003</v>
      </c>
      <c r="Z42" s="4">
        <v>2.1300029632319699</v>
      </c>
      <c r="AA42" s="3">
        <v>179</v>
      </c>
      <c r="AB42" s="4">
        <v>18.427877094972068</v>
      </c>
      <c r="AC42" s="4">
        <v>36.894823514851481</v>
      </c>
      <c r="AD42" s="4">
        <v>0</v>
      </c>
      <c r="AE42" s="8">
        <v>84</v>
      </c>
      <c r="AF42" s="7">
        <v>23.699349397590399</v>
      </c>
      <c r="AG42" s="7">
        <v>44.981595047733101</v>
      </c>
      <c r="AH42" s="7">
        <v>2.41710374744765</v>
      </c>
      <c r="AI42" s="7">
        <f t="shared" si="9"/>
        <v>21.685186941964261</v>
      </c>
      <c r="AJ42" s="4">
        <v>18.908578650014871</v>
      </c>
      <c r="AK42" s="4">
        <v>16.736053811659193</v>
      </c>
      <c r="AL42" s="133">
        <v>14.292220507544583</v>
      </c>
      <c r="AM42" s="188">
        <f>(表1[[#This Row],[列1682243]]+AL42)/2</f>
        <v>15.514137159601887</v>
      </c>
      <c r="AN42" s="15">
        <f>IFERROR(VLOOKUP($B42,'2019开发'!$B:$Q,2,0),0)</f>
        <v>235</v>
      </c>
      <c r="AO42" s="6">
        <f>IFERROR(VLOOKUP($B42,'2019开发'!$B:$Q,3,0),0)</f>
        <v>0</v>
      </c>
      <c r="AP42" s="132">
        <f>IFERROR(VLOOKUP($B42,'2019开发'!$B:$Q,4,0),0)</f>
        <v>10.367296239731886</v>
      </c>
      <c r="AQ42" s="132" t="str">
        <f>IFERROR(VLOOKUP($B42,'2019开发'!$B:$Q,5,0),0)</f>
        <v/>
      </c>
      <c r="AR42" s="132" t="str">
        <f>IFERROR(VLOOKUP($B42,'2019开发'!$B:$Q,6,0),0)</f>
        <v/>
      </c>
      <c r="AS42" s="132">
        <f>表1[[#This Row],[列172]]*0.9</f>
        <v>0</v>
      </c>
      <c r="AT42" s="11" t="str">
        <f>表1[[#This Row],[列18]]</f>
        <v/>
      </c>
      <c r="AU42" s="11" t="str">
        <f>表1[[#This Row],[列19]]</f>
        <v/>
      </c>
      <c r="AV42" s="4" t="s">
        <v>411</v>
      </c>
      <c r="AW42" s="4" t="str">
        <f t="shared" si="5"/>
        <v>Good</v>
      </c>
      <c r="AX42" s="7"/>
      <c r="AY42" s="7"/>
      <c r="AZ42" s="7"/>
      <c r="BA42" s="7"/>
      <c r="BB42" s="7"/>
      <c r="BC42" s="7"/>
      <c r="BD42" s="7"/>
      <c r="BE42" s="7"/>
      <c r="BF42" s="7"/>
      <c r="BG42" s="7"/>
      <c r="BH42" s="7"/>
      <c r="BI42" s="7"/>
      <c r="BJ42" s="7"/>
      <c r="BK42" s="7"/>
      <c r="BL42" s="7"/>
      <c r="BM42" s="7"/>
      <c r="BN42" s="7"/>
      <c r="BO42" s="7"/>
      <c r="BP42" s="7"/>
      <c r="BQ42" s="7"/>
      <c r="BR42" s="7"/>
      <c r="BS42" s="7"/>
      <c r="BT42" s="7"/>
      <c r="BU42" s="7"/>
      <c r="BV42" s="7"/>
      <c r="BW42" s="7"/>
      <c r="BX42" s="7"/>
      <c r="BY42" s="7"/>
    </row>
    <row r="43" spans="1:77">
      <c r="A43" s="331"/>
      <c r="B43" s="158" t="s">
        <v>407</v>
      </c>
      <c r="C43" s="66"/>
      <c r="D43" s="61"/>
      <c r="E43" s="61"/>
      <c r="F43" s="61"/>
      <c r="G43" s="61"/>
      <c r="H43" s="30"/>
      <c r="I43" s="61"/>
      <c r="J43" s="61"/>
      <c r="K43" s="61"/>
      <c r="L43" s="61"/>
      <c r="M43" s="30">
        <v>15</v>
      </c>
      <c r="N43" s="61">
        <v>4.1866666666666701</v>
      </c>
      <c r="O43" s="61">
        <v>2.2244956624774401</v>
      </c>
      <c r="P43" s="61">
        <v>6.4111623291441102</v>
      </c>
      <c r="Q43" s="61">
        <v>1.96217100418923</v>
      </c>
      <c r="R43" s="3">
        <v>50</v>
      </c>
      <c r="S43" s="61">
        <v>1.34115942028985</v>
      </c>
      <c r="T43" s="61">
        <v>0.92299973045253803</v>
      </c>
      <c r="U43" s="61">
        <v>2.2641591507423899</v>
      </c>
      <c r="V43" s="61">
        <v>0.41815968983731699</v>
      </c>
      <c r="W43" s="3">
        <v>64</v>
      </c>
      <c r="X43" s="12">
        <v>1.4817708333333299</v>
      </c>
      <c r="Y43" s="12">
        <v>2.2288446000812798</v>
      </c>
      <c r="Z43" s="12">
        <v>0.73469706658538902</v>
      </c>
      <c r="AA43" s="3">
        <v>83</v>
      </c>
      <c r="AB43" s="12">
        <v>1.6059756097560971</v>
      </c>
      <c r="AC43" s="12">
        <v>2.6465106807487451</v>
      </c>
      <c r="AD43" s="12">
        <v>0.56544053876344913</v>
      </c>
      <c r="AE43" s="30"/>
      <c r="AF43" s="61"/>
      <c r="AG43" s="61"/>
      <c r="AH43" s="61"/>
      <c r="AI43" s="61">
        <f t="shared" si="9"/>
        <v>1.9978149386845006</v>
      </c>
      <c r="AJ43" s="12">
        <v>1.5519000608373412</v>
      </c>
      <c r="AK43" s="12">
        <v>2.2000641025641019</v>
      </c>
      <c r="AL43" s="133">
        <v>2.0805909090909096</v>
      </c>
      <c r="AM43" s="188">
        <f>(表1[[#This Row],[列1682243]]+AL43)/2</f>
        <v>2.1403275058275057</v>
      </c>
      <c r="AN43" s="15">
        <f>IFERROR(VLOOKUP($B43,'2019开发'!$B:$Q,2,0),0)</f>
        <v>218</v>
      </c>
      <c r="AO43" s="6">
        <f>IFERROR(VLOOKUP($B43,'2019开发'!$B:$Q,3,0),0)</f>
        <v>0</v>
      </c>
      <c r="AP43" s="132">
        <f>IFERROR(VLOOKUP($B43,'2019开发'!$B:$Q,4,0),0)</f>
        <v>7.0132288341870172E-2</v>
      </c>
      <c r="AQ43" s="132" t="str">
        <f>IFERROR(VLOOKUP($B43,'2019开发'!$B:$Q,5,0),0)</f>
        <v/>
      </c>
      <c r="AR43" s="132" t="str">
        <f>IFERROR(VLOOKUP($B43,'2019开发'!$B:$Q,6,0),0)</f>
        <v/>
      </c>
      <c r="AS43" s="132">
        <f>表1[[#This Row],[列172]]*0.9</f>
        <v>0</v>
      </c>
      <c r="AT43" s="11" t="str">
        <f>表1[[#This Row],[列18]]</f>
        <v/>
      </c>
      <c r="AU43" s="11" t="str">
        <f>表1[[#This Row],[列19]]</f>
        <v/>
      </c>
      <c r="AV43" s="4" t="s">
        <v>411</v>
      </c>
      <c r="AW43" s="4" t="str">
        <f t="shared" si="5"/>
        <v>Good</v>
      </c>
      <c r="AX43" s="61"/>
      <c r="AY43" s="61"/>
      <c r="AZ43" s="61"/>
      <c r="BA43" s="61"/>
      <c r="BB43" s="61"/>
      <c r="BC43" s="61"/>
      <c r="BD43" s="61"/>
      <c r="BE43" s="61"/>
      <c r="BF43" s="61"/>
      <c r="BG43" s="61"/>
      <c r="BH43" s="61"/>
      <c r="BI43" s="61"/>
      <c r="BJ43" s="61"/>
      <c r="BK43" s="61"/>
      <c r="BL43" s="61"/>
      <c r="BM43" s="61"/>
      <c r="BN43" s="61"/>
      <c r="BO43" s="61"/>
      <c r="BP43" s="61"/>
      <c r="BQ43" s="61"/>
      <c r="BR43" s="61"/>
      <c r="BS43" s="61"/>
      <c r="BT43" s="61"/>
      <c r="BU43" s="61"/>
      <c r="BV43" s="61"/>
      <c r="BW43" s="61"/>
      <c r="BX43" s="61"/>
      <c r="BY43" s="61"/>
    </row>
    <row r="44" spans="1:77">
      <c r="A44" s="331"/>
      <c r="B44" s="158" t="s">
        <v>17</v>
      </c>
      <c r="C44" s="64"/>
      <c r="D44" s="9"/>
      <c r="E44" s="9"/>
      <c r="F44" s="9"/>
      <c r="G44" s="9"/>
      <c r="H44" s="8"/>
      <c r="I44" s="9"/>
      <c r="J44" s="9"/>
      <c r="K44" s="9"/>
      <c r="L44" s="9"/>
      <c r="M44" s="8"/>
      <c r="N44" s="9"/>
      <c r="O44" s="9"/>
      <c r="P44" s="9"/>
      <c r="Q44" s="9"/>
      <c r="R44" s="3">
        <v>41</v>
      </c>
      <c r="S44" s="7">
        <v>1.6387096774193499</v>
      </c>
      <c r="T44" s="7">
        <v>0.92002805006327204</v>
      </c>
      <c r="U44" s="7">
        <v>2.55873772748263</v>
      </c>
      <c r="V44" s="7">
        <v>0.71868162735608299</v>
      </c>
      <c r="W44" s="3">
        <v>47</v>
      </c>
      <c r="X44" s="7">
        <v>1.8525</v>
      </c>
      <c r="Y44" s="7">
        <v>3.1590953004162299</v>
      </c>
      <c r="Z44" s="7">
        <v>0.54590469958377497</v>
      </c>
      <c r="AA44" s="3">
        <v>103</v>
      </c>
      <c r="AB44" s="7">
        <v>1.8026086956521743</v>
      </c>
      <c r="AC44" s="7">
        <v>2.8438461985812475</v>
      </c>
      <c r="AD44" s="7">
        <v>0.76137119272310105</v>
      </c>
      <c r="AE44" s="8"/>
      <c r="AF44" s="9"/>
      <c r="AG44" s="9"/>
      <c r="AH44" s="9"/>
      <c r="AI44" s="9">
        <f t="shared" si="9"/>
        <v>1.6387096774193499</v>
      </c>
      <c r="AJ44" s="7">
        <v>1.8182413043478263</v>
      </c>
      <c r="AK44" s="7">
        <v>2.0687198275862069</v>
      </c>
      <c r="AL44" s="133">
        <v>1.9233751773049645</v>
      </c>
      <c r="AM44" s="188">
        <f>(表1[[#This Row],[列1682243]]+AL44)/2</f>
        <v>1.9960475024455857</v>
      </c>
      <c r="AN44" s="15">
        <f>IFERROR(VLOOKUP($B44,'2019开发'!$B:$Q,2,0),0)</f>
        <v>174</v>
      </c>
      <c r="AO44" s="6">
        <f>IFERROR(VLOOKUP($B44,'2019开发'!$B:$Q,3,0),0)</f>
        <v>0</v>
      </c>
      <c r="AP44" s="132">
        <f>IFERROR(VLOOKUP($B44,'2019开发'!$B:$Q,4,0),0)</f>
        <v>8.5374718379013545E-2</v>
      </c>
      <c r="AQ44" s="132" t="str">
        <f>IFERROR(VLOOKUP($B44,'2019开发'!$B:$Q,5,0),0)</f>
        <v/>
      </c>
      <c r="AR44" s="132" t="str">
        <f>IFERROR(VLOOKUP($B44,'2019开发'!$B:$Q,6,0),0)</f>
        <v/>
      </c>
      <c r="AS44" s="132">
        <f>表1[[#This Row],[列172]]*0.9</f>
        <v>0</v>
      </c>
      <c r="AT44" s="11" t="str">
        <f>表1[[#This Row],[列18]]</f>
        <v/>
      </c>
      <c r="AU44" s="11" t="str">
        <f>表1[[#This Row],[列19]]</f>
        <v/>
      </c>
      <c r="AV44" s="4" t="s">
        <v>411</v>
      </c>
      <c r="AW44" s="4" t="str">
        <f t="shared" si="5"/>
        <v>Good</v>
      </c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</row>
    <row r="45" spans="1:77">
      <c r="A45" s="331"/>
      <c r="B45" s="158" t="s">
        <v>18</v>
      </c>
      <c r="C45" s="64"/>
      <c r="D45" s="9"/>
      <c r="E45" s="9"/>
      <c r="F45" s="9"/>
      <c r="G45" s="9"/>
      <c r="H45" s="8"/>
      <c r="I45" s="9"/>
      <c r="J45" s="9"/>
      <c r="K45" s="9"/>
      <c r="L45" s="9"/>
      <c r="M45" s="8"/>
      <c r="N45" s="9"/>
      <c r="O45" s="9"/>
      <c r="P45" s="9"/>
      <c r="Q45" s="9"/>
      <c r="R45" s="3">
        <v>37</v>
      </c>
      <c r="S45" s="7">
        <v>1.5140740740740699</v>
      </c>
      <c r="T45" s="7">
        <v>1.1449395659538599</v>
      </c>
      <c r="U45" s="7">
        <v>2.6590136400279301</v>
      </c>
      <c r="V45" s="7">
        <v>0.36913450812021598</v>
      </c>
      <c r="W45" s="3">
        <v>29</v>
      </c>
      <c r="X45" s="7">
        <v>0.90724137931034499</v>
      </c>
      <c r="Y45" s="7">
        <v>1.52059222595828</v>
      </c>
      <c r="Z45" s="7">
        <v>0.293890532662406</v>
      </c>
      <c r="AA45" s="3">
        <v>59</v>
      </c>
      <c r="AB45" s="7">
        <v>1.158222222222222</v>
      </c>
      <c r="AC45" s="7">
        <v>2.3098283908739741</v>
      </c>
      <c r="AD45" s="7">
        <v>6.6160535704700152E-3</v>
      </c>
      <c r="AE45" s="8"/>
      <c r="AF45" s="9"/>
      <c r="AG45" s="9"/>
      <c r="AH45" s="9"/>
      <c r="AI45" s="9">
        <f t="shared" si="9"/>
        <v>1.5140740740740699</v>
      </c>
      <c r="AJ45" s="7">
        <v>1.0755126262626262</v>
      </c>
      <c r="AK45" s="7">
        <v>0.82954545454545481</v>
      </c>
      <c r="AL45" s="133">
        <v>1.3045454545454545</v>
      </c>
      <c r="AM45" s="188">
        <f>(表1[[#This Row],[列1682243]]+AL45)/2</f>
        <v>1.0670454545454546</v>
      </c>
      <c r="AN45" s="15">
        <f>IFERROR(VLOOKUP($B45,'2019开发'!$B:$Q,2,0),0)</f>
        <v>0</v>
      </c>
      <c r="AO45" s="6">
        <f>IFERROR(VLOOKUP($B45,'2019开发'!$B:$Q,3,0),0)</f>
        <v>0</v>
      </c>
      <c r="AP45" s="132" t="str">
        <f>IFERROR(VLOOKUP($B45,'2019开发'!$B:$Q,4,0),0)</f>
        <v/>
      </c>
      <c r="AQ45" s="132" t="str">
        <f>IFERROR(VLOOKUP($B45,'2019开发'!$B:$Q,5,0),0)</f>
        <v/>
      </c>
      <c r="AR45" s="132" t="str">
        <f>IFERROR(VLOOKUP($B45,'2019开发'!$B:$Q,6,0),0)</f>
        <v/>
      </c>
      <c r="AS45" s="132">
        <f>表1[[#This Row],[列172]]*0.9</f>
        <v>0</v>
      </c>
      <c r="AT45" s="11" t="str">
        <f>表1[[#This Row],[列18]]</f>
        <v/>
      </c>
      <c r="AU45" s="11" t="str">
        <f>表1[[#This Row],[列19]]</f>
        <v/>
      </c>
      <c r="AV45" s="4" t="s">
        <v>411</v>
      </c>
      <c r="AW45" s="4" t="str">
        <f t="shared" si="5"/>
        <v>Good</v>
      </c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</row>
    <row r="46" spans="1:77">
      <c r="A46" s="331"/>
      <c r="B46" s="158" t="s">
        <v>19</v>
      </c>
      <c r="C46" s="66"/>
      <c r="D46" s="61"/>
      <c r="E46" s="61"/>
      <c r="F46" s="61"/>
      <c r="G46" s="61"/>
      <c r="H46" s="30"/>
      <c r="I46" s="61"/>
      <c r="J46" s="61"/>
      <c r="K46" s="61"/>
      <c r="L46" s="61"/>
      <c r="M46" s="30"/>
      <c r="N46" s="61"/>
      <c r="O46" s="61"/>
      <c r="P46" s="61"/>
      <c r="Q46" s="61"/>
      <c r="R46" s="3">
        <v>40</v>
      </c>
      <c r="S46" s="67">
        <v>1.1686666666666701</v>
      </c>
      <c r="T46" s="67">
        <v>0.42295131645610701</v>
      </c>
      <c r="U46" s="67">
        <v>1.5916179831227699</v>
      </c>
      <c r="V46" s="67">
        <v>0.74571535021056001</v>
      </c>
      <c r="W46" s="3">
        <v>41</v>
      </c>
      <c r="X46" s="4">
        <v>1.12153846153846</v>
      </c>
      <c r="Y46" s="4">
        <v>1.64621650046749</v>
      </c>
      <c r="Z46" s="4">
        <v>0.59686042260943095</v>
      </c>
      <c r="AA46" s="3">
        <v>74</v>
      </c>
      <c r="AB46" s="4">
        <v>1.3217460317460319</v>
      </c>
      <c r="AC46" s="4">
        <v>2.0372146119775572</v>
      </c>
      <c r="AD46" s="4">
        <v>0.60627745151450663</v>
      </c>
      <c r="AE46" s="30"/>
      <c r="AF46" s="61"/>
      <c r="AG46" s="61"/>
      <c r="AH46" s="61"/>
      <c r="AI46" s="61">
        <f t="shared" si="9"/>
        <v>1.1686666666666701</v>
      </c>
      <c r="AJ46" s="4">
        <v>1.2503676806285497</v>
      </c>
      <c r="AK46" s="4">
        <v>1.6669523809523796</v>
      </c>
      <c r="AL46" s="133">
        <v>1.154175824175824</v>
      </c>
      <c r="AM46" s="188">
        <f>(表1[[#This Row],[列1682243]]+AL46)/2</f>
        <v>1.4105641025641018</v>
      </c>
      <c r="AN46" s="15">
        <f>IFERROR(VLOOKUP($B46,'2019开发'!$B:$Q,2,0),0)</f>
        <v>192</v>
      </c>
      <c r="AO46" s="6">
        <f>IFERROR(VLOOKUP($B46,'2019开发'!$B:$Q,3,0),0)</f>
        <v>0</v>
      </c>
      <c r="AP46" s="132">
        <f>IFERROR(VLOOKUP($B46,'2019开发'!$B:$Q,4,0),0)</f>
        <v>1.1188714647487987</v>
      </c>
      <c r="AQ46" s="132" t="str">
        <f>IFERROR(VLOOKUP($B46,'2019开发'!$B:$Q,5,0),0)</f>
        <v/>
      </c>
      <c r="AR46" s="132" t="str">
        <f>IFERROR(VLOOKUP($B46,'2019开发'!$B:$Q,6,0),0)</f>
        <v/>
      </c>
      <c r="AS46" s="132">
        <f>表1[[#This Row],[列172]]*0.9</f>
        <v>0</v>
      </c>
      <c r="AT46" s="11" t="str">
        <f>表1[[#This Row],[列18]]</f>
        <v/>
      </c>
      <c r="AU46" s="11" t="str">
        <f>表1[[#This Row],[列19]]</f>
        <v/>
      </c>
      <c r="AV46" s="4" t="s">
        <v>411</v>
      </c>
      <c r="AW46" s="4" t="str">
        <f>IF(AO46&lt;=AM46,"Good","Bad")</f>
        <v>Good</v>
      </c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</row>
  </sheetData>
  <mergeCells count="33">
    <mergeCell ref="AN1:AR1"/>
    <mergeCell ref="AA1:AD1"/>
    <mergeCell ref="A30:A31"/>
    <mergeCell ref="A32:A33"/>
    <mergeCell ref="A34:A39"/>
    <mergeCell ref="C1:G1"/>
    <mergeCell ref="H1:L1"/>
    <mergeCell ref="M1:Q1"/>
    <mergeCell ref="R1:V1"/>
    <mergeCell ref="AE1:AH1"/>
    <mergeCell ref="W1:Z1"/>
    <mergeCell ref="A41:A46"/>
    <mergeCell ref="B1:B2"/>
    <mergeCell ref="A1:A2"/>
    <mergeCell ref="A3:A16"/>
    <mergeCell ref="A17:A19"/>
    <mergeCell ref="A24:A28"/>
    <mergeCell ref="A20:A23"/>
    <mergeCell ref="AS1:AU1"/>
    <mergeCell ref="BR1:BS1"/>
    <mergeCell ref="BT1:BU1"/>
    <mergeCell ref="BV1:BW1"/>
    <mergeCell ref="BX1:BY1"/>
    <mergeCell ref="BH1:BI1"/>
    <mergeCell ref="BJ1:BK1"/>
    <mergeCell ref="BL1:BM1"/>
    <mergeCell ref="BN1:BO1"/>
    <mergeCell ref="BP1:BQ1"/>
    <mergeCell ref="AX1:AY1"/>
    <mergeCell ref="AZ1:BA1"/>
    <mergeCell ref="BB1:BC1"/>
    <mergeCell ref="BD1:BE1"/>
    <mergeCell ref="BF1:BG1"/>
  </mergeCells>
  <phoneticPr fontId="26" type="noConversion"/>
  <conditionalFormatting sqref="BG4">
    <cfRule type="containsBlanks" priority="202" stopIfTrue="1">
      <formula>LEN(TRIM(BG4))=0</formula>
    </cfRule>
    <cfRule type="cellIs" dxfId="248" priority="203" operator="notBetween">
      <formula>$AQ4</formula>
      <formula>$AR4</formula>
    </cfRule>
  </conditionalFormatting>
  <conditionalFormatting sqref="BG5:BG9">
    <cfRule type="containsBlanks" priority="200" stopIfTrue="1">
      <formula>LEN(TRIM(BG5))=0</formula>
    </cfRule>
    <cfRule type="cellIs" dxfId="247" priority="201" operator="notBetween">
      <formula>$AQ5</formula>
      <formula>$AR5</formula>
    </cfRule>
  </conditionalFormatting>
  <conditionalFormatting sqref="BI4">
    <cfRule type="containsBlanks" priority="198" stopIfTrue="1">
      <formula>LEN(TRIM(BI4))=0</formula>
    </cfRule>
    <cfRule type="cellIs" dxfId="246" priority="199" operator="notBetween">
      <formula>$AQ4</formula>
      <formula>$AR4</formula>
    </cfRule>
  </conditionalFormatting>
  <conditionalFormatting sqref="BI5:BI9">
    <cfRule type="containsBlanks" priority="196" stopIfTrue="1">
      <formula>LEN(TRIM(BI5))=0</formula>
    </cfRule>
    <cfRule type="cellIs" dxfId="245" priority="197" operator="notBetween">
      <formula>$AQ5</formula>
      <formula>$AR5</formula>
    </cfRule>
  </conditionalFormatting>
  <conditionalFormatting sqref="BM4">
    <cfRule type="containsBlanks" priority="194" stopIfTrue="1">
      <formula>LEN(TRIM(BM4))=0</formula>
    </cfRule>
    <cfRule type="cellIs" dxfId="244" priority="195" operator="notBetween">
      <formula>$AQ4</formula>
      <formula>$AR4</formula>
    </cfRule>
  </conditionalFormatting>
  <conditionalFormatting sqref="BM5:BM9">
    <cfRule type="containsBlanks" priority="192" stopIfTrue="1">
      <formula>LEN(TRIM(BM5))=0</formula>
    </cfRule>
    <cfRule type="cellIs" dxfId="243" priority="193" operator="notBetween">
      <formula>$AQ5</formula>
      <formula>$AR5</formula>
    </cfRule>
  </conditionalFormatting>
  <conditionalFormatting sqref="BS4">
    <cfRule type="containsBlanks" priority="178" stopIfTrue="1">
      <formula>LEN(TRIM(BS4))=0</formula>
    </cfRule>
    <cfRule type="cellIs" dxfId="242" priority="179" operator="notBetween">
      <formula>$AQ4</formula>
      <formula>$AR4</formula>
    </cfRule>
  </conditionalFormatting>
  <conditionalFormatting sqref="BS5:BS9">
    <cfRule type="containsBlanks" priority="176" stopIfTrue="1">
      <formula>LEN(TRIM(BS5))=0</formula>
    </cfRule>
    <cfRule type="cellIs" dxfId="241" priority="177" operator="notBetween">
      <formula>$AQ5</formula>
      <formula>$AR5</formula>
    </cfRule>
  </conditionalFormatting>
  <conditionalFormatting sqref="AY5">
    <cfRule type="containsBlanks" priority="118" stopIfTrue="1">
      <formula>LEN(TRIM(AY5))=0</formula>
    </cfRule>
    <cfRule type="cellIs" dxfId="240" priority="119" operator="notBetween">
      <formula>$AQ5</formula>
      <formula>$AR5</formula>
    </cfRule>
    <cfRule type="cellIs" dxfId="239" priority="120" operator="lessThan">
      <formula>$AO5</formula>
    </cfRule>
  </conditionalFormatting>
  <conditionalFormatting sqref="AY4">
    <cfRule type="containsBlanks" priority="115" stopIfTrue="1">
      <formula>LEN(TRIM(AY4))=0</formula>
    </cfRule>
    <cfRule type="cellIs" dxfId="238" priority="116" operator="notBetween">
      <formula>$AQ4</formula>
      <formula>$AR4</formula>
    </cfRule>
    <cfRule type="cellIs" dxfId="237" priority="117" operator="lessThan">
      <formula>$AO4</formula>
    </cfRule>
  </conditionalFormatting>
  <conditionalFormatting sqref="AY7 AY9">
    <cfRule type="containsBlanks" priority="112" stopIfTrue="1">
      <formula>LEN(TRIM(AY7))=0</formula>
    </cfRule>
    <cfRule type="cellIs" dxfId="236" priority="113" operator="notBetween">
      <formula>$AQ7</formula>
      <formula>$AR7</formula>
    </cfRule>
    <cfRule type="cellIs" dxfId="235" priority="114" operator="lessThan">
      <formula>$AO7</formula>
    </cfRule>
  </conditionalFormatting>
  <conditionalFormatting sqref="AY6 AY8">
    <cfRule type="containsBlanks" priority="109" stopIfTrue="1">
      <formula>LEN(TRIM(AY6))=0</formula>
    </cfRule>
    <cfRule type="cellIs" dxfId="234" priority="110" operator="notBetween">
      <formula>$AQ6</formula>
      <formula>$AR6</formula>
    </cfRule>
    <cfRule type="cellIs" dxfId="233" priority="111" operator="lessThan">
      <formula>$AO6</formula>
    </cfRule>
  </conditionalFormatting>
  <conditionalFormatting sqref="BA5">
    <cfRule type="containsBlanks" priority="106" stopIfTrue="1">
      <formula>LEN(TRIM(BA5))=0</formula>
    </cfRule>
    <cfRule type="cellIs" dxfId="232" priority="107" operator="notBetween">
      <formula>$AQ5</formula>
      <formula>$AR5</formula>
    </cfRule>
    <cfRule type="cellIs" dxfId="231" priority="108" operator="lessThan">
      <formula>$AO5</formula>
    </cfRule>
  </conditionalFormatting>
  <conditionalFormatting sqref="BA4">
    <cfRule type="containsBlanks" priority="103" stopIfTrue="1">
      <formula>LEN(TRIM(BA4))=0</formula>
    </cfRule>
    <cfRule type="cellIs" dxfId="230" priority="104" operator="notBetween">
      <formula>$AQ4</formula>
      <formula>$AR4</formula>
    </cfRule>
    <cfRule type="cellIs" dxfId="229" priority="105" operator="lessThan">
      <formula>$AO4</formula>
    </cfRule>
  </conditionalFormatting>
  <conditionalFormatting sqref="BA7 BA9">
    <cfRule type="containsBlanks" priority="100" stopIfTrue="1">
      <formula>LEN(TRIM(BA7))=0</formula>
    </cfRule>
    <cfRule type="cellIs" dxfId="228" priority="101" operator="notBetween">
      <formula>$AQ7</formula>
      <formula>$AR7</formula>
    </cfRule>
    <cfRule type="cellIs" dxfId="227" priority="102" operator="lessThan">
      <formula>$AO7</formula>
    </cfRule>
  </conditionalFormatting>
  <conditionalFormatting sqref="BA6 BA8">
    <cfRule type="containsBlanks" priority="97" stopIfTrue="1">
      <formula>LEN(TRIM(BA6))=0</formula>
    </cfRule>
    <cfRule type="cellIs" dxfId="226" priority="98" operator="notBetween">
      <formula>$AQ6</formula>
      <formula>$AR6</formula>
    </cfRule>
    <cfRule type="cellIs" dxfId="225" priority="99" operator="lessThan">
      <formula>$AO6</formula>
    </cfRule>
  </conditionalFormatting>
  <conditionalFormatting sqref="BC5">
    <cfRule type="containsBlanks" priority="94" stopIfTrue="1">
      <formula>LEN(TRIM(BC5))=0</formula>
    </cfRule>
    <cfRule type="cellIs" dxfId="224" priority="95" operator="notBetween">
      <formula>$AQ5</formula>
      <formula>$AR5</formula>
    </cfRule>
    <cfRule type="cellIs" dxfId="223" priority="96" operator="lessThan">
      <formula>$AO5</formula>
    </cfRule>
  </conditionalFormatting>
  <conditionalFormatting sqref="BC4">
    <cfRule type="containsBlanks" priority="91" stopIfTrue="1">
      <formula>LEN(TRIM(BC4))=0</formula>
    </cfRule>
    <cfRule type="cellIs" dxfId="222" priority="92" operator="notBetween">
      <formula>$AQ4</formula>
      <formula>$AR4</formula>
    </cfRule>
    <cfRule type="cellIs" dxfId="221" priority="93" operator="lessThan">
      <formula>$AO4</formula>
    </cfRule>
  </conditionalFormatting>
  <conditionalFormatting sqref="BC7 BC9">
    <cfRule type="containsBlanks" priority="88" stopIfTrue="1">
      <formula>LEN(TRIM(BC7))=0</formula>
    </cfRule>
    <cfRule type="cellIs" dxfId="220" priority="89" operator="notBetween">
      <formula>$AQ7</formula>
      <formula>$AR7</formula>
    </cfRule>
    <cfRule type="cellIs" dxfId="219" priority="90" operator="lessThan">
      <formula>$AO7</formula>
    </cfRule>
  </conditionalFormatting>
  <conditionalFormatting sqref="BC6 BC8">
    <cfRule type="containsBlanks" priority="85" stopIfTrue="1">
      <formula>LEN(TRIM(BC6))=0</formula>
    </cfRule>
    <cfRule type="cellIs" dxfId="218" priority="86" operator="notBetween">
      <formula>$AQ6</formula>
      <formula>$AR6</formula>
    </cfRule>
    <cfRule type="cellIs" dxfId="217" priority="87" operator="lessThan">
      <formula>$AO6</formula>
    </cfRule>
  </conditionalFormatting>
  <conditionalFormatting sqref="BE5">
    <cfRule type="containsBlanks" priority="82" stopIfTrue="1">
      <formula>LEN(TRIM(BE5))=0</formula>
    </cfRule>
    <cfRule type="cellIs" dxfId="216" priority="83" operator="notBetween">
      <formula>$AQ5</formula>
      <formula>$AR5</formula>
    </cfRule>
    <cfRule type="cellIs" dxfId="215" priority="84" operator="lessThan">
      <formula>$AO5</formula>
    </cfRule>
  </conditionalFormatting>
  <conditionalFormatting sqref="BE4">
    <cfRule type="containsBlanks" priority="79" stopIfTrue="1">
      <formula>LEN(TRIM(BE4))=0</formula>
    </cfRule>
    <cfRule type="cellIs" dxfId="214" priority="80" operator="notBetween">
      <formula>$AQ4</formula>
      <formula>$AR4</formula>
    </cfRule>
    <cfRule type="cellIs" dxfId="213" priority="81" operator="lessThan">
      <formula>$AO4</formula>
    </cfRule>
  </conditionalFormatting>
  <conditionalFormatting sqref="BE7 BE9">
    <cfRule type="containsBlanks" priority="76" stopIfTrue="1">
      <formula>LEN(TRIM(BE7))=0</formula>
    </cfRule>
    <cfRule type="cellIs" dxfId="212" priority="77" operator="notBetween">
      <formula>$AQ7</formula>
      <formula>$AR7</formula>
    </cfRule>
    <cfRule type="cellIs" dxfId="211" priority="78" operator="lessThan">
      <formula>$AO7</formula>
    </cfRule>
  </conditionalFormatting>
  <conditionalFormatting sqref="BE6 BE8">
    <cfRule type="containsBlanks" priority="73" stopIfTrue="1">
      <formula>LEN(TRIM(BE6))=0</formula>
    </cfRule>
    <cfRule type="cellIs" dxfId="210" priority="74" operator="notBetween">
      <formula>$AQ6</formula>
      <formula>$AR6</formula>
    </cfRule>
    <cfRule type="cellIs" dxfId="209" priority="75" operator="lessThan">
      <formula>$AO6</formula>
    </cfRule>
  </conditionalFormatting>
  <conditionalFormatting sqref="BK5">
    <cfRule type="containsBlanks" priority="70" stopIfTrue="1">
      <formula>LEN(TRIM(BK5))=0</formula>
    </cfRule>
    <cfRule type="cellIs" dxfId="208" priority="71" operator="notBetween">
      <formula>$AQ5</formula>
      <formula>$AR5</formula>
    </cfRule>
    <cfRule type="cellIs" dxfId="207" priority="72" operator="lessThan">
      <formula>$AO5</formula>
    </cfRule>
  </conditionalFormatting>
  <conditionalFormatting sqref="BK4">
    <cfRule type="containsBlanks" priority="67" stopIfTrue="1">
      <formula>LEN(TRIM(BK4))=0</formula>
    </cfRule>
    <cfRule type="cellIs" dxfId="206" priority="68" operator="notBetween">
      <formula>$AQ4</formula>
      <formula>$AR4</formula>
    </cfRule>
    <cfRule type="cellIs" dxfId="205" priority="69" operator="lessThan">
      <formula>$AO4</formula>
    </cfRule>
  </conditionalFormatting>
  <conditionalFormatting sqref="BK7 BK9">
    <cfRule type="containsBlanks" priority="64" stopIfTrue="1">
      <formula>LEN(TRIM(BK7))=0</formula>
    </cfRule>
    <cfRule type="cellIs" dxfId="204" priority="65" operator="notBetween">
      <formula>$AQ7</formula>
      <formula>$AR7</formula>
    </cfRule>
    <cfRule type="cellIs" dxfId="203" priority="66" operator="lessThan">
      <formula>$AO7</formula>
    </cfRule>
  </conditionalFormatting>
  <conditionalFormatting sqref="BK6 BK8">
    <cfRule type="containsBlanks" priority="61" stopIfTrue="1">
      <formula>LEN(TRIM(BK6))=0</formula>
    </cfRule>
    <cfRule type="cellIs" dxfId="202" priority="62" operator="notBetween">
      <formula>$AQ6</formula>
      <formula>$AR6</formula>
    </cfRule>
    <cfRule type="cellIs" dxfId="201" priority="63" operator="lessThan">
      <formula>$AO6</formula>
    </cfRule>
  </conditionalFormatting>
  <conditionalFormatting sqref="BO5">
    <cfRule type="containsBlanks" priority="58" stopIfTrue="1">
      <formula>LEN(TRIM(BO5))=0</formula>
    </cfRule>
    <cfRule type="cellIs" dxfId="200" priority="59" operator="notBetween">
      <formula>$AQ5</formula>
      <formula>$AR5</formula>
    </cfRule>
    <cfRule type="cellIs" dxfId="199" priority="60" operator="lessThan">
      <formula>$AO5</formula>
    </cfRule>
  </conditionalFormatting>
  <conditionalFormatting sqref="BO4">
    <cfRule type="containsBlanks" priority="55" stopIfTrue="1">
      <formula>LEN(TRIM(BO4))=0</formula>
    </cfRule>
    <cfRule type="cellIs" dxfId="198" priority="56" operator="notBetween">
      <formula>$AQ4</formula>
      <formula>$AR4</formula>
    </cfRule>
    <cfRule type="cellIs" dxfId="197" priority="57" operator="lessThan">
      <formula>$AO4</formula>
    </cfRule>
  </conditionalFormatting>
  <conditionalFormatting sqref="BO7 BO9">
    <cfRule type="containsBlanks" priority="52" stopIfTrue="1">
      <formula>LEN(TRIM(BO7))=0</formula>
    </cfRule>
    <cfRule type="cellIs" dxfId="196" priority="53" operator="notBetween">
      <formula>$AQ7</formula>
      <formula>$AR7</formula>
    </cfRule>
    <cfRule type="cellIs" dxfId="195" priority="54" operator="lessThan">
      <formula>$AO7</formula>
    </cfRule>
  </conditionalFormatting>
  <conditionalFormatting sqref="BO6 BO8">
    <cfRule type="containsBlanks" priority="49" stopIfTrue="1">
      <formula>LEN(TRIM(BO6))=0</formula>
    </cfRule>
    <cfRule type="cellIs" dxfId="194" priority="50" operator="notBetween">
      <formula>$AQ6</formula>
      <formula>$AR6</formula>
    </cfRule>
    <cfRule type="cellIs" dxfId="193" priority="51" operator="lessThan">
      <formula>$AO6</formula>
    </cfRule>
  </conditionalFormatting>
  <conditionalFormatting sqref="BQ5">
    <cfRule type="containsBlanks" priority="46" stopIfTrue="1">
      <formula>LEN(TRIM(BQ5))=0</formula>
    </cfRule>
    <cfRule type="cellIs" dxfId="192" priority="47" operator="notBetween">
      <formula>$AQ5</formula>
      <formula>$AR5</formula>
    </cfRule>
    <cfRule type="cellIs" dxfId="191" priority="48" operator="lessThan">
      <formula>$AO5</formula>
    </cfRule>
  </conditionalFormatting>
  <conditionalFormatting sqref="BQ4">
    <cfRule type="containsBlanks" priority="43" stopIfTrue="1">
      <formula>LEN(TRIM(BQ4))=0</formula>
    </cfRule>
    <cfRule type="cellIs" dxfId="190" priority="44" operator="notBetween">
      <formula>$AQ4</formula>
      <formula>$AR4</formula>
    </cfRule>
    <cfRule type="cellIs" dxfId="189" priority="45" operator="lessThan">
      <formula>$AO4</formula>
    </cfRule>
  </conditionalFormatting>
  <conditionalFormatting sqref="BQ7 BQ9">
    <cfRule type="containsBlanks" priority="40" stopIfTrue="1">
      <formula>LEN(TRIM(BQ7))=0</formula>
    </cfRule>
    <cfRule type="cellIs" dxfId="188" priority="41" operator="notBetween">
      <formula>$AQ7</formula>
      <formula>$AR7</formula>
    </cfRule>
    <cfRule type="cellIs" dxfId="187" priority="42" operator="lessThan">
      <formula>$AO7</formula>
    </cfRule>
  </conditionalFormatting>
  <conditionalFormatting sqref="BQ6 BQ8">
    <cfRule type="containsBlanks" priority="37" stopIfTrue="1">
      <formula>LEN(TRIM(BQ6))=0</formula>
    </cfRule>
    <cfRule type="cellIs" dxfId="186" priority="38" operator="notBetween">
      <formula>$AQ6</formula>
      <formula>$AR6</formula>
    </cfRule>
    <cfRule type="cellIs" dxfId="185" priority="39" operator="lessThan">
      <formula>$AO6</formula>
    </cfRule>
  </conditionalFormatting>
  <conditionalFormatting sqref="BU5">
    <cfRule type="containsBlanks" priority="34" stopIfTrue="1">
      <formula>LEN(TRIM(BU5))=0</formula>
    </cfRule>
    <cfRule type="cellIs" dxfId="184" priority="35" operator="notBetween">
      <formula>$AQ5</formula>
      <formula>$AR5</formula>
    </cfRule>
    <cfRule type="cellIs" dxfId="183" priority="36" operator="lessThan">
      <formula>$AO5</formula>
    </cfRule>
  </conditionalFormatting>
  <conditionalFormatting sqref="BU4">
    <cfRule type="containsBlanks" priority="31" stopIfTrue="1">
      <formula>LEN(TRIM(BU4))=0</formula>
    </cfRule>
    <cfRule type="cellIs" dxfId="182" priority="32" operator="notBetween">
      <formula>$AQ4</formula>
      <formula>$AR4</formula>
    </cfRule>
    <cfRule type="cellIs" dxfId="181" priority="33" operator="lessThan">
      <formula>$AO4</formula>
    </cfRule>
  </conditionalFormatting>
  <conditionalFormatting sqref="BU7 BU9">
    <cfRule type="containsBlanks" priority="28" stopIfTrue="1">
      <formula>LEN(TRIM(BU7))=0</formula>
    </cfRule>
    <cfRule type="cellIs" dxfId="180" priority="29" operator="notBetween">
      <formula>$AQ7</formula>
      <formula>$AR7</formula>
    </cfRule>
    <cfRule type="cellIs" dxfId="179" priority="30" operator="lessThan">
      <formula>$AO7</formula>
    </cfRule>
  </conditionalFormatting>
  <conditionalFormatting sqref="BU6 BU8">
    <cfRule type="containsBlanks" priority="25" stopIfTrue="1">
      <formula>LEN(TRIM(BU6))=0</formula>
    </cfRule>
    <cfRule type="cellIs" dxfId="178" priority="26" operator="notBetween">
      <formula>$AQ6</formula>
      <formula>$AR6</formula>
    </cfRule>
    <cfRule type="cellIs" dxfId="177" priority="27" operator="lessThan">
      <formula>$AO6</formula>
    </cfRule>
  </conditionalFormatting>
  <conditionalFormatting sqref="BW5">
    <cfRule type="containsBlanks" priority="22" stopIfTrue="1">
      <formula>LEN(TRIM(BW5))=0</formula>
    </cfRule>
    <cfRule type="cellIs" dxfId="176" priority="23" operator="notBetween">
      <formula>$AQ5</formula>
      <formula>$AR5</formula>
    </cfRule>
    <cfRule type="cellIs" dxfId="175" priority="24" operator="lessThan">
      <formula>$AO5</formula>
    </cfRule>
  </conditionalFormatting>
  <conditionalFormatting sqref="BW4">
    <cfRule type="containsBlanks" priority="19" stopIfTrue="1">
      <formula>LEN(TRIM(BW4))=0</formula>
    </cfRule>
    <cfRule type="cellIs" dxfId="174" priority="20" operator="notBetween">
      <formula>$AQ4</formula>
      <formula>$AR4</formula>
    </cfRule>
    <cfRule type="cellIs" dxfId="173" priority="21" operator="lessThan">
      <formula>$AO4</formula>
    </cfRule>
  </conditionalFormatting>
  <conditionalFormatting sqref="BW7 BW9">
    <cfRule type="containsBlanks" priority="16" stopIfTrue="1">
      <formula>LEN(TRIM(BW7))=0</formula>
    </cfRule>
    <cfRule type="cellIs" dxfId="172" priority="17" operator="notBetween">
      <formula>$AQ7</formula>
      <formula>$AR7</formula>
    </cfRule>
    <cfRule type="cellIs" dxfId="171" priority="18" operator="lessThan">
      <formula>$AO7</formula>
    </cfRule>
  </conditionalFormatting>
  <conditionalFormatting sqref="BW6 BW8">
    <cfRule type="containsBlanks" priority="13" stopIfTrue="1">
      <formula>LEN(TRIM(BW6))=0</formula>
    </cfRule>
    <cfRule type="cellIs" dxfId="170" priority="14" operator="notBetween">
      <formula>$AQ6</formula>
      <formula>$AR6</formula>
    </cfRule>
    <cfRule type="cellIs" dxfId="169" priority="15" operator="lessThan">
      <formula>$AO6</formula>
    </cfRule>
  </conditionalFormatting>
  <conditionalFormatting sqref="BY5">
    <cfRule type="containsBlanks" priority="10" stopIfTrue="1">
      <formula>LEN(TRIM(BY5))=0</formula>
    </cfRule>
    <cfRule type="cellIs" dxfId="168" priority="11" operator="notBetween">
      <formula>$AQ5</formula>
      <formula>$AR5</formula>
    </cfRule>
    <cfRule type="cellIs" dxfId="167" priority="12" operator="lessThan">
      <formula>$AO5</formula>
    </cfRule>
  </conditionalFormatting>
  <conditionalFormatting sqref="BY4">
    <cfRule type="containsBlanks" priority="7" stopIfTrue="1">
      <formula>LEN(TRIM(BY4))=0</formula>
    </cfRule>
    <cfRule type="cellIs" dxfId="166" priority="8" operator="notBetween">
      <formula>$AQ4</formula>
      <formula>$AR4</formula>
    </cfRule>
    <cfRule type="cellIs" dxfId="165" priority="9" operator="lessThan">
      <formula>$AO4</formula>
    </cfRule>
  </conditionalFormatting>
  <conditionalFormatting sqref="BY7 BY9">
    <cfRule type="containsBlanks" priority="4" stopIfTrue="1">
      <formula>LEN(TRIM(BY7))=0</formula>
    </cfRule>
    <cfRule type="cellIs" dxfId="164" priority="5" operator="notBetween">
      <formula>$AQ7</formula>
      <formula>$AR7</formula>
    </cfRule>
    <cfRule type="cellIs" dxfId="163" priority="6" operator="lessThan">
      <formula>$AO7</formula>
    </cfRule>
  </conditionalFormatting>
  <conditionalFormatting sqref="BY6 BY8">
    <cfRule type="containsBlanks" priority="1" stopIfTrue="1">
      <formula>LEN(TRIM(BY6))=0</formula>
    </cfRule>
    <cfRule type="cellIs" dxfId="162" priority="2" operator="notBetween">
      <formula>$AQ6</formula>
      <formula>$AR6</formula>
    </cfRule>
    <cfRule type="cellIs" dxfId="161" priority="3" operator="lessThan">
      <formula>$AO6</formula>
    </cfRule>
  </conditionalFormatting>
  <pageMargins left="0.74791666666666701" right="0.74791666666666701" top="0.98402777777777795" bottom="0.98402777777777795" header="0.51180555555555596" footer="0.51180555555555596"/>
  <pageSetup paperSize="9" orientation="portrait" r:id="rId1"/>
  <headerFooter alignWithMargins="0">
    <oddHeader>&amp;L&amp;G&amp;C&amp;F&amp;R文档密级</oddHeader>
    <oddFooter>&amp;L&amp;D&amp;C华为保密信息,未经授权禁止扩散&amp;R第&amp;P页，共&amp;N页</oddFooter>
  </headerFooter>
  <legacyDrawing r:id="rId2"/>
  <legacyDrawingHF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filterMode="1"/>
  <dimension ref="A1:BY18"/>
  <sheetViews>
    <sheetView zoomScaleNormal="100" workbookViewId="0">
      <pane xSplit="44" ySplit="3" topLeftCell="BE4" activePane="bottomRight" state="frozen"/>
      <selection pane="topRight" activeCell="AU1" sqref="AU1"/>
      <selection pane="bottomLeft" activeCell="A4" sqref="A4"/>
      <selection pane="bottomRight" activeCell="B23" sqref="B23"/>
    </sheetView>
  </sheetViews>
  <sheetFormatPr defaultColWidth="9" defaultRowHeight="14.25"/>
  <cols>
    <col min="1" max="1" width="16.125" style="26" customWidth="1"/>
    <col min="2" max="2" width="36.125" style="26" customWidth="1"/>
    <col min="3" max="3" width="6.75" style="26" hidden="1" customWidth="1"/>
    <col min="4" max="4" width="8" style="26" hidden="1" customWidth="1"/>
    <col min="5" max="6" width="6.75" style="26" hidden="1" customWidth="1"/>
    <col min="7" max="7" width="7.375" style="26" hidden="1" customWidth="1"/>
    <col min="8" max="8" width="10.875" style="26" hidden="1" customWidth="1"/>
    <col min="9" max="24" width="7.375" style="26" hidden="1" customWidth="1"/>
    <col min="25" max="25" width="11.125" style="26" hidden="1" customWidth="1"/>
    <col min="26" max="30" width="7.375" style="26" hidden="1" customWidth="1"/>
    <col min="31" max="31" width="8.875" style="26" hidden="1" customWidth="1"/>
    <col min="32" max="32" width="11.875" style="26" hidden="1" customWidth="1"/>
    <col min="33" max="33" width="10.625" style="26" hidden="1" customWidth="1"/>
    <col min="34" max="34" width="12.625" style="26" hidden="1" customWidth="1"/>
    <col min="35" max="35" width="10.875" style="26" hidden="1" customWidth="1"/>
    <col min="36" max="36" width="11.125" style="26" hidden="1" customWidth="1"/>
    <col min="37" max="38" width="10.625" style="26" hidden="1" customWidth="1"/>
    <col min="39" max="39" width="10.625" style="26" customWidth="1"/>
    <col min="40" max="40" width="9" style="26" customWidth="1"/>
    <col min="41" max="41" width="9" style="26"/>
    <col min="42" max="42" width="9" style="26" hidden="1" customWidth="1"/>
    <col min="43" max="44" width="9" style="26" customWidth="1"/>
    <col min="45" max="49" width="8.125" customWidth="1"/>
    <col min="50" max="16384" width="9" style="26"/>
  </cols>
  <sheetData>
    <row r="1" spans="1:77" s="24" customFormat="1" ht="34.5" customHeight="1">
      <c r="A1" s="350" t="s">
        <v>400</v>
      </c>
      <c r="B1" s="350"/>
      <c r="C1" s="327" t="s">
        <v>98</v>
      </c>
      <c r="D1" s="338"/>
      <c r="E1" s="338"/>
      <c r="F1" s="338"/>
      <c r="G1" s="339"/>
      <c r="H1" s="327" t="s">
        <v>130</v>
      </c>
      <c r="I1" s="338"/>
      <c r="J1" s="338"/>
      <c r="K1" s="338"/>
      <c r="L1" s="339"/>
      <c r="M1" s="343" t="s">
        <v>131</v>
      </c>
      <c r="N1" s="344"/>
      <c r="O1" s="344"/>
      <c r="P1" s="344"/>
      <c r="Q1" s="345"/>
      <c r="R1" s="343" t="s">
        <v>132</v>
      </c>
      <c r="S1" s="344"/>
      <c r="T1" s="344"/>
      <c r="U1" s="345"/>
      <c r="V1" s="343" t="s">
        <v>133</v>
      </c>
      <c r="W1" s="344"/>
      <c r="X1" s="344"/>
      <c r="Y1" s="345"/>
      <c r="Z1" s="343" t="s">
        <v>134</v>
      </c>
      <c r="AA1" s="344"/>
      <c r="AB1" s="344"/>
      <c r="AC1" s="345"/>
      <c r="AD1" s="180" t="s">
        <v>425</v>
      </c>
      <c r="AE1" s="340" t="s">
        <v>191</v>
      </c>
      <c r="AF1" s="341"/>
      <c r="AG1" s="341"/>
      <c r="AH1" s="342"/>
      <c r="AI1" s="340" t="s">
        <v>255</v>
      </c>
      <c r="AJ1" s="341"/>
      <c r="AK1" s="341"/>
      <c r="AL1" s="342"/>
      <c r="AM1" s="182" t="s">
        <v>420</v>
      </c>
      <c r="AN1" s="330" t="s">
        <v>362</v>
      </c>
      <c r="AO1" s="330"/>
      <c r="AP1" s="330"/>
      <c r="AQ1" s="330"/>
      <c r="AR1" s="330"/>
      <c r="AS1" s="327" t="s">
        <v>393</v>
      </c>
      <c r="AT1" s="328"/>
      <c r="AU1" s="329"/>
      <c r="AV1" s="186" t="s">
        <v>412</v>
      </c>
      <c r="AW1" s="186" t="s">
        <v>416</v>
      </c>
      <c r="AX1" s="330">
        <v>2012</v>
      </c>
      <c r="AY1" s="330"/>
      <c r="AZ1" s="330" t="s">
        <v>363</v>
      </c>
      <c r="BA1" s="330"/>
      <c r="BB1" s="330" t="s">
        <v>364</v>
      </c>
      <c r="BC1" s="330"/>
      <c r="BD1" s="330" t="s">
        <v>365</v>
      </c>
      <c r="BE1" s="330"/>
      <c r="BF1" s="330" t="s">
        <v>366</v>
      </c>
      <c r="BG1" s="330"/>
      <c r="BH1" s="330" t="s">
        <v>367</v>
      </c>
      <c r="BI1" s="330"/>
      <c r="BJ1" s="330" t="s">
        <v>368</v>
      </c>
      <c r="BK1" s="330"/>
      <c r="BL1" s="330" t="s">
        <v>369</v>
      </c>
      <c r="BM1" s="330"/>
      <c r="BN1" s="330" t="s">
        <v>370</v>
      </c>
      <c r="BO1" s="330"/>
      <c r="BP1" s="330" t="s">
        <v>371</v>
      </c>
      <c r="BQ1" s="330"/>
      <c r="BR1" s="330" t="s">
        <v>372</v>
      </c>
      <c r="BS1" s="330"/>
      <c r="BT1" s="330" t="s">
        <v>373</v>
      </c>
      <c r="BU1" s="330"/>
      <c r="BV1" s="330" t="s">
        <v>374</v>
      </c>
      <c r="BW1" s="330"/>
      <c r="BX1" s="330" t="s">
        <v>375</v>
      </c>
      <c r="BY1" s="330"/>
    </row>
    <row r="2" spans="1:77" s="25" customFormat="1" ht="14.25" hidden="1" customHeight="1">
      <c r="A2" s="350"/>
      <c r="B2" s="350"/>
      <c r="C2" s="38" t="s">
        <v>0</v>
      </c>
      <c r="D2" s="38" t="s">
        <v>1</v>
      </c>
      <c r="E2" s="38" t="s">
        <v>29</v>
      </c>
      <c r="F2" s="38" t="s">
        <v>2</v>
      </c>
      <c r="G2" s="38" t="s">
        <v>3</v>
      </c>
      <c r="H2" s="38" t="s">
        <v>0</v>
      </c>
      <c r="I2" s="38" t="s">
        <v>1</v>
      </c>
      <c r="J2" s="38" t="s">
        <v>29</v>
      </c>
      <c r="K2" s="38" t="s">
        <v>2</v>
      </c>
      <c r="L2" s="38" t="s">
        <v>3</v>
      </c>
      <c r="M2" s="38" t="s">
        <v>0</v>
      </c>
      <c r="N2" s="38" t="s">
        <v>1</v>
      </c>
      <c r="O2" s="38" t="s">
        <v>29</v>
      </c>
      <c r="P2" s="38" t="s">
        <v>2</v>
      </c>
      <c r="Q2" s="38" t="s">
        <v>3</v>
      </c>
      <c r="R2" s="38" t="s">
        <v>0</v>
      </c>
      <c r="S2" s="38" t="s">
        <v>1</v>
      </c>
      <c r="T2" s="38" t="s">
        <v>2</v>
      </c>
      <c r="U2" s="38" t="s">
        <v>3</v>
      </c>
      <c r="V2" s="38" t="s">
        <v>0</v>
      </c>
      <c r="W2" s="38" t="s">
        <v>1</v>
      </c>
      <c r="X2" s="38" t="s">
        <v>2</v>
      </c>
      <c r="Y2" s="38" t="s">
        <v>3</v>
      </c>
      <c r="Z2" s="38" t="s">
        <v>0</v>
      </c>
      <c r="AA2" s="38" t="s">
        <v>1</v>
      </c>
      <c r="AB2" s="38" t="s">
        <v>2</v>
      </c>
      <c r="AC2" s="38" t="s">
        <v>3</v>
      </c>
      <c r="AD2" s="181"/>
      <c r="AE2" s="71" t="s">
        <v>0</v>
      </c>
      <c r="AF2" s="71" t="s">
        <v>1</v>
      </c>
      <c r="AG2" s="71" t="s">
        <v>2</v>
      </c>
      <c r="AH2" s="71" t="s">
        <v>3</v>
      </c>
      <c r="AI2" s="84" t="s">
        <v>0</v>
      </c>
      <c r="AJ2" s="84" t="s">
        <v>1</v>
      </c>
      <c r="AK2" s="84" t="s">
        <v>2</v>
      </c>
      <c r="AL2" s="84" t="s">
        <v>3</v>
      </c>
      <c r="AM2" s="181"/>
      <c r="AN2" s="122" t="s">
        <v>338</v>
      </c>
      <c r="AO2" s="122" t="s">
        <v>361</v>
      </c>
      <c r="AP2" s="122" t="s">
        <v>360</v>
      </c>
      <c r="AQ2" s="122" t="s">
        <v>2</v>
      </c>
      <c r="AR2" s="122" t="s">
        <v>3</v>
      </c>
      <c r="AS2" s="145" t="s">
        <v>394</v>
      </c>
      <c r="AT2" s="145" t="s">
        <v>396</v>
      </c>
      <c r="AU2" s="145" t="s">
        <v>395</v>
      </c>
      <c r="AV2" s="177"/>
      <c r="AW2" s="177"/>
      <c r="AX2" s="122" t="s">
        <v>338</v>
      </c>
      <c r="AY2" s="122" t="s">
        <v>361</v>
      </c>
      <c r="AZ2" s="122" t="s">
        <v>338</v>
      </c>
      <c r="BA2" s="122" t="s">
        <v>361</v>
      </c>
      <c r="BB2" s="122" t="s">
        <v>338</v>
      </c>
      <c r="BC2" s="122" t="s">
        <v>361</v>
      </c>
      <c r="BD2" s="122" t="s">
        <v>338</v>
      </c>
      <c r="BE2" s="122" t="s">
        <v>361</v>
      </c>
      <c r="BF2" s="122" t="s">
        <v>338</v>
      </c>
      <c r="BG2" s="122" t="s">
        <v>361</v>
      </c>
      <c r="BH2" s="122" t="s">
        <v>338</v>
      </c>
      <c r="BI2" s="122" t="s">
        <v>361</v>
      </c>
      <c r="BJ2" s="122" t="s">
        <v>338</v>
      </c>
      <c r="BK2" s="122" t="s">
        <v>361</v>
      </c>
      <c r="BL2" s="122" t="s">
        <v>338</v>
      </c>
      <c r="BM2" s="122" t="s">
        <v>361</v>
      </c>
      <c r="BN2" s="122" t="s">
        <v>338</v>
      </c>
      <c r="BO2" s="122" t="s">
        <v>361</v>
      </c>
      <c r="BP2" s="122" t="s">
        <v>338</v>
      </c>
      <c r="BQ2" s="122" t="s">
        <v>361</v>
      </c>
      <c r="BR2" s="122" t="s">
        <v>338</v>
      </c>
      <c r="BS2" s="122" t="s">
        <v>361</v>
      </c>
      <c r="BT2" s="122" t="s">
        <v>338</v>
      </c>
      <c r="BU2" s="122" t="s">
        <v>361</v>
      </c>
      <c r="BV2" s="122" t="s">
        <v>338</v>
      </c>
      <c r="BW2" s="122" t="s">
        <v>361</v>
      </c>
      <c r="BX2" s="122" t="s">
        <v>338</v>
      </c>
      <c r="BY2" s="122" t="s">
        <v>361</v>
      </c>
    </row>
    <row r="3" spans="1:77" s="25" customFormat="1" ht="13.5" hidden="1" customHeight="1">
      <c r="A3" s="346" t="s">
        <v>22</v>
      </c>
      <c r="B3" s="39" t="s">
        <v>4</v>
      </c>
      <c r="C3" s="40" t="s">
        <v>5</v>
      </c>
      <c r="D3" s="40" t="s">
        <v>6</v>
      </c>
      <c r="E3" s="40" t="s">
        <v>7</v>
      </c>
      <c r="F3" s="40" t="s">
        <v>8</v>
      </c>
      <c r="G3" s="40" t="s">
        <v>9</v>
      </c>
      <c r="H3" s="40" t="s">
        <v>10</v>
      </c>
      <c r="I3" s="40" t="s">
        <v>11</v>
      </c>
      <c r="J3" s="40" t="s">
        <v>12</v>
      </c>
      <c r="K3" s="40" t="s">
        <v>13</v>
      </c>
      <c r="L3" s="40" t="s">
        <v>20</v>
      </c>
      <c r="M3" s="40" t="s">
        <v>135</v>
      </c>
      <c r="N3" s="40" t="s">
        <v>136</v>
      </c>
      <c r="O3" s="40" t="s">
        <v>137</v>
      </c>
      <c r="P3" s="40" t="s">
        <v>138</v>
      </c>
      <c r="Q3" s="40" t="s">
        <v>139</v>
      </c>
      <c r="R3" s="40" t="s">
        <v>140</v>
      </c>
      <c r="S3" s="40" t="s">
        <v>141</v>
      </c>
      <c r="T3" s="40" t="s">
        <v>142</v>
      </c>
      <c r="U3" s="40" t="s">
        <v>143</v>
      </c>
      <c r="V3" s="40" t="s">
        <v>144</v>
      </c>
      <c r="W3" s="40" t="s">
        <v>145</v>
      </c>
      <c r="X3" s="40" t="s">
        <v>146</v>
      </c>
      <c r="Y3" s="40" t="s">
        <v>147</v>
      </c>
      <c r="Z3" s="40" t="s">
        <v>148</v>
      </c>
      <c r="AA3" s="40" t="s">
        <v>149</v>
      </c>
      <c r="AB3" s="40" t="s">
        <v>150</v>
      </c>
      <c r="AC3" s="40" t="s">
        <v>151</v>
      </c>
      <c r="AD3" s="40" t="s">
        <v>424</v>
      </c>
      <c r="AE3" s="40" t="s">
        <v>190</v>
      </c>
      <c r="AF3" s="40" t="s">
        <v>189</v>
      </c>
      <c r="AG3" s="40" t="s">
        <v>188</v>
      </c>
      <c r="AH3" s="40" t="s">
        <v>187</v>
      </c>
      <c r="AI3" s="40" t="s">
        <v>254</v>
      </c>
      <c r="AJ3" s="40" t="s">
        <v>253</v>
      </c>
      <c r="AK3" s="40" t="s">
        <v>252</v>
      </c>
      <c r="AL3" s="40" t="s">
        <v>251</v>
      </c>
      <c r="AM3" s="40" t="s">
        <v>422</v>
      </c>
      <c r="AN3" s="20" t="s">
        <v>53</v>
      </c>
      <c r="AO3" s="20" t="s">
        <v>164</v>
      </c>
      <c r="AP3" s="20" t="s">
        <v>246</v>
      </c>
      <c r="AQ3" s="20" t="s">
        <v>54</v>
      </c>
      <c r="AR3" s="20" t="s">
        <v>55</v>
      </c>
      <c r="AS3" s="20"/>
      <c r="AT3" s="20"/>
      <c r="AU3" s="20"/>
      <c r="AV3" s="20"/>
      <c r="AW3" s="20"/>
      <c r="AX3" s="20" t="s">
        <v>53</v>
      </c>
      <c r="AY3" s="20" t="s">
        <v>164</v>
      </c>
      <c r="AZ3" s="20" t="s">
        <v>53</v>
      </c>
      <c r="BA3" s="20" t="s">
        <v>164</v>
      </c>
      <c r="BB3" s="20" t="s">
        <v>53</v>
      </c>
      <c r="BC3" s="20" t="s">
        <v>164</v>
      </c>
      <c r="BD3" s="20" t="s">
        <v>53</v>
      </c>
      <c r="BE3" s="20" t="s">
        <v>164</v>
      </c>
      <c r="BF3" s="20" t="s">
        <v>53</v>
      </c>
      <c r="BG3" s="20" t="s">
        <v>164</v>
      </c>
      <c r="BH3" s="20" t="s">
        <v>53</v>
      </c>
      <c r="BI3" s="20" t="s">
        <v>164</v>
      </c>
      <c r="BJ3" s="20" t="s">
        <v>53</v>
      </c>
      <c r="BK3" s="20" t="s">
        <v>164</v>
      </c>
      <c r="BL3" s="20" t="s">
        <v>53</v>
      </c>
      <c r="BM3" s="20" t="s">
        <v>164</v>
      </c>
      <c r="BN3" s="20" t="s">
        <v>53</v>
      </c>
      <c r="BO3" s="20" t="s">
        <v>164</v>
      </c>
      <c r="BP3" s="20" t="s">
        <v>53</v>
      </c>
      <c r="BQ3" s="20" t="s">
        <v>164</v>
      </c>
      <c r="BR3" s="20" t="s">
        <v>53</v>
      </c>
      <c r="BS3" s="20" t="s">
        <v>164</v>
      </c>
      <c r="BT3" s="20" t="s">
        <v>53</v>
      </c>
      <c r="BU3" s="20" t="s">
        <v>164</v>
      </c>
      <c r="BV3" s="20" t="s">
        <v>53</v>
      </c>
      <c r="BW3" s="20" t="s">
        <v>164</v>
      </c>
      <c r="BX3" s="20" t="s">
        <v>53</v>
      </c>
      <c r="BY3" s="20" t="s">
        <v>164</v>
      </c>
    </row>
    <row r="4" spans="1:77" s="36" customFormat="1" ht="16.5">
      <c r="A4" s="346"/>
      <c r="B4" s="2" t="s">
        <v>152</v>
      </c>
      <c r="C4" s="41"/>
      <c r="D4" s="41"/>
      <c r="E4" s="41"/>
      <c r="F4" s="41"/>
      <c r="G4" s="41"/>
      <c r="H4" s="41"/>
      <c r="I4" s="41"/>
      <c r="J4" s="41"/>
      <c r="K4" s="41"/>
      <c r="L4" s="41"/>
      <c r="M4" s="41"/>
      <c r="N4" s="41"/>
      <c r="O4" s="41"/>
      <c r="P4" s="41"/>
      <c r="Q4" s="41"/>
      <c r="R4" s="41">
        <v>19</v>
      </c>
      <c r="S4" s="43">
        <v>3.36903187455819</v>
      </c>
      <c r="T4" s="43">
        <v>6.4370525444301698</v>
      </c>
      <c r="U4" s="43">
        <v>0.30101120468621401</v>
      </c>
      <c r="V4" s="41"/>
      <c r="W4" s="43"/>
      <c r="X4" s="43"/>
      <c r="Y4" s="43"/>
      <c r="Z4" s="41">
        <v>6</v>
      </c>
      <c r="AA4" s="43">
        <v>5.2489898989899002</v>
      </c>
      <c r="AB4" s="43">
        <v>9.7266747661067505</v>
      </c>
      <c r="AC4" s="43">
        <v>0.77130503187305</v>
      </c>
      <c r="AD4" s="43">
        <f>(R4*S4+V4*W4+Z4*AA4)/(R4+V4+Z4)</f>
        <v>3.8202218004218</v>
      </c>
      <c r="AE4" s="95">
        <v>23</v>
      </c>
      <c r="AF4" s="43">
        <v>4.8775177846984352</v>
      </c>
      <c r="AG4" s="43">
        <v>6.6106547269961675</v>
      </c>
      <c r="AH4" s="43">
        <v>3.1443808424007029</v>
      </c>
      <c r="AI4" s="95">
        <v>29</v>
      </c>
      <c r="AJ4" s="43">
        <v>1.5762196587685728</v>
      </c>
      <c r="AK4" s="43">
        <v>5.9769877069207213</v>
      </c>
      <c r="AL4" s="43">
        <v>2.8245483893835752</v>
      </c>
      <c r="AM4" s="194">
        <f>(AE4*AF4+AI4*AJ4)/(AE4+AI4)</f>
        <v>3.0364092144683195</v>
      </c>
      <c r="AN4" s="142">
        <f>SUM(AX4+AZ4+BB4+BD4+BF4+BH4+BJ4+BL4+BN4+BP4+BR4+BT4+BV4+BX4)</f>
        <v>0</v>
      </c>
      <c r="AO4" s="132" t="e">
        <f>(AX4*AY4+AZ4*BA4+BB4*BC4+BD4*BE4+BF4*BG4+BH4*BI4+BJ4*BK4+BL4*BM4+BN4*BO4+BP4*BQ4+BR4*BS4+BT4*BU4+BV4*BW4+BX4*BY4)/AN4</f>
        <v>#VALUE!</v>
      </c>
      <c r="AP4" s="132" t="str">
        <f>IFERROR(STDEV(AY4,BA4,BC4,BE4,BG4,BI4,BK4,BM4,BO4,BQ4,BS4,BU4,BW4,BY4),"")</f>
        <v/>
      </c>
      <c r="AQ4" s="132" t="str">
        <f>IFERROR(IF(AP4&lt;AO4*0.1,AO4+3*AP4,AO4+AP4),"")</f>
        <v/>
      </c>
      <c r="AR4" s="231" t="str">
        <f>IFERROR(IF(AP4&lt;AO4*0.1,MAX(AO4-3*AP4,0),MAX(AO4-AP4,0)),"")</f>
        <v/>
      </c>
      <c r="AS4" s="132" t="e">
        <f>AO4*1.1</f>
        <v>#VALUE!</v>
      </c>
      <c r="AT4" s="132" t="e">
        <f>AQ4*1.1</f>
        <v>#VALUE!</v>
      </c>
      <c r="AU4" s="132" t="e">
        <f>AR4*1.1</f>
        <v>#VALUE!</v>
      </c>
      <c r="AV4" s="188" t="s">
        <v>415</v>
      </c>
      <c r="AW4" s="188" t="e">
        <f>IF(AO4&gt;=AM4,"Up","Down")</f>
        <v>#VALUE!</v>
      </c>
      <c r="AX4" s="144"/>
      <c r="AY4" s="144"/>
      <c r="AZ4" s="144"/>
      <c r="BA4" s="144"/>
      <c r="BB4" s="144"/>
      <c r="BC4" s="144"/>
      <c r="BD4" s="144">
        <f>IFERROR(VLOOKUP($B4,#REF!,2,0),0)</f>
        <v>0</v>
      </c>
      <c r="BE4" s="144" t="str">
        <f>IFERROR(VLOOKUP($B4,#REF!,3,0),"")</f>
        <v/>
      </c>
      <c r="BF4" s="4"/>
      <c r="BG4" s="4"/>
      <c r="BH4" s="4"/>
      <c r="BI4" s="4"/>
      <c r="BJ4" s="15">
        <f>IFERROR(VLOOKUP($B4,#REF!,2,0),0)</f>
        <v>0</v>
      </c>
      <c r="BK4" s="144" t="str">
        <f>IFERROR(VLOOKUP($B4,#REF!,3,0),"")</f>
        <v/>
      </c>
      <c r="BL4" s="15"/>
      <c r="BM4" s="144"/>
      <c r="BN4" s="15"/>
      <c r="BO4" s="144"/>
      <c r="BP4" s="15"/>
      <c r="BQ4" s="15"/>
      <c r="BR4" s="15"/>
      <c r="BS4" s="144"/>
      <c r="BT4" s="15"/>
      <c r="BU4" s="15"/>
      <c r="BV4" s="144"/>
      <c r="BW4" s="144"/>
      <c r="BX4" s="15"/>
      <c r="BY4" s="15"/>
    </row>
    <row r="5" spans="1:77" s="36" customFormat="1" ht="16.5" hidden="1">
      <c r="A5" s="346"/>
      <c r="B5" s="21" t="s">
        <v>385</v>
      </c>
      <c r="C5" s="41"/>
      <c r="D5" s="41"/>
      <c r="E5" s="41"/>
      <c r="F5" s="41"/>
      <c r="G5" s="41"/>
      <c r="H5" s="41">
        <v>5</v>
      </c>
      <c r="I5" s="43">
        <v>11.5648351648352</v>
      </c>
      <c r="J5" s="43">
        <v>7.9186694238228599</v>
      </c>
      <c r="K5" s="43">
        <v>19.483504588658001</v>
      </c>
      <c r="L5" s="43">
        <v>3.6461657410123101</v>
      </c>
      <c r="M5" s="41">
        <v>32</v>
      </c>
      <c r="N5" s="43">
        <v>13.750839999318</v>
      </c>
      <c r="O5" s="43">
        <v>8.8351280613498595</v>
      </c>
      <c r="P5" s="43">
        <v>22.585968060667799</v>
      </c>
      <c r="Q5" s="43">
        <v>4.91571193796812</v>
      </c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3"/>
      <c r="AD5" s="43" t="e">
        <f t="shared" ref="AD5:AD18" si="0">(R5*S5+V5*W5+Z5*AA5)/(R5+V5+Z5)</f>
        <v>#DIV/0!</v>
      </c>
      <c r="AE5" s="95">
        <v>37</v>
      </c>
      <c r="AF5" s="43">
        <v>6.897885770420495</v>
      </c>
      <c r="AG5" s="43">
        <v>12.016446151525713</v>
      </c>
      <c r="AH5" s="43">
        <v>1.779325389315277</v>
      </c>
      <c r="AI5" s="95">
        <v>23</v>
      </c>
      <c r="AJ5" s="43">
        <v>2.7733147563394058</v>
      </c>
      <c r="AK5" s="43">
        <v>8.7532830361436478</v>
      </c>
      <c r="AL5" s="43">
        <v>3.2066535234648366</v>
      </c>
      <c r="AM5" s="194">
        <f t="shared" ref="AM5:AM18" si="1">(AE5*AF5+AI5*AJ5)/(AE5+AI5)</f>
        <v>5.3168002150227434</v>
      </c>
      <c r="AN5" s="142">
        <f t="shared" ref="AN5:AN17" si="2">SUM(AX5+AZ5+BB5+BD5+BF5+BH5+BJ5+BL5+BN5+BP5+BR5+BT5+BV5+BX5)</f>
        <v>0</v>
      </c>
      <c r="AO5" s="132" t="e">
        <f t="shared" ref="AO5:AO17" si="3">(AX5*AY5+AZ5*BA5+BB5*BC5+BD5*BE5+BF5*BG5+BH5*BI5+BJ5*BK5+BL5*BM5+BN5*BO5+BP5*BQ5+BR5*BS5+BT5*BU5+BV5*BW5+BX5*BY5)/AN5</f>
        <v>#VALUE!</v>
      </c>
      <c r="AP5" s="132" t="str">
        <f t="shared" ref="AP5:AP18" si="4">IFERROR(STDEV(AY5,BA5,BC5,BE5,BG5,BI5,BK5,BM5,BO5,BQ5,BS5,BU5,BW5,BY5),"")</f>
        <v/>
      </c>
      <c r="AQ5" s="132" t="str">
        <f t="shared" ref="AQ5:AQ18" si="5">IFERROR(IF(AP5&lt;AO5*0.1,AO5+3*AP5,AO5+AP5),"")</f>
        <v/>
      </c>
      <c r="AR5" s="231" t="str">
        <f t="shared" ref="AR5:AR18" si="6">IFERROR(IF(AP5&lt;AO5*0.1,MAX(AO5-3*AP5,0),MAX(AO5-AP5,0)),"")</f>
        <v/>
      </c>
      <c r="AS5" s="132" t="e">
        <f t="shared" ref="AS5:AS18" si="7">AO5*1.1</f>
        <v>#VALUE!</v>
      </c>
      <c r="AT5" s="132" t="e">
        <f t="shared" ref="AT5:AT18" si="8">AQ5*1.1</f>
        <v>#VALUE!</v>
      </c>
      <c r="AU5" s="132" t="e">
        <f t="shared" ref="AU5:AU18" si="9">AR5*1.1</f>
        <v>#VALUE!</v>
      </c>
      <c r="AV5" s="188"/>
      <c r="AW5" s="188" t="e">
        <f t="shared" ref="AW5:AW8" si="10">IF(AO5&gt;=AM5,"Up","Down")</f>
        <v>#VALUE!</v>
      </c>
      <c r="AX5" s="144"/>
      <c r="AY5" s="144"/>
      <c r="AZ5" s="144"/>
      <c r="BA5" s="144"/>
      <c r="BB5" s="144"/>
      <c r="BC5" s="144"/>
      <c r="BD5" s="144">
        <f>IFERROR(VLOOKUP($B5,#REF!,2,0),0)</f>
        <v>0</v>
      </c>
      <c r="BE5" s="144" t="str">
        <f>IFERROR(VLOOKUP($B5,#REF!,3,0),"")</f>
        <v/>
      </c>
      <c r="BF5" s="4"/>
      <c r="BG5" s="4"/>
      <c r="BH5" s="4"/>
      <c r="BI5" s="4"/>
      <c r="BJ5" s="15">
        <f>IFERROR(VLOOKUP($B5,#REF!,2,0),0)</f>
        <v>0</v>
      </c>
      <c r="BK5" s="144" t="str">
        <f>IFERROR(VLOOKUP($B5,#REF!,3,0),"")</f>
        <v/>
      </c>
      <c r="BL5" s="15">
        <f>IFERROR(VLOOKUP($B5,#REF!,12,0),0)</f>
        <v>0</v>
      </c>
      <c r="BM5" s="144" t="str">
        <f>IFERROR(VLOOKUP($B5,#REF!,13,0),"")</f>
        <v/>
      </c>
      <c r="BN5" s="15">
        <f>IFERROR(VLOOKUP($B5,#REF!,12,0),0)</f>
        <v>0</v>
      </c>
      <c r="BO5" s="144" t="str">
        <f>IFERROR(VLOOKUP($B5,#REF!,13,0),"")</f>
        <v/>
      </c>
      <c r="BP5" s="4"/>
      <c r="BQ5" s="4"/>
      <c r="BR5" s="15"/>
      <c r="BS5" s="144"/>
      <c r="BT5" s="4"/>
      <c r="BU5" s="4"/>
      <c r="BV5" s="144"/>
      <c r="BW5" s="144"/>
      <c r="BX5" s="4"/>
      <c r="BY5" s="4"/>
    </row>
    <row r="6" spans="1:77" s="36" customFormat="1" ht="16.5" hidden="1">
      <c r="A6" s="346"/>
      <c r="B6" s="21" t="s">
        <v>153</v>
      </c>
      <c r="C6" s="41"/>
      <c r="D6" s="41"/>
      <c r="E6" s="41"/>
      <c r="F6" s="41"/>
      <c r="G6" s="41"/>
      <c r="H6" s="41"/>
      <c r="I6" s="43"/>
      <c r="J6" s="43"/>
      <c r="K6" s="43"/>
      <c r="L6" s="43"/>
      <c r="M6" s="41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>
        <v>34</v>
      </c>
      <c r="AA6" s="43">
        <v>23.1783692609973</v>
      </c>
      <c r="AB6" s="43">
        <v>66.855769619787495</v>
      </c>
      <c r="AC6" s="43">
        <v>0</v>
      </c>
      <c r="AD6" s="43">
        <f t="shared" si="0"/>
        <v>23.1783692609973</v>
      </c>
      <c r="AE6" s="95"/>
      <c r="AF6" s="43"/>
      <c r="AG6" s="43"/>
      <c r="AH6" s="43"/>
      <c r="AI6" s="43"/>
      <c r="AJ6" s="43"/>
      <c r="AK6" s="43"/>
      <c r="AL6" s="43"/>
      <c r="AM6" s="194" t="e">
        <f t="shared" si="1"/>
        <v>#DIV/0!</v>
      </c>
      <c r="AN6" s="142"/>
      <c r="AO6" s="4"/>
      <c r="AP6" s="4" t="str">
        <f t="shared" si="4"/>
        <v/>
      </c>
      <c r="AQ6" s="4" t="str">
        <f t="shared" si="5"/>
        <v/>
      </c>
      <c r="AR6" s="143" t="str">
        <f t="shared" si="6"/>
        <v/>
      </c>
      <c r="AS6" s="4">
        <f t="shared" si="7"/>
        <v>0</v>
      </c>
      <c r="AT6" s="132" t="e">
        <f t="shared" si="8"/>
        <v>#VALUE!</v>
      </c>
      <c r="AU6" s="4" t="e">
        <f t="shared" si="9"/>
        <v>#VALUE!</v>
      </c>
      <c r="AV6" s="188"/>
      <c r="AW6" s="188" t="e">
        <f t="shared" si="10"/>
        <v>#DIV/0!</v>
      </c>
      <c r="AX6" s="144"/>
      <c r="AY6" s="144"/>
      <c r="AZ6" s="144"/>
      <c r="BA6" s="144"/>
      <c r="BB6" s="144"/>
      <c r="BC6" s="144"/>
      <c r="BD6" s="144"/>
      <c r="BE6" s="144" t="str">
        <f>IFERROR(VLOOKUP($B6,#REF!,3,0),"")</f>
        <v/>
      </c>
      <c r="BF6" s="4"/>
      <c r="BG6" s="4"/>
      <c r="BH6" s="4"/>
      <c r="BI6" s="4"/>
      <c r="BJ6" s="15"/>
      <c r="BK6" s="144" t="str">
        <f>IFERROR(VLOOKUP($B6,#REF!,3,0),"")</f>
        <v/>
      </c>
      <c r="BL6" s="15"/>
      <c r="BM6" s="144"/>
      <c r="BN6" s="15"/>
      <c r="BO6" s="144"/>
      <c r="BP6" s="4"/>
      <c r="BQ6" s="4"/>
      <c r="BR6" s="15"/>
      <c r="BS6" s="144"/>
      <c r="BT6" s="4"/>
      <c r="BU6" s="4"/>
      <c r="BV6" s="144"/>
      <c r="BW6" s="144"/>
      <c r="BX6" s="4"/>
      <c r="BY6" s="4"/>
    </row>
    <row r="7" spans="1:77" s="36" customFormat="1" ht="16.5">
      <c r="A7" s="346"/>
      <c r="B7" s="2" t="s">
        <v>154</v>
      </c>
      <c r="C7" s="41"/>
      <c r="D7" s="41"/>
      <c r="E7" s="41"/>
      <c r="F7" s="41"/>
      <c r="G7" s="41"/>
      <c r="H7" s="41">
        <v>4</v>
      </c>
      <c r="I7" s="43">
        <v>12.763920454545501</v>
      </c>
      <c r="J7" s="43">
        <v>0.69613279896496705</v>
      </c>
      <c r="K7" s="43">
        <v>14.852318851440399</v>
      </c>
      <c r="L7" s="43">
        <v>10.6755220576506</v>
      </c>
      <c r="M7" s="41">
        <v>41</v>
      </c>
      <c r="N7" s="43">
        <v>16.283717120253801</v>
      </c>
      <c r="O7" s="43">
        <v>6.3728906048301504</v>
      </c>
      <c r="P7" s="43">
        <v>22.656607725084001</v>
      </c>
      <c r="Q7" s="43">
        <v>9.9108265154236701</v>
      </c>
      <c r="R7" s="41">
        <v>23</v>
      </c>
      <c r="S7" s="43">
        <v>15.723488396053799</v>
      </c>
      <c r="T7" s="43">
        <v>20.8594930116409</v>
      </c>
      <c r="U7" s="43">
        <v>10.587483780466799</v>
      </c>
      <c r="V7" s="41"/>
      <c r="W7" s="43"/>
      <c r="X7" s="43"/>
      <c r="Y7" s="43"/>
      <c r="Z7" s="41">
        <v>27</v>
      </c>
      <c r="AA7" s="43">
        <v>10.8841380369812</v>
      </c>
      <c r="AB7" s="43">
        <v>14.912629602010799</v>
      </c>
      <c r="AC7" s="43">
        <v>6.8556464719515402</v>
      </c>
      <c r="AD7" s="43">
        <f t="shared" si="0"/>
        <v>13.110239202154595</v>
      </c>
      <c r="AE7" s="95">
        <v>56</v>
      </c>
      <c r="AF7" s="43">
        <v>21.120589918777359</v>
      </c>
      <c r="AG7" s="43">
        <v>37.96094153909803</v>
      </c>
      <c r="AH7" s="43">
        <v>4.2802382984566911</v>
      </c>
      <c r="AI7" s="101">
        <v>32</v>
      </c>
      <c r="AJ7" s="102">
        <v>12.413579337831944</v>
      </c>
      <c r="AK7" s="102">
        <v>18.441140054524801</v>
      </c>
      <c r="AL7" s="102">
        <v>6.3860186211390868</v>
      </c>
      <c r="AM7" s="194">
        <f t="shared" si="1"/>
        <v>17.954404252979028</v>
      </c>
      <c r="AN7" s="142">
        <f t="shared" si="2"/>
        <v>0</v>
      </c>
      <c r="AO7" s="132" t="e">
        <f t="shared" si="3"/>
        <v>#VALUE!</v>
      </c>
      <c r="AP7" s="132" t="str">
        <f t="shared" si="4"/>
        <v/>
      </c>
      <c r="AQ7" s="132" t="str">
        <f t="shared" si="5"/>
        <v/>
      </c>
      <c r="AR7" s="231" t="str">
        <f t="shared" si="6"/>
        <v/>
      </c>
      <c r="AS7" s="132" t="e">
        <f t="shared" si="7"/>
        <v>#VALUE!</v>
      </c>
      <c r="AT7" s="132" t="e">
        <f t="shared" si="8"/>
        <v>#VALUE!</v>
      </c>
      <c r="AU7" s="132" t="e">
        <f t="shared" si="9"/>
        <v>#VALUE!</v>
      </c>
      <c r="AV7" s="188" t="s">
        <v>415</v>
      </c>
      <c r="AW7" s="188" t="e">
        <f t="shared" si="10"/>
        <v>#VALUE!</v>
      </c>
      <c r="AX7" s="144"/>
      <c r="AY7" s="144"/>
      <c r="AZ7" s="144"/>
      <c r="BA7" s="144"/>
      <c r="BB7" s="144"/>
      <c r="BC7" s="144"/>
      <c r="BD7" s="144">
        <f>IFERROR(VLOOKUP($B7,#REF!,2,0),0)</f>
        <v>0</v>
      </c>
      <c r="BE7" s="144" t="str">
        <f>IFERROR(VLOOKUP($B7,#REF!,3,0),"")</f>
        <v/>
      </c>
      <c r="BF7" s="4"/>
      <c r="BG7" s="4"/>
      <c r="BH7" s="4"/>
      <c r="BI7" s="4"/>
      <c r="BJ7" s="15">
        <f>IFERROR(VLOOKUP($B7,#REF!,2,0),0)</f>
        <v>0</v>
      </c>
      <c r="BK7" s="144" t="str">
        <f>IFERROR(VLOOKUP($B7,#REF!,3,0),"")</f>
        <v/>
      </c>
      <c r="BL7" s="15">
        <f>IFERROR(VLOOKUP($B7,#REF!,12,0),0)</f>
        <v>0</v>
      </c>
      <c r="BM7" s="144" t="str">
        <f>IFERROR(VLOOKUP($B7,#REF!,13,0),"")</f>
        <v/>
      </c>
      <c r="BN7" s="15"/>
      <c r="BO7" s="144"/>
      <c r="BP7" s="4"/>
      <c r="BQ7" s="4"/>
      <c r="BR7" s="15"/>
      <c r="BS7" s="144"/>
      <c r="BT7" s="4"/>
      <c r="BU7" s="4"/>
      <c r="BV7" s="144"/>
      <c r="BW7" s="144"/>
      <c r="BX7" s="4"/>
      <c r="BY7" s="4"/>
    </row>
    <row r="8" spans="1:77" s="36" customFormat="1" ht="17.25" thickBot="1">
      <c r="A8" s="346"/>
      <c r="B8" s="2" t="s">
        <v>155</v>
      </c>
      <c r="C8" s="3">
        <v>56</v>
      </c>
      <c r="D8" s="4">
        <v>8.0579953252467806</v>
      </c>
      <c r="E8" s="4">
        <v>3.7574696560294898</v>
      </c>
      <c r="F8" s="4">
        <v>11.8154649812763</v>
      </c>
      <c r="G8" s="4">
        <v>4.30052566921729</v>
      </c>
      <c r="H8" s="3">
        <v>98</v>
      </c>
      <c r="I8" s="4">
        <v>8.5768045785236104</v>
      </c>
      <c r="J8" s="4">
        <v>5.70563837925173</v>
      </c>
      <c r="K8" s="4">
        <v>14.2824429577753</v>
      </c>
      <c r="L8" s="4">
        <v>2.87116619927188</v>
      </c>
      <c r="M8" s="3">
        <v>50</v>
      </c>
      <c r="N8" s="4">
        <v>17.615388443300098</v>
      </c>
      <c r="O8" s="4">
        <v>20.149686004020399</v>
      </c>
      <c r="P8" s="4">
        <v>0</v>
      </c>
      <c r="Q8" s="4">
        <v>37.765074447320501</v>
      </c>
      <c r="R8" s="41">
        <v>30</v>
      </c>
      <c r="S8" s="4">
        <v>19.592993705728599</v>
      </c>
      <c r="T8" s="4">
        <v>32.543560718460199</v>
      </c>
      <c r="U8" s="4">
        <v>6.6424266929970299</v>
      </c>
      <c r="V8" s="41">
        <v>60</v>
      </c>
      <c r="W8" s="4">
        <v>14.704877555772899</v>
      </c>
      <c r="X8" s="4">
        <v>2.4243087430248198</v>
      </c>
      <c r="Y8" s="4">
        <v>26.985446368520901</v>
      </c>
      <c r="Z8" s="41">
        <v>62</v>
      </c>
      <c r="AA8" s="4">
        <v>6.3702815443136602</v>
      </c>
      <c r="AB8" s="4">
        <v>10.5157799803766</v>
      </c>
      <c r="AC8" s="4">
        <v>2.2247831082507701</v>
      </c>
      <c r="AD8" s="43">
        <f t="shared" si="0"/>
        <v>12.269999475432099</v>
      </c>
      <c r="AE8" s="15">
        <v>89</v>
      </c>
      <c r="AF8" s="4">
        <v>16.660624469781514</v>
      </c>
      <c r="AG8" s="4">
        <v>28.71309147839554</v>
      </c>
      <c r="AH8" s="4">
        <v>4.6081574611674867</v>
      </c>
      <c r="AI8" s="3">
        <v>40</v>
      </c>
      <c r="AJ8" s="103">
        <v>18.504434845388701</v>
      </c>
      <c r="AK8" s="103">
        <v>26.118105607619285</v>
      </c>
      <c r="AL8" s="103">
        <v>10.890764083158119</v>
      </c>
      <c r="AM8" s="194">
        <f t="shared" si="1"/>
        <v>17.232348617256608</v>
      </c>
      <c r="AN8" s="142">
        <f t="shared" si="2"/>
        <v>0</v>
      </c>
      <c r="AO8" s="132" t="e">
        <f t="shared" si="3"/>
        <v>#VALUE!</v>
      </c>
      <c r="AP8" s="132" t="str">
        <f t="shared" si="4"/>
        <v/>
      </c>
      <c r="AQ8" s="132" t="str">
        <f t="shared" si="5"/>
        <v/>
      </c>
      <c r="AR8" s="231" t="str">
        <f t="shared" si="6"/>
        <v/>
      </c>
      <c r="AS8" s="132" t="e">
        <f t="shared" si="7"/>
        <v>#VALUE!</v>
      </c>
      <c r="AT8" s="132" t="e">
        <f t="shared" si="8"/>
        <v>#VALUE!</v>
      </c>
      <c r="AU8" s="132" t="e">
        <f t="shared" si="9"/>
        <v>#VALUE!</v>
      </c>
      <c r="AV8" s="188" t="s">
        <v>415</v>
      </c>
      <c r="AW8" s="188" t="e">
        <f t="shared" si="10"/>
        <v>#VALUE!</v>
      </c>
      <c r="AX8" s="144"/>
      <c r="AY8" s="144"/>
      <c r="AZ8" s="144"/>
      <c r="BA8" s="144"/>
      <c r="BB8" s="144"/>
      <c r="BC8" s="144"/>
      <c r="BD8" s="144">
        <f>IFERROR(VLOOKUP($B8,#REF!,2,0),0)</f>
        <v>0</v>
      </c>
      <c r="BE8" s="144" t="str">
        <f>IFERROR(VLOOKUP($B8,#REF!,3,0),"")</f>
        <v/>
      </c>
      <c r="BF8" s="4"/>
      <c r="BG8" s="4"/>
      <c r="BH8" s="4"/>
      <c r="BI8" s="4"/>
      <c r="BJ8" s="15">
        <f>IFERROR(VLOOKUP($B8,#REF!,2,0),0)</f>
        <v>0</v>
      </c>
      <c r="BK8" s="144" t="str">
        <f>IFERROR(VLOOKUP($B8,#REF!,3,0),"")</f>
        <v/>
      </c>
      <c r="BL8" s="15"/>
      <c r="BM8" s="144"/>
      <c r="BN8" s="15">
        <f>IFERROR(VLOOKUP($B8,#REF!,12,0),0)</f>
        <v>0</v>
      </c>
      <c r="BO8" s="144" t="str">
        <f>IFERROR(VLOOKUP($B8,#REF!,13,0),"")</f>
        <v/>
      </c>
      <c r="BP8" s="4"/>
      <c r="BQ8" s="4"/>
      <c r="BR8" s="15">
        <f>IFERROR(VLOOKUP($B8,#REF!,12,0),0)</f>
        <v>0</v>
      </c>
      <c r="BS8" s="144" t="str">
        <f>IFERROR(VLOOKUP($B8,#REF!,13,0),"")</f>
        <v/>
      </c>
      <c r="BT8" s="4"/>
      <c r="BU8" s="4"/>
      <c r="BV8" s="144">
        <f>IFERROR(VLOOKUP($B8,#REF!,2,0),0)</f>
        <v>0</v>
      </c>
      <c r="BW8" s="144" t="str">
        <f>IFERROR(VLOOKUP($B8,#REF!,3,0),"")</f>
        <v/>
      </c>
      <c r="BX8" s="4"/>
      <c r="BY8" s="4"/>
    </row>
    <row r="9" spans="1:77" s="36" customFormat="1" ht="17.25" hidden="1" thickBot="1">
      <c r="A9" s="347" t="s">
        <v>21</v>
      </c>
      <c r="B9" s="21" t="s">
        <v>391</v>
      </c>
      <c r="C9" s="3">
        <v>49</v>
      </c>
      <c r="D9" s="5">
        <v>4.12677548781272E-2</v>
      </c>
      <c r="E9" s="5">
        <v>4.8243736787570303E-2</v>
      </c>
      <c r="F9" s="5">
        <v>8.9511491665697496E-2</v>
      </c>
      <c r="G9" s="5">
        <v>0</v>
      </c>
      <c r="H9" s="3">
        <v>88</v>
      </c>
      <c r="I9" s="5">
        <v>0.12276500816953501</v>
      </c>
      <c r="J9" s="5">
        <v>0.20056815246416701</v>
      </c>
      <c r="K9" s="5">
        <v>0.32333316063370199</v>
      </c>
      <c r="L9" s="5">
        <v>0</v>
      </c>
      <c r="M9" s="3">
        <v>55</v>
      </c>
      <c r="N9" s="5">
        <v>2.8990204138898301E-2</v>
      </c>
      <c r="O9" s="5">
        <v>5.8690934111220797E-2</v>
      </c>
      <c r="P9" s="5">
        <v>0</v>
      </c>
      <c r="Q9" s="5">
        <v>8.7681138250119001E-2</v>
      </c>
      <c r="R9" s="41"/>
      <c r="S9" s="5"/>
      <c r="T9" s="5"/>
      <c r="U9" s="5"/>
      <c r="V9" s="41"/>
      <c r="W9" s="5"/>
      <c r="X9" s="5"/>
      <c r="Y9" s="5"/>
      <c r="Z9" s="41"/>
      <c r="AA9" s="5"/>
      <c r="AB9" s="5"/>
      <c r="AC9" s="5"/>
      <c r="AD9" s="43" t="e">
        <f t="shared" si="0"/>
        <v>#DIV/0!</v>
      </c>
      <c r="AE9" s="96">
        <v>8</v>
      </c>
      <c r="AF9" s="5">
        <v>1.9165683621062198E-2</v>
      </c>
      <c r="AG9" s="5">
        <v>3.953788745907795E-2</v>
      </c>
      <c r="AH9" s="5">
        <v>0</v>
      </c>
      <c r="AI9" s="10">
        <v>20</v>
      </c>
      <c r="AJ9" s="16">
        <v>6.6210564934148803E-3</v>
      </c>
      <c r="AK9" s="16">
        <v>3.0665056979307818E-2</v>
      </c>
      <c r="AL9" s="16">
        <v>0</v>
      </c>
      <c r="AM9" s="195">
        <f t="shared" si="1"/>
        <v>1.0205235672742686E-2</v>
      </c>
      <c r="AN9" s="142">
        <f t="shared" si="2"/>
        <v>0</v>
      </c>
      <c r="AO9" s="23" t="e">
        <f t="shared" si="3"/>
        <v>#VALUE!</v>
      </c>
      <c r="AP9" s="23" t="str">
        <f t="shared" si="4"/>
        <v/>
      </c>
      <c r="AQ9" s="23" t="str">
        <f t="shared" si="5"/>
        <v/>
      </c>
      <c r="AR9" s="159" t="str">
        <f t="shared" si="6"/>
        <v/>
      </c>
      <c r="AS9" s="23" t="str">
        <f t="shared" ref="AS9" si="11">IFERROR(IF(AO9*1.1&gt;100%,100%,AO9*1.1),"")</f>
        <v/>
      </c>
      <c r="AT9" s="23" t="e">
        <f t="shared" si="8"/>
        <v>#VALUE!</v>
      </c>
      <c r="AU9" s="23" t="e">
        <f t="shared" si="9"/>
        <v>#VALUE!</v>
      </c>
      <c r="AV9" s="189"/>
      <c r="AW9" s="188" t="e">
        <f t="shared" ref="AW9:AW14" si="12">IF(AO9&lt;=AM9,"Good","Bad")</f>
        <v>#VALUE!</v>
      </c>
      <c r="AX9" s="144"/>
      <c r="AY9" s="144"/>
      <c r="AZ9" s="144"/>
      <c r="BA9" s="144"/>
      <c r="BB9" s="144"/>
      <c r="BC9" s="144"/>
      <c r="BD9" s="144"/>
      <c r="BE9" s="144" t="str">
        <f>IFERROR(VLOOKUP($B9,#REF!,3,0),"")</f>
        <v/>
      </c>
      <c r="BF9" s="4"/>
      <c r="BG9" s="4"/>
      <c r="BH9" s="4"/>
      <c r="BI9" s="4"/>
      <c r="BJ9" s="15">
        <f>IFERROR(VLOOKUP($B9,#REF!,2,0),0)</f>
        <v>0</v>
      </c>
      <c r="BK9" s="144" t="str">
        <f>IFERROR(VLOOKUP($B9,#REF!,3,0),"")</f>
        <v/>
      </c>
      <c r="BL9" s="15"/>
      <c r="BM9" s="144"/>
      <c r="BN9" s="15"/>
      <c r="BO9" s="144"/>
      <c r="BP9" s="4"/>
      <c r="BQ9" s="4"/>
      <c r="BR9" s="15">
        <f>IFERROR(VLOOKUP($B9,#REF!,12,0),0)</f>
        <v>0</v>
      </c>
      <c r="BS9" s="144" t="str">
        <f>IFERROR(VLOOKUP($B9,#REF!,13,0),"")</f>
        <v/>
      </c>
      <c r="BT9" s="4"/>
      <c r="BU9" s="4"/>
      <c r="BV9" s="144"/>
      <c r="BW9" s="144"/>
      <c r="BX9" s="4"/>
      <c r="BY9" s="4"/>
    </row>
    <row r="10" spans="1:77" s="36" customFormat="1" ht="17.25" thickBot="1">
      <c r="A10" s="348"/>
      <c r="B10" s="2" t="s">
        <v>156</v>
      </c>
      <c r="C10" s="14"/>
      <c r="D10" s="5"/>
      <c r="E10" s="5"/>
      <c r="F10" s="5"/>
      <c r="G10" s="5"/>
      <c r="H10" s="10"/>
      <c r="I10" s="5"/>
      <c r="J10" s="5"/>
      <c r="K10" s="5"/>
      <c r="L10" s="5"/>
      <c r="M10" s="10"/>
      <c r="N10" s="5"/>
      <c r="O10" s="5"/>
      <c r="P10" s="5"/>
      <c r="Q10" s="5"/>
      <c r="R10" s="41">
        <v>23</v>
      </c>
      <c r="S10" s="5">
        <v>5.3306990757588803E-2</v>
      </c>
      <c r="T10" s="5">
        <v>0.121195420098945</v>
      </c>
      <c r="U10" s="5">
        <v>0</v>
      </c>
      <c r="V10" s="41"/>
      <c r="W10" s="5"/>
      <c r="X10" s="5"/>
      <c r="Y10" s="5"/>
      <c r="Z10" s="41"/>
      <c r="AA10" s="5"/>
      <c r="AB10" s="5"/>
      <c r="AC10" s="5"/>
      <c r="AD10" s="244">
        <f t="shared" si="0"/>
        <v>5.3306990757588803E-2</v>
      </c>
      <c r="AE10" s="97">
        <v>38</v>
      </c>
      <c r="AF10" s="74">
        <v>0.17612014058935935</v>
      </c>
      <c r="AG10" s="74">
        <v>0.55184744716620904</v>
      </c>
      <c r="AH10" s="74">
        <v>0</v>
      </c>
      <c r="AI10" s="74"/>
      <c r="AJ10" s="74"/>
      <c r="AK10" s="74"/>
      <c r="AL10" s="74"/>
      <c r="AM10" s="245">
        <f t="shared" si="1"/>
        <v>0.17612014058935935</v>
      </c>
      <c r="AN10" s="142">
        <f t="shared" si="2"/>
        <v>0</v>
      </c>
      <c r="AO10" s="132" t="e">
        <f t="shared" si="3"/>
        <v>#VALUE!</v>
      </c>
      <c r="AP10" s="132" t="str">
        <f t="shared" si="4"/>
        <v/>
      </c>
      <c r="AQ10" s="233">
        <v>0.2</v>
      </c>
      <c r="AR10" s="234">
        <v>0</v>
      </c>
      <c r="AS10" s="132" t="e">
        <f t="shared" si="7"/>
        <v>#VALUE!</v>
      </c>
      <c r="AT10" s="132">
        <f t="shared" si="8"/>
        <v>0.22000000000000003</v>
      </c>
      <c r="AU10" s="132">
        <f t="shared" si="9"/>
        <v>0</v>
      </c>
      <c r="AV10" s="188" t="s">
        <v>415</v>
      </c>
      <c r="AW10" s="188" t="e">
        <f t="shared" si="12"/>
        <v>#VALUE!</v>
      </c>
      <c r="AX10" s="144"/>
      <c r="AY10" s="144"/>
      <c r="AZ10" s="144"/>
      <c r="BA10" s="144"/>
      <c r="BB10" s="144"/>
      <c r="BC10" s="144"/>
      <c r="BD10" s="144">
        <f>IFERROR(VLOOKUP($B10,#REF!,2,0),0)</f>
        <v>0</v>
      </c>
      <c r="BE10" s="144" t="str">
        <f>IFERROR(VLOOKUP($B10,#REF!,3,0),"")</f>
        <v/>
      </c>
      <c r="BF10" s="4"/>
      <c r="BG10" s="4"/>
      <c r="BH10" s="4"/>
      <c r="BI10" s="4"/>
      <c r="BJ10" s="15"/>
      <c r="BK10" s="144"/>
      <c r="BL10" s="15"/>
      <c r="BM10" s="144"/>
      <c r="BN10" s="15"/>
      <c r="BO10" s="144"/>
      <c r="BP10" s="4"/>
      <c r="BQ10" s="4"/>
      <c r="BR10" s="15"/>
      <c r="BS10" s="144"/>
      <c r="BT10" s="4"/>
      <c r="BU10" s="4"/>
      <c r="BV10" s="144"/>
      <c r="BW10" s="144"/>
      <c r="BX10" s="4"/>
      <c r="BY10" s="4"/>
    </row>
    <row r="11" spans="1:77" s="36" customFormat="1" ht="16.5" hidden="1">
      <c r="A11" s="348"/>
      <c r="B11" s="21" t="s">
        <v>386</v>
      </c>
      <c r="C11" s="3"/>
      <c r="D11" s="5"/>
      <c r="E11" s="5"/>
      <c r="F11" s="5"/>
      <c r="G11" s="5"/>
      <c r="H11" s="3"/>
      <c r="I11" s="5"/>
      <c r="J11" s="5"/>
      <c r="K11" s="5"/>
      <c r="L11" s="5"/>
      <c r="M11" s="3"/>
      <c r="N11" s="5"/>
      <c r="O11" s="5"/>
      <c r="P11" s="5"/>
      <c r="Q11" s="5"/>
      <c r="R11" s="41"/>
      <c r="S11" s="5"/>
      <c r="T11" s="5"/>
      <c r="U11" s="5"/>
      <c r="V11" s="41"/>
      <c r="W11" s="5"/>
      <c r="X11" s="5"/>
      <c r="Y11" s="5"/>
      <c r="Z11" s="41"/>
      <c r="AA11" s="5"/>
      <c r="AB11" s="5"/>
      <c r="AC11" s="5"/>
      <c r="AD11" s="43" t="e">
        <f t="shared" si="0"/>
        <v>#DIV/0!</v>
      </c>
      <c r="AE11" s="96">
        <v>38</v>
      </c>
      <c r="AF11" s="99">
        <v>69.716507865318178</v>
      </c>
      <c r="AG11" s="99">
        <v>174.71606681542912</v>
      </c>
      <c r="AH11" s="99">
        <v>0</v>
      </c>
      <c r="AI11" s="10">
        <v>24</v>
      </c>
      <c r="AJ11" s="99">
        <v>29.889745062921556</v>
      </c>
      <c r="AK11" s="99">
        <v>46.882688924167525</v>
      </c>
      <c r="AL11" s="99">
        <v>12.89680120167559</v>
      </c>
      <c r="AM11" s="194">
        <f t="shared" si="1"/>
        <v>54.299696457938843</v>
      </c>
      <c r="AN11" s="142">
        <f t="shared" si="2"/>
        <v>0</v>
      </c>
      <c r="AO11" s="4" t="e">
        <f t="shared" si="3"/>
        <v>#VALUE!</v>
      </c>
      <c r="AP11" s="4" t="str">
        <f t="shared" si="4"/>
        <v/>
      </c>
      <c r="AQ11" s="4" t="str">
        <f t="shared" si="5"/>
        <v/>
      </c>
      <c r="AR11" s="143" t="str">
        <f t="shared" si="6"/>
        <v/>
      </c>
      <c r="AS11" s="4" t="e">
        <f t="shared" si="7"/>
        <v>#VALUE!</v>
      </c>
      <c r="AT11" s="132" t="e">
        <f t="shared" si="8"/>
        <v>#VALUE!</v>
      </c>
      <c r="AU11" s="4" t="e">
        <f t="shared" si="9"/>
        <v>#VALUE!</v>
      </c>
      <c r="AV11" s="188"/>
      <c r="AW11" s="188" t="e">
        <f t="shared" ref="AW11:AW16" si="13">IF(AO11&gt;=AM11,"Up","Down")</f>
        <v>#VALUE!</v>
      </c>
      <c r="AX11" s="144"/>
      <c r="AY11" s="144"/>
      <c r="AZ11" s="144"/>
      <c r="BA11" s="144"/>
      <c r="BB11" s="144"/>
      <c r="BC11" s="144"/>
      <c r="BD11" s="144">
        <f>IFERROR(VLOOKUP($B11,#REF!,2,0),0)</f>
        <v>0</v>
      </c>
      <c r="BE11" s="144" t="str">
        <f>IFERROR(VLOOKUP($B11,#REF!,3,0),"")</f>
        <v/>
      </c>
      <c r="BF11" s="4"/>
      <c r="BG11" s="4"/>
      <c r="BH11" s="4"/>
      <c r="BI11" s="4"/>
      <c r="BJ11" s="15"/>
      <c r="BK11" s="144" t="str">
        <f>IFERROR(VLOOKUP($B11,#REF!,3,0),"")</f>
        <v/>
      </c>
      <c r="BL11" s="15"/>
      <c r="BM11" s="144"/>
      <c r="BN11" s="15"/>
      <c r="BO11" s="144"/>
      <c r="BP11" s="4"/>
      <c r="BQ11" s="4"/>
      <c r="BR11" s="15"/>
      <c r="BS11" s="144"/>
      <c r="BT11" s="4"/>
      <c r="BU11" s="4"/>
      <c r="BV11" s="144"/>
      <c r="BW11" s="144"/>
      <c r="BX11" s="4"/>
      <c r="BY11" s="4"/>
    </row>
    <row r="12" spans="1:77" s="36" customFormat="1" ht="16.5">
      <c r="A12" s="348"/>
      <c r="B12" s="2" t="s">
        <v>157</v>
      </c>
      <c r="C12" s="3"/>
      <c r="D12" s="5"/>
      <c r="E12" s="5"/>
      <c r="F12" s="5"/>
      <c r="G12" s="5"/>
      <c r="H12" s="3"/>
      <c r="I12" s="5"/>
      <c r="J12" s="5"/>
      <c r="K12" s="5"/>
      <c r="L12" s="5"/>
      <c r="M12" s="3">
        <v>50</v>
      </c>
      <c r="N12" s="5">
        <v>0.198618723106642</v>
      </c>
      <c r="O12" s="5">
        <v>0.27517002560786802</v>
      </c>
      <c r="P12" s="5">
        <v>0.47378874871450999</v>
      </c>
      <c r="Q12" s="5">
        <v>0</v>
      </c>
      <c r="R12" s="41">
        <v>28</v>
      </c>
      <c r="S12" s="34">
        <v>0.44165054237435197</v>
      </c>
      <c r="T12" s="34">
        <v>0.79605234742688402</v>
      </c>
      <c r="U12" s="34">
        <v>8.7248737321820397E-2</v>
      </c>
      <c r="V12" s="41"/>
      <c r="W12" s="34"/>
      <c r="X12" s="34"/>
      <c r="Y12" s="34"/>
      <c r="Z12" s="41">
        <v>62</v>
      </c>
      <c r="AA12" s="34">
        <v>0.26412312107637798</v>
      </c>
      <c r="AB12" s="34">
        <v>0.58505052497177501</v>
      </c>
      <c r="AC12" s="34">
        <v>0</v>
      </c>
      <c r="AD12" s="199">
        <f t="shared" si="0"/>
        <v>0.31935387436908097</v>
      </c>
      <c r="AE12" s="33">
        <v>100</v>
      </c>
      <c r="AF12" s="34">
        <v>0.28377012411977887</v>
      </c>
      <c r="AG12" s="34">
        <v>0.59962806585438588</v>
      </c>
      <c r="AH12" s="34">
        <v>0</v>
      </c>
      <c r="AI12" s="104">
        <v>36</v>
      </c>
      <c r="AJ12" s="105">
        <v>0.3768608578260999</v>
      </c>
      <c r="AK12" s="105">
        <v>0.65229979140166239</v>
      </c>
      <c r="AL12" s="105">
        <v>0.10142192425053737</v>
      </c>
      <c r="AM12" s="195">
        <f t="shared" si="1"/>
        <v>0.3084117889243933</v>
      </c>
      <c r="AN12" s="142">
        <f t="shared" si="2"/>
        <v>0</v>
      </c>
      <c r="AO12" s="23" t="e">
        <f t="shared" si="3"/>
        <v>#VALUE!</v>
      </c>
      <c r="AP12" s="23" t="str">
        <f t="shared" si="4"/>
        <v/>
      </c>
      <c r="AQ12" s="23" t="str">
        <f t="shared" si="5"/>
        <v/>
      </c>
      <c r="AR12" s="159" t="str">
        <f t="shared" si="6"/>
        <v/>
      </c>
      <c r="AS12" s="23" t="str">
        <f t="shared" ref="AS12:AS15" si="14">IFERROR(IF(AO12*1.1&gt;100%,100%,AO12*1.1),"")</f>
        <v/>
      </c>
      <c r="AT12" s="23" t="e">
        <f t="shared" si="8"/>
        <v>#VALUE!</v>
      </c>
      <c r="AU12" s="23" t="e">
        <f t="shared" si="9"/>
        <v>#VALUE!</v>
      </c>
      <c r="AV12" s="188" t="s">
        <v>415</v>
      </c>
      <c r="AW12" s="188" t="e">
        <f t="shared" si="13"/>
        <v>#VALUE!</v>
      </c>
      <c r="AX12" s="144"/>
      <c r="AY12" s="144"/>
      <c r="AZ12" s="144"/>
      <c r="BA12" s="144"/>
      <c r="BB12" s="144"/>
      <c r="BC12" s="144"/>
      <c r="BD12" s="144">
        <f>IFERROR(VLOOKUP($B12,#REF!,2,0),0)</f>
        <v>0</v>
      </c>
      <c r="BE12" s="189" t="str">
        <f>IFERROR(VLOOKUP($B12,#REF!,3,0),"")</f>
        <v/>
      </c>
      <c r="BF12" s="4"/>
      <c r="BG12" s="4"/>
      <c r="BH12" s="4"/>
      <c r="BI12" s="4"/>
      <c r="BJ12" s="15">
        <f>IFERROR(VLOOKUP($B12,#REF!,2,0),0)</f>
        <v>0</v>
      </c>
      <c r="BK12" s="189" t="str">
        <f>IFERROR(VLOOKUP($B12,#REF!,3,0),"")</f>
        <v/>
      </c>
      <c r="BL12" s="15">
        <f>IFERROR(VLOOKUP($B12,#REF!,12,0),0)</f>
        <v>0</v>
      </c>
      <c r="BM12" s="189" t="str">
        <f>IFERROR(VLOOKUP($B12,#REF!,13,0),"")</f>
        <v/>
      </c>
      <c r="BN12" s="15"/>
      <c r="BO12" s="189"/>
      <c r="BP12" s="4"/>
      <c r="BQ12" s="4"/>
      <c r="BR12" s="15">
        <f>IFERROR(VLOOKUP($B12,#REF!,12,0),0)</f>
        <v>0</v>
      </c>
      <c r="BS12" s="189" t="str">
        <f>IFERROR(VLOOKUP($B12,#REF!,13,0),"")</f>
        <v/>
      </c>
      <c r="BT12" s="4"/>
      <c r="BU12" s="4"/>
      <c r="BV12" s="144">
        <f>IFERROR(VLOOKUP($B12,#REF!,2,0),0)</f>
        <v>0</v>
      </c>
      <c r="BW12" s="189">
        <v>0.78713230769230802</v>
      </c>
      <c r="BX12" s="4"/>
      <c r="BY12" s="4"/>
    </row>
    <row r="13" spans="1:77" s="36" customFormat="1" ht="16.5">
      <c r="A13" s="348"/>
      <c r="B13" s="2" t="s">
        <v>158</v>
      </c>
      <c r="C13" s="14"/>
      <c r="D13" s="5"/>
      <c r="E13" s="5"/>
      <c r="F13" s="5"/>
      <c r="G13" s="5"/>
      <c r="H13" s="10"/>
      <c r="I13" s="5"/>
      <c r="J13" s="5"/>
      <c r="K13" s="5"/>
      <c r="L13" s="5"/>
      <c r="M13" s="10"/>
      <c r="N13" s="5"/>
      <c r="O13" s="5"/>
      <c r="P13" s="5"/>
      <c r="Q13" s="5"/>
      <c r="R13" s="41">
        <v>19</v>
      </c>
      <c r="S13" s="22">
        <v>0.86994444444444397</v>
      </c>
      <c r="T13" s="22">
        <v>0.98529768822056596</v>
      </c>
      <c r="U13" s="22">
        <v>0.75459120066832197</v>
      </c>
      <c r="V13" s="41"/>
      <c r="W13" s="22"/>
      <c r="X13" s="22"/>
      <c r="Y13" s="22"/>
      <c r="Z13" s="41"/>
      <c r="AA13" s="22"/>
      <c r="AB13" s="22"/>
      <c r="AC13" s="22"/>
      <c r="AD13" s="199">
        <f t="shared" si="0"/>
        <v>0.86994444444444385</v>
      </c>
      <c r="AE13" s="97">
        <v>20</v>
      </c>
      <c r="AF13" s="75">
        <v>0.36036219659538415</v>
      </c>
      <c r="AG13" s="75">
        <v>0.64334983155294578</v>
      </c>
      <c r="AH13" s="75">
        <v>7.737456163782247E-2</v>
      </c>
      <c r="AI13" s="106">
        <v>20</v>
      </c>
      <c r="AJ13" s="107">
        <v>0.93519918458207552</v>
      </c>
      <c r="AK13" s="107">
        <v>1.2623440573491382</v>
      </c>
      <c r="AL13" s="107">
        <v>0.60805431181501279</v>
      </c>
      <c r="AM13" s="195">
        <f t="shared" si="1"/>
        <v>0.64778069058872989</v>
      </c>
      <c r="AN13" s="142">
        <f t="shared" si="2"/>
        <v>0</v>
      </c>
      <c r="AO13" s="23" t="e">
        <f t="shared" si="3"/>
        <v>#VALUE!</v>
      </c>
      <c r="AP13" s="23" t="str">
        <f t="shared" si="4"/>
        <v/>
      </c>
      <c r="AQ13" s="23" t="str">
        <f t="shared" si="5"/>
        <v/>
      </c>
      <c r="AR13" s="159" t="str">
        <f t="shared" si="6"/>
        <v/>
      </c>
      <c r="AS13" s="23" t="str">
        <f t="shared" si="14"/>
        <v/>
      </c>
      <c r="AT13" s="23" t="e">
        <f t="shared" si="8"/>
        <v>#VALUE!</v>
      </c>
      <c r="AU13" s="23" t="e">
        <f t="shared" si="9"/>
        <v>#VALUE!</v>
      </c>
      <c r="AV13" s="188" t="s">
        <v>415</v>
      </c>
      <c r="AW13" s="188" t="e">
        <f t="shared" si="13"/>
        <v>#VALUE!</v>
      </c>
      <c r="AX13" s="144"/>
      <c r="AY13" s="144"/>
      <c r="AZ13" s="144"/>
      <c r="BA13" s="144"/>
      <c r="BB13" s="144"/>
      <c r="BC13" s="144"/>
      <c r="BD13" s="144">
        <f>IFERROR(VLOOKUP($B13,#REF!,2,0),0)</f>
        <v>0</v>
      </c>
      <c r="BE13" s="189" t="str">
        <f>IFERROR(VLOOKUP($B13,#REF!,3,0),"")</f>
        <v/>
      </c>
      <c r="BF13" s="4"/>
      <c r="BG13" s="4"/>
      <c r="BH13" s="4"/>
      <c r="BI13" s="4"/>
      <c r="BJ13" s="15">
        <f>IFERROR(VLOOKUP($B13,#REF!,2,0),0)</f>
        <v>0</v>
      </c>
      <c r="BK13" s="189" t="str">
        <f>IFERROR(VLOOKUP($B13,#REF!,3,0),"")</f>
        <v/>
      </c>
      <c r="BL13" s="15">
        <f>IFERROR(VLOOKUP($B13,#REF!,12,0),0)</f>
        <v>0</v>
      </c>
      <c r="BM13" s="189" t="str">
        <f>IFERROR(VLOOKUP($B13,#REF!,13,0),"")</f>
        <v/>
      </c>
      <c r="BN13" s="15"/>
      <c r="BO13" s="189"/>
      <c r="BP13" s="4"/>
      <c r="BQ13" s="4"/>
      <c r="BR13" s="15"/>
      <c r="BS13" s="189"/>
      <c r="BT13" s="4"/>
      <c r="BU13" s="4"/>
      <c r="BV13" s="144">
        <f>IFERROR(VLOOKUP($B13,#REF!,2,0),0)</f>
        <v>0</v>
      </c>
      <c r="BW13" s="189">
        <v>0.98570169491525395</v>
      </c>
      <c r="BX13" s="4"/>
      <c r="BY13" s="4"/>
    </row>
    <row r="14" spans="1:77" s="36" customFormat="1" ht="16.5" hidden="1">
      <c r="A14" s="348"/>
      <c r="B14" s="21" t="s">
        <v>390</v>
      </c>
      <c r="C14" s="3"/>
      <c r="D14" s="5"/>
      <c r="E14" s="5"/>
      <c r="F14" s="5"/>
      <c r="G14" s="5"/>
      <c r="H14" s="3"/>
      <c r="I14" s="5"/>
      <c r="J14" s="5"/>
      <c r="K14" s="5"/>
      <c r="L14" s="5"/>
      <c r="M14" s="3"/>
      <c r="N14" s="5"/>
      <c r="O14" s="5"/>
      <c r="P14" s="5"/>
      <c r="Q14" s="5"/>
      <c r="R14" s="41"/>
      <c r="S14" s="5"/>
      <c r="T14" s="5"/>
      <c r="U14" s="5"/>
      <c r="V14" s="41"/>
      <c r="W14" s="5"/>
      <c r="X14" s="5"/>
      <c r="Y14" s="5"/>
      <c r="Z14" s="41"/>
      <c r="AA14" s="5"/>
      <c r="AB14" s="5"/>
      <c r="AC14" s="5"/>
      <c r="AD14" s="199" t="e">
        <f t="shared" si="0"/>
        <v>#DIV/0!</v>
      </c>
      <c r="AE14" s="96">
        <v>79</v>
      </c>
      <c r="AF14" s="5">
        <v>2.194649308399391E-3</v>
      </c>
      <c r="AG14" s="5">
        <v>9.4910580222501463E-3</v>
      </c>
      <c r="AH14" s="5">
        <v>0</v>
      </c>
      <c r="AI14" s="10">
        <v>22</v>
      </c>
      <c r="AJ14" s="16">
        <v>0.63346838018624041</v>
      </c>
      <c r="AK14" s="16">
        <v>0.82943644974970931</v>
      </c>
      <c r="AL14" s="16">
        <v>0.43750031062277156</v>
      </c>
      <c r="AM14" s="195">
        <f t="shared" si="1"/>
        <v>0.13969981841050338</v>
      </c>
      <c r="AN14" s="142">
        <f t="shared" si="2"/>
        <v>0</v>
      </c>
      <c r="AO14" s="23" t="e">
        <f t="shared" si="3"/>
        <v>#VALUE!</v>
      </c>
      <c r="AP14" s="23" t="str">
        <f t="shared" si="4"/>
        <v/>
      </c>
      <c r="AQ14" s="23" t="str">
        <f t="shared" si="5"/>
        <v/>
      </c>
      <c r="AR14" s="159" t="str">
        <f t="shared" si="6"/>
        <v/>
      </c>
      <c r="AS14" s="23" t="str">
        <f t="shared" si="14"/>
        <v/>
      </c>
      <c r="AT14" s="23" t="e">
        <f t="shared" si="8"/>
        <v>#VALUE!</v>
      </c>
      <c r="AU14" s="23" t="e">
        <f t="shared" si="9"/>
        <v>#VALUE!</v>
      </c>
      <c r="AV14" s="188"/>
      <c r="AW14" s="188" t="e">
        <f t="shared" si="12"/>
        <v>#VALUE!</v>
      </c>
      <c r="AX14" s="144"/>
      <c r="AY14" s="144"/>
      <c r="AZ14" s="144"/>
      <c r="BA14" s="144"/>
      <c r="BB14" s="144"/>
      <c r="BC14" s="144"/>
      <c r="BD14" s="144">
        <f>IFERROR(VLOOKUP($B14,#REF!,2,0),0)</f>
        <v>0</v>
      </c>
      <c r="BE14" s="189" t="str">
        <f>IFERROR(VLOOKUP($B14,#REF!,3,0),"")</f>
        <v/>
      </c>
      <c r="BF14" s="4"/>
      <c r="BG14" s="4"/>
      <c r="BH14" s="4"/>
      <c r="BI14" s="4"/>
      <c r="BJ14" s="15"/>
      <c r="BK14" s="189" t="str">
        <f>IFERROR(VLOOKUP($B14,#REF!,3,0),"")</f>
        <v/>
      </c>
      <c r="BL14" s="15">
        <f>IFERROR(VLOOKUP($B14,#REF!,12,0),0)</f>
        <v>0</v>
      </c>
      <c r="BM14" s="189" t="str">
        <f>IFERROR(VLOOKUP($B14,#REF!,13,0),"")</f>
        <v/>
      </c>
      <c r="BN14" s="15"/>
      <c r="BO14" s="189"/>
      <c r="BP14" s="4"/>
      <c r="BQ14" s="4"/>
      <c r="BR14" s="15"/>
      <c r="BS14" s="189"/>
      <c r="BT14" s="4"/>
      <c r="BU14" s="4"/>
      <c r="BV14" s="144"/>
      <c r="BW14" s="189"/>
      <c r="BX14" s="4"/>
      <c r="BY14" s="4"/>
    </row>
    <row r="15" spans="1:77" s="36" customFormat="1" ht="16.5">
      <c r="A15" s="348"/>
      <c r="B15" s="2" t="s">
        <v>387</v>
      </c>
      <c r="C15" s="3">
        <v>47</v>
      </c>
      <c r="D15" s="5">
        <v>0.51454468085106397</v>
      </c>
      <c r="E15" s="5">
        <v>0.443274961683913</v>
      </c>
      <c r="F15" s="5">
        <v>0.95781964253497598</v>
      </c>
      <c r="G15" s="5">
        <v>7.1269719167151094E-2</v>
      </c>
      <c r="H15" s="3">
        <v>48</v>
      </c>
      <c r="I15" s="5">
        <v>0.89129709477235997</v>
      </c>
      <c r="J15" s="5">
        <v>0.194020214356177</v>
      </c>
      <c r="K15" s="5">
        <v>1</v>
      </c>
      <c r="L15" s="5">
        <v>0.69727688041618197</v>
      </c>
      <c r="M15" s="3">
        <v>44</v>
      </c>
      <c r="N15" s="5">
        <v>0.93172320060817704</v>
      </c>
      <c r="O15" s="5">
        <v>0.16928391088879099</v>
      </c>
      <c r="P15" s="5">
        <v>0.76243928971938602</v>
      </c>
      <c r="Q15" s="5">
        <v>1.1010071114969699</v>
      </c>
      <c r="R15" s="41">
        <v>25</v>
      </c>
      <c r="S15" s="34">
        <v>0.95162114142160004</v>
      </c>
      <c r="T15" s="34">
        <v>1</v>
      </c>
      <c r="U15" s="34">
        <v>0.80676644067772496</v>
      </c>
      <c r="V15" s="41">
        <v>55</v>
      </c>
      <c r="W15" s="34">
        <v>0.89145272727272695</v>
      </c>
      <c r="X15" s="90">
        <v>0.63584922656164999</v>
      </c>
      <c r="Y15" s="90">
        <v>1.1470562279837999</v>
      </c>
      <c r="Z15" s="90"/>
      <c r="AA15" s="90"/>
      <c r="AB15" s="90"/>
      <c r="AC15" s="90"/>
      <c r="AD15" s="199">
        <f t="shared" si="0"/>
        <v>0.91025535669424984</v>
      </c>
      <c r="AE15" s="98">
        <v>61</v>
      </c>
      <c r="AF15" s="90">
        <v>0.9671904735405874</v>
      </c>
      <c r="AG15" s="90">
        <v>1</v>
      </c>
      <c r="AH15" s="90">
        <v>0.75008774356382457</v>
      </c>
      <c r="AI15" s="108">
        <v>35</v>
      </c>
      <c r="AJ15" s="109">
        <v>0.74757546315086065</v>
      </c>
      <c r="AK15" s="109">
        <v>0.85211348985167801</v>
      </c>
      <c r="AL15" s="109">
        <v>0.6430374364500433</v>
      </c>
      <c r="AM15" s="195">
        <f t="shared" si="1"/>
        <v>0.88712250100266621</v>
      </c>
      <c r="AN15" s="142">
        <f t="shared" si="2"/>
        <v>0</v>
      </c>
      <c r="AO15" s="23" t="e">
        <f t="shared" si="3"/>
        <v>#VALUE!</v>
      </c>
      <c r="AP15" s="23" t="str">
        <f t="shared" si="4"/>
        <v/>
      </c>
      <c r="AQ15" s="23" t="str">
        <f t="shared" si="5"/>
        <v/>
      </c>
      <c r="AR15" s="159" t="str">
        <f t="shared" si="6"/>
        <v/>
      </c>
      <c r="AS15" s="23" t="str">
        <f t="shared" si="14"/>
        <v/>
      </c>
      <c r="AT15" s="23" t="e">
        <f t="shared" si="8"/>
        <v>#VALUE!</v>
      </c>
      <c r="AU15" s="23" t="e">
        <f t="shared" si="9"/>
        <v>#VALUE!</v>
      </c>
      <c r="AV15" s="188" t="s">
        <v>415</v>
      </c>
      <c r="AW15" s="188" t="e">
        <f t="shared" si="13"/>
        <v>#VALUE!</v>
      </c>
      <c r="AX15" s="144"/>
      <c r="AY15" s="144"/>
      <c r="AZ15" s="144"/>
      <c r="BA15" s="144"/>
      <c r="BB15" s="144"/>
      <c r="BC15" s="144"/>
      <c r="BD15" s="144">
        <f>IFERROR(VLOOKUP($B15,#REF!,2,0),0)</f>
        <v>0</v>
      </c>
      <c r="BE15" s="189" t="str">
        <f>IFERROR(VLOOKUP($B15,#REF!,3,0),"")</f>
        <v/>
      </c>
      <c r="BF15" s="5"/>
      <c r="BG15" s="5"/>
      <c r="BH15" s="5"/>
      <c r="BI15" s="5"/>
      <c r="BJ15" s="15">
        <f>IFERROR(VLOOKUP($B15,#REF!,2,0),0)</f>
        <v>0</v>
      </c>
      <c r="BK15" s="189" t="str">
        <f>IFERROR(VLOOKUP($B15,#REF!,3,0),"")</f>
        <v/>
      </c>
      <c r="BL15" s="15">
        <f>IFERROR(VLOOKUP($B15,#REF!,12,0),0)</f>
        <v>0</v>
      </c>
      <c r="BM15" s="189" t="str">
        <f>IFERROR(VLOOKUP($B15,#REF!,13,0),"")</f>
        <v/>
      </c>
      <c r="BN15" s="15"/>
      <c r="BO15" s="189"/>
      <c r="BP15" s="5"/>
      <c r="BQ15" s="5"/>
      <c r="BR15" s="15"/>
      <c r="BS15" s="189"/>
      <c r="BT15" s="5"/>
      <c r="BU15" s="5"/>
      <c r="BV15" s="144"/>
      <c r="BW15" s="189"/>
      <c r="BX15" s="5"/>
      <c r="BY15" s="5"/>
    </row>
    <row r="16" spans="1:77" s="36" customFormat="1" ht="16.5" hidden="1">
      <c r="A16" s="348"/>
      <c r="B16" s="21" t="s">
        <v>388</v>
      </c>
      <c r="C16" s="3">
        <v>39</v>
      </c>
      <c r="D16" s="12">
        <v>1.8974358974359</v>
      </c>
      <c r="E16" s="12">
        <v>0.78789766216551504</v>
      </c>
      <c r="F16" s="12">
        <v>2.6853335596014101</v>
      </c>
      <c r="G16" s="12">
        <v>1.10953823527038</v>
      </c>
      <c r="H16" s="3">
        <v>71</v>
      </c>
      <c r="I16" s="12">
        <v>1.8167605633802799</v>
      </c>
      <c r="J16" s="12">
        <v>0.79853575758185102</v>
      </c>
      <c r="K16" s="12">
        <v>2.61529632096213</v>
      </c>
      <c r="L16" s="12">
        <v>1.01822480579843</v>
      </c>
      <c r="M16" s="3">
        <v>57</v>
      </c>
      <c r="N16" s="12">
        <v>1.6315789473684199</v>
      </c>
      <c r="O16" s="12">
        <v>0.89903875149613499</v>
      </c>
      <c r="P16" s="12">
        <v>0.73254019587228603</v>
      </c>
      <c r="Q16" s="12">
        <v>2.5306176988645599</v>
      </c>
      <c r="R16" s="41"/>
      <c r="S16" s="12"/>
      <c r="T16" s="12"/>
      <c r="U16" s="12"/>
      <c r="V16" s="41">
        <v>60</v>
      </c>
      <c r="W16" s="12">
        <v>1.81666666666667</v>
      </c>
      <c r="X16" s="12">
        <v>0.45755845123901501</v>
      </c>
      <c r="Y16" s="12">
        <v>3.1757748820943199</v>
      </c>
      <c r="Z16" s="41"/>
      <c r="AA16" s="12"/>
      <c r="AB16" s="12"/>
      <c r="AC16" s="12"/>
      <c r="AD16" s="43">
        <f t="shared" si="0"/>
        <v>1.81666666666667</v>
      </c>
      <c r="AE16" s="96">
        <v>66</v>
      </c>
      <c r="AF16" s="12">
        <v>0.93549914003232004</v>
      </c>
      <c r="AG16" s="12">
        <v>1</v>
      </c>
      <c r="AH16" s="12">
        <v>0.7843143416743158</v>
      </c>
      <c r="AI16" s="10">
        <v>31</v>
      </c>
      <c r="AJ16" s="99">
        <v>2.5483870967741935</v>
      </c>
      <c r="AK16" s="99">
        <v>3.6692841734098036</v>
      </c>
      <c r="AL16" s="99">
        <v>1.4274900201385834</v>
      </c>
      <c r="AM16" s="194">
        <f t="shared" si="1"/>
        <v>1.4509581777539498</v>
      </c>
      <c r="AN16" s="142">
        <f t="shared" si="2"/>
        <v>0</v>
      </c>
      <c r="AO16" s="4" t="e">
        <f t="shared" si="3"/>
        <v>#VALUE!</v>
      </c>
      <c r="AP16" s="4" t="str">
        <f t="shared" si="4"/>
        <v/>
      </c>
      <c r="AQ16" s="4" t="str">
        <f t="shared" si="5"/>
        <v/>
      </c>
      <c r="AR16" s="143" t="str">
        <f t="shared" si="6"/>
        <v/>
      </c>
      <c r="AS16" s="4" t="e">
        <f t="shared" si="7"/>
        <v>#VALUE!</v>
      </c>
      <c r="AT16" s="132" t="e">
        <f t="shared" si="8"/>
        <v>#VALUE!</v>
      </c>
      <c r="AU16" s="4" t="e">
        <f t="shared" si="9"/>
        <v>#VALUE!</v>
      </c>
      <c r="AV16" s="188"/>
      <c r="AW16" s="188" t="e">
        <f t="shared" si="13"/>
        <v>#VALUE!</v>
      </c>
      <c r="AX16" s="144"/>
      <c r="AY16" s="144"/>
      <c r="AZ16" s="144"/>
      <c r="BA16" s="144"/>
      <c r="BB16" s="144"/>
      <c r="BC16" s="144"/>
      <c r="BD16" s="144">
        <f>IFERROR(VLOOKUP($B16,#REF!,2,0),0)</f>
        <v>0</v>
      </c>
      <c r="BE16" s="144" t="str">
        <f>IFERROR(VLOOKUP($B16,#REF!,3,0),"")</f>
        <v/>
      </c>
      <c r="BF16" s="5"/>
      <c r="BG16" s="5"/>
      <c r="BH16" s="5"/>
      <c r="BI16" s="5"/>
      <c r="BJ16" s="15"/>
      <c r="BK16" s="144" t="str">
        <f>IFERROR(VLOOKUP($B16,#REF!,3,0),"")</f>
        <v/>
      </c>
      <c r="BL16" s="15">
        <f>IFERROR(VLOOKUP($B16,#REF!,12,0),0)</f>
        <v>0</v>
      </c>
      <c r="BM16" s="144" t="str">
        <f>IFERROR(VLOOKUP($B16,#REF!,13,0),"")</f>
        <v/>
      </c>
      <c r="BN16" s="15"/>
      <c r="BO16" s="144"/>
      <c r="BP16" s="5"/>
      <c r="BQ16" s="5"/>
      <c r="BR16" s="15"/>
      <c r="BS16" s="144"/>
      <c r="BT16" s="5"/>
      <c r="BU16" s="5"/>
      <c r="BV16" s="144"/>
      <c r="BW16" s="144"/>
      <c r="BX16" s="5"/>
      <c r="BY16" s="5"/>
    </row>
    <row r="17" spans="1:77" s="36" customFormat="1" ht="16.5">
      <c r="A17" s="349"/>
      <c r="B17" s="2" t="s">
        <v>389</v>
      </c>
      <c r="C17" s="3">
        <v>59</v>
      </c>
      <c r="D17" s="5">
        <v>8.4745762711864406E-6</v>
      </c>
      <c r="E17" s="5">
        <v>6.5094455490411905E-5</v>
      </c>
      <c r="F17" s="5">
        <v>7.3569031761598397E-5</v>
      </c>
      <c r="G17" s="5">
        <v>0</v>
      </c>
      <c r="H17" s="3">
        <v>84</v>
      </c>
      <c r="I17" s="5">
        <v>3.4154751677303199E-3</v>
      </c>
      <c r="J17" s="5">
        <v>1.8276277206389999E-2</v>
      </c>
      <c r="K17" s="5">
        <v>2.1691752374120299E-2</v>
      </c>
      <c r="L17" s="5">
        <v>0</v>
      </c>
      <c r="M17" s="3">
        <v>57</v>
      </c>
      <c r="N17" s="5">
        <v>2.0905054902054299E-3</v>
      </c>
      <c r="O17" s="5">
        <v>9.0784738587204993E-3</v>
      </c>
      <c r="P17" s="5">
        <v>0</v>
      </c>
      <c r="Q17" s="5">
        <v>1.1168979348925899E-2</v>
      </c>
      <c r="R17" s="41">
        <v>27</v>
      </c>
      <c r="S17" s="23">
        <v>1.8370640831429998E-2</v>
      </c>
      <c r="T17" s="23">
        <v>6.0598346291764402E-2</v>
      </c>
      <c r="U17" s="23">
        <v>0</v>
      </c>
      <c r="V17" s="41">
        <v>60</v>
      </c>
      <c r="W17" s="23">
        <v>5.8833333333333296E-4</v>
      </c>
      <c r="X17" s="23">
        <v>0</v>
      </c>
      <c r="Y17" s="23">
        <v>4.5098555069531697E-3</v>
      </c>
      <c r="Z17" s="41"/>
      <c r="AA17" s="23"/>
      <c r="AB17" s="23"/>
      <c r="AC17" s="23"/>
      <c r="AD17" s="43">
        <f t="shared" si="0"/>
        <v>6.1069804879150561E-3</v>
      </c>
      <c r="AE17" s="15">
        <v>33</v>
      </c>
      <c r="AF17" s="23">
        <v>4.0366310323837898E-3</v>
      </c>
      <c r="AG17" s="23">
        <v>6.8816359826572504E-3</v>
      </c>
      <c r="AH17" s="23">
        <v>1.1916260821103299E-3</v>
      </c>
      <c r="AI17" s="3">
        <v>37</v>
      </c>
      <c r="AJ17" s="110">
        <v>8.8449261499192987E-3</v>
      </c>
      <c r="AK17" s="110">
        <v>6.7878745358312509E-2</v>
      </c>
      <c r="AL17" s="110">
        <v>0</v>
      </c>
      <c r="AM17" s="195">
        <f t="shared" si="1"/>
        <v>6.5781584516525589E-3</v>
      </c>
      <c r="AN17" s="142">
        <f t="shared" si="2"/>
        <v>0</v>
      </c>
      <c r="AO17" s="23" t="e">
        <f t="shared" si="3"/>
        <v>#VALUE!</v>
      </c>
      <c r="AP17" s="23" t="str">
        <f t="shared" si="4"/>
        <v/>
      </c>
      <c r="AQ17" s="23" t="str">
        <f t="shared" si="5"/>
        <v/>
      </c>
      <c r="AR17" s="23" t="str">
        <f t="shared" si="6"/>
        <v/>
      </c>
      <c r="AS17" s="23" t="str">
        <f t="shared" ref="AS17" si="15">IFERROR(IF(AO17*1.1&gt;100%,100%,AO17*1.1),"")</f>
        <v/>
      </c>
      <c r="AT17" s="23" t="e">
        <f t="shared" si="8"/>
        <v>#VALUE!</v>
      </c>
      <c r="AU17" s="23" t="e">
        <f t="shared" si="9"/>
        <v>#VALUE!</v>
      </c>
      <c r="AV17" s="188" t="s">
        <v>415</v>
      </c>
      <c r="AW17" s="188" t="e">
        <f>IF(AO17&lt;=AM17,"Good","Bad")</f>
        <v>#VALUE!</v>
      </c>
      <c r="AX17" s="144"/>
      <c r="AY17" s="144"/>
      <c r="AZ17" s="144"/>
      <c r="BA17" s="144"/>
      <c r="BB17" s="144"/>
      <c r="BC17" s="144"/>
      <c r="BD17" s="144">
        <f>IFERROR(VLOOKUP($B17,#REF!,2,0),0)</f>
        <v>0</v>
      </c>
      <c r="BE17" s="144" t="str">
        <f>IFERROR(VLOOKUP($B17,#REF!,3,0),"")</f>
        <v/>
      </c>
      <c r="BF17" s="152"/>
      <c r="BG17" s="152"/>
      <c r="BH17" s="152"/>
      <c r="BI17" s="152"/>
      <c r="BJ17" s="15">
        <f>IFERROR(VLOOKUP($B17,#REF!,2,0),0)</f>
        <v>0</v>
      </c>
      <c r="BK17" s="144" t="str">
        <f>IFERROR(VLOOKUP($B17,#REF!,3,0),"")</f>
        <v/>
      </c>
      <c r="BL17" s="15">
        <f>IFERROR(VLOOKUP($B17,#REF!,12,0),0)</f>
        <v>0</v>
      </c>
      <c r="BM17" s="144" t="str">
        <f>IFERROR(VLOOKUP($B17,#REF!,13,0),"")</f>
        <v/>
      </c>
      <c r="BN17" s="15"/>
      <c r="BO17" s="144"/>
      <c r="BP17" s="152"/>
      <c r="BQ17" s="152"/>
      <c r="BR17" s="15">
        <f>IFERROR(VLOOKUP($B17,#REF!,12,0),0)</f>
        <v>0</v>
      </c>
      <c r="BS17" s="144" t="str">
        <f>IFERROR(VLOOKUP($B17,#REF!,13,0),"")</f>
        <v/>
      </c>
      <c r="BT17" s="152"/>
      <c r="BU17" s="152"/>
      <c r="BV17" s="144">
        <f>IFERROR(VLOOKUP($B17,#REF!,2,0),0)</f>
        <v>0</v>
      </c>
      <c r="BW17" s="144">
        <v>2.3500000000000001E-3</v>
      </c>
      <c r="BX17" s="152"/>
      <c r="BY17" s="152"/>
    </row>
    <row r="18" spans="1:77" s="37" customFormat="1" ht="17.25" hidden="1">
      <c r="A18" s="42"/>
      <c r="B18" s="21" t="s">
        <v>129</v>
      </c>
      <c r="C18" s="3"/>
      <c r="D18" s="12"/>
      <c r="E18" s="12"/>
      <c r="F18" s="12"/>
      <c r="G18" s="12"/>
      <c r="H18" s="3"/>
      <c r="I18" s="12"/>
      <c r="J18" s="12"/>
      <c r="K18" s="12"/>
      <c r="L18" s="12"/>
      <c r="M18" s="3"/>
      <c r="N18" s="12"/>
      <c r="O18" s="12"/>
      <c r="P18" s="12"/>
      <c r="Q18" s="12"/>
      <c r="R18" s="12"/>
      <c r="S18" s="12"/>
      <c r="T18" s="12"/>
      <c r="U18" s="12"/>
      <c r="V18" s="12">
        <v>56</v>
      </c>
      <c r="W18" s="12">
        <v>0.23214285714285701</v>
      </c>
      <c r="X18" s="12">
        <v>0</v>
      </c>
      <c r="Y18" s="12">
        <v>1.4530377811983299</v>
      </c>
      <c r="Z18" s="12"/>
      <c r="AA18" s="12"/>
      <c r="AB18" s="12"/>
      <c r="AC18" s="12"/>
      <c r="AD18" s="43">
        <f t="shared" si="0"/>
        <v>0.23214285714285701</v>
      </c>
      <c r="AE18" s="96"/>
      <c r="AF18" s="12"/>
      <c r="AG18" s="12"/>
      <c r="AH18" s="12"/>
      <c r="AI18" s="12"/>
      <c r="AJ18" s="12"/>
      <c r="AK18" s="12"/>
      <c r="AL18" s="12"/>
      <c r="AM18" s="194" t="e">
        <f t="shared" si="1"/>
        <v>#DIV/0!</v>
      </c>
      <c r="AN18" s="142"/>
      <c r="AO18" s="4"/>
      <c r="AP18" s="4" t="str">
        <f t="shared" si="4"/>
        <v/>
      </c>
      <c r="AQ18" s="4" t="str">
        <f t="shared" si="5"/>
        <v/>
      </c>
      <c r="AR18" s="4" t="str">
        <f t="shared" si="6"/>
        <v/>
      </c>
      <c r="AS18" s="4">
        <f t="shared" si="7"/>
        <v>0</v>
      </c>
      <c r="AT18" s="132" t="e">
        <f t="shared" si="8"/>
        <v>#VALUE!</v>
      </c>
      <c r="AU18" s="4" t="e">
        <f t="shared" si="9"/>
        <v>#VALUE!</v>
      </c>
      <c r="AV18" s="188"/>
      <c r="AW18" s="188" t="e">
        <f>IF(AO18&lt;=AM18,"Good","Bad")</f>
        <v>#DIV/0!</v>
      </c>
      <c r="AX18" s="144"/>
      <c r="AY18" s="144"/>
      <c r="AZ18" s="144"/>
      <c r="BA18" s="144"/>
      <c r="BB18" s="144"/>
      <c r="BC18" s="144"/>
      <c r="BD18" s="144"/>
      <c r="BE18" s="144" t="str">
        <f>IFERROR(VLOOKUP($B18,#REF!,3,0),"")</f>
        <v/>
      </c>
      <c r="BF18" s="153"/>
      <c r="BG18" s="153"/>
      <c r="BH18" s="153"/>
      <c r="BI18" s="153"/>
      <c r="BJ18" s="15"/>
      <c r="BK18" s="144" t="str">
        <f>IFERROR(VLOOKUP($B18,#REF!,3,0),"")</f>
        <v/>
      </c>
      <c r="BL18" s="15"/>
      <c r="BM18" s="144"/>
      <c r="BN18" s="15"/>
      <c r="BO18" s="144"/>
      <c r="BP18" s="153"/>
      <c r="BQ18" s="153"/>
      <c r="BR18" s="15"/>
      <c r="BS18" s="144"/>
      <c r="BT18" s="153"/>
      <c r="BU18" s="153"/>
      <c r="BV18" s="144"/>
      <c r="BW18" s="144"/>
      <c r="BX18" s="153"/>
      <c r="BY18" s="153"/>
    </row>
  </sheetData>
  <autoFilter ref="AV1:AV18">
    <filterColumn colId="0">
      <customFilters>
        <customFilter operator="notEqual" val=" "/>
      </customFilters>
    </filterColumn>
  </autoFilter>
  <mergeCells count="27">
    <mergeCell ref="AE1:AH1"/>
    <mergeCell ref="AI1:AL1"/>
    <mergeCell ref="Z1:AC1"/>
    <mergeCell ref="A3:A8"/>
    <mergeCell ref="A9:A17"/>
    <mergeCell ref="A1:B2"/>
    <mergeCell ref="C1:G1"/>
    <mergeCell ref="H1:L1"/>
    <mergeCell ref="M1:Q1"/>
    <mergeCell ref="R1:U1"/>
    <mergeCell ref="V1:Y1"/>
    <mergeCell ref="AN1:AR1"/>
    <mergeCell ref="AX1:AY1"/>
    <mergeCell ref="AZ1:BA1"/>
    <mergeCell ref="BB1:BC1"/>
    <mergeCell ref="BD1:BE1"/>
    <mergeCell ref="AS1:AU1"/>
    <mergeCell ref="BF1:BG1"/>
    <mergeCell ref="BH1:BI1"/>
    <mergeCell ref="BJ1:BK1"/>
    <mergeCell ref="BL1:BM1"/>
    <mergeCell ref="BN1:BO1"/>
    <mergeCell ref="BP1:BQ1"/>
    <mergeCell ref="BR1:BS1"/>
    <mergeCell ref="BT1:BU1"/>
    <mergeCell ref="BV1:BW1"/>
    <mergeCell ref="BX1:BY1"/>
  </mergeCells>
  <phoneticPr fontId="26" type="noConversion"/>
  <conditionalFormatting sqref="BE4:BE18">
    <cfRule type="containsBlanks" priority="11" stopIfTrue="1">
      <formula>LEN(TRIM(BE4))=0</formula>
    </cfRule>
    <cfRule type="cellIs" dxfId="112" priority="12" operator="notBetween">
      <formula>$AQ4</formula>
      <formula>$AR4</formula>
    </cfRule>
  </conditionalFormatting>
  <conditionalFormatting sqref="BK4:BK18">
    <cfRule type="containsBlanks" priority="9" stopIfTrue="1">
      <formula>LEN(TRIM(BK4))=0</formula>
    </cfRule>
    <cfRule type="cellIs" dxfId="111" priority="10" operator="notBetween">
      <formula>$AQ4</formula>
      <formula>$AR4</formula>
    </cfRule>
  </conditionalFormatting>
  <conditionalFormatting sqref="BM4:BM18">
    <cfRule type="containsBlanks" priority="7" stopIfTrue="1">
      <formula>LEN(TRIM(BM4))=0</formula>
    </cfRule>
    <cfRule type="cellIs" dxfId="110" priority="8" operator="notBetween">
      <formula>$AQ4</formula>
      <formula>$AR4</formula>
    </cfRule>
  </conditionalFormatting>
  <conditionalFormatting sqref="BO4:BO18">
    <cfRule type="containsBlanks" priority="5" stopIfTrue="1">
      <formula>LEN(TRIM(BO4))=0</formula>
    </cfRule>
    <cfRule type="cellIs" dxfId="109" priority="6" operator="notBetween">
      <formula>$AQ4</formula>
      <formula>$AR4</formula>
    </cfRule>
  </conditionalFormatting>
  <conditionalFormatting sqref="BS4:BS18">
    <cfRule type="containsBlanks" priority="3" stopIfTrue="1">
      <formula>LEN(TRIM(BS4))=0</formula>
    </cfRule>
    <cfRule type="cellIs" dxfId="108" priority="4" operator="notBetween">
      <formula>$AQ4</formula>
      <formula>$AR4</formula>
    </cfRule>
  </conditionalFormatting>
  <conditionalFormatting sqref="BW4:BW18">
    <cfRule type="containsBlanks" priority="1" stopIfTrue="1">
      <formula>LEN(TRIM(BW4))=0</formula>
    </cfRule>
    <cfRule type="cellIs" dxfId="107" priority="2" operator="notBetween">
      <formula>$AQ4</formula>
      <formula>$AR4</formula>
    </cfRule>
  </conditionalFormatting>
  <pageMargins left="0.74791666666666701" right="0.74791666666666701" top="0.98402777777777795" bottom="0.98402777777777795" header="0.51180555555555596" footer="0.51180555555555596"/>
  <pageSetup paperSize="9" orientation="portrait"/>
  <headerFooter alignWithMargins="0">
    <oddHeader>&amp;L&amp;G&amp;C&amp;F&amp;R文档密级</oddHeader>
    <oddFooter>&amp;L&amp;D&amp;C华为保密信息,未经授权禁止扩散&amp;R第&amp;P页，共&amp;N页</oddFooter>
  </headerFooter>
  <legacyDrawingHF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M17"/>
  <sheetViews>
    <sheetView workbookViewId="0">
      <pane xSplit="2" ySplit="2" topLeftCell="C3" activePane="bottomRight" state="frozen"/>
      <selection activeCell="AD1" sqref="AD1:AG1"/>
      <selection pane="topRight" activeCell="AD1" sqref="AD1:AG1"/>
      <selection pane="bottomLeft" activeCell="AD1" sqref="AD1:AG1"/>
      <selection pane="bottomRight" activeCell="BE20" sqref="BE20"/>
    </sheetView>
  </sheetViews>
  <sheetFormatPr defaultColWidth="9" defaultRowHeight="14.25"/>
  <cols>
    <col min="1" max="1" width="5.875" style="26" customWidth="1"/>
    <col min="2" max="2" width="31.75" style="26" customWidth="1"/>
    <col min="3" max="12" width="7" style="26" hidden="1" customWidth="1"/>
    <col min="13" max="46" width="7.125" style="26" hidden="1" customWidth="1"/>
    <col min="47" max="47" width="10.875" style="26" hidden="1" customWidth="1"/>
    <col min="48" max="48" width="7.125" style="26" hidden="1" customWidth="1"/>
    <col min="49" max="49" width="10.25" style="26" hidden="1" customWidth="1"/>
    <col min="50" max="50" width="10.125" style="26" hidden="1" customWidth="1"/>
    <col min="51" max="51" width="9.25" style="26" hidden="1" customWidth="1"/>
    <col min="52" max="53" width="10.75" style="26" hidden="1" customWidth="1"/>
    <col min="54" max="54" width="9" style="26" hidden="1" customWidth="1"/>
    <col min="55" max="55" width="9" style="26"/>
    <col min="56" max="56" width="9" style="26" hidden="1" customWidth="1"/>
    <col min="57" max="58" width="9" style="26" customWidth="1"/>
    <col min="59" max="63" width="8.125" customWidth="1"/>
    <col min="64" max="16384" width="9" style="26"/>
  </cols>
  <sheetData>
    <row r="1" spans="1:91" s="24" customFormat="1" ht="28.5" customHeight="1">
      <c r="A1" s="145" t="s">
        <v>402</v>
      </c>
      <c r="B1" s="332" t="s">
        <v>402</v>
      </c>
      <c r="C1" s="357" t="s">
        <v>97</v>
      </c>
      <c r="D1" s="357"/>
      <c r="E1" s="357"/>
      <c r="F1" s="357"/>
      <c r="G1" s="357"/>
      <c r="H1" s="357" t="s">
        <v>98</v>
      </c>
      <c r="I1" s="357"/>
      <c r="J1" s="357"/>
      <c r="K1" s="357"/>
      <c r="L1" s="357"/>
      <c r="M1" s="357" t="s">
        <v>28</v>
      </c>
      <c r="N1" s="357"/>
      <c r="O1" s="357"/>
      <c r="P1" s="357"/>
      <c r="Q1" s="357"/>
      <c r="R1" s="357" t="s">
        <v>99</v>
      </c>
      <c r="S1" s="357"/>
      <c r="T1" s="357"/>
      <c r="U1" s="357"/>
      <c r="V1" s="357"/>
      <c r="W1" s="357" t="s">
        <v>100</v>
      </c>
      <c r="X1" s="357"/>
      <c r="Y1" s="357"/>
      <c r="Z1" s="357"/>
      <c r="AA1" s="357"/>
      <c r="AB1" s="353" t="s">
        <v>101</v>
      </c>
      <c r="AC1" s="353"/>
      <c r="AD1" s="353"/>
      <c r="AE1" s="353"/>
      <c r="AF1" s="353" t="s">
        <v>102</v>
      </c>
      <c r="AG1" s="353"/>
      <c r="AH1" s="353"/>
      <c r="AI1" s="353"/>
      <c r="AJ1" s="353" t="s">
        <v>103</v>
      </c>
      <c r="AK1" s="353"/>
      <c r="AL1" s="353"/>
      <c r="AM1" s="353"/>
      <c r="AN1" s="353" t="s">
        <v>104</v>
      </c>
      <c r="AO1" s="353"/>
      <c r="AP1" s="353"/>
      <c r="AQ1" s="353"/>
      <c r="AR1" s="179" t="s">
        <v>427</v>
      </c>
      <c r="AS1" s="353" t="s">
        <v>186</v>
      </c>
      <c r="AT1" s="353"/>
      <c r="AU1" s="353"/>
      <c r="AV1" s="353"/>
      <c r="AW1" s="353" t="s">
        <v>250</v>
      </c>
      <c r="AX1" s="353"/>
      <c r="AY1" s="353"/>
      <c r="AZ1" s="353"/>
      <c r="BA1" s="179" t="s">
        <v>420</v>
      </c>
      <c r="BB1" s="330" t="s">
        <v>362</v>
      </c>
      <c r="BC1" s="330"/>
      <c r="BD1" s="330"/>
      <c r="BE1" s="330"/>
      <c r="BF1" s="330"/>
      <c r="BG1" s="330" t="s">
        <v>393</v>
      </c>
      <c r="BH1" s="351"/>
      <c r="BI1" s="351"/>
      <c r="BJ1" s="187" t="s">
        <v>412</v>
      </c>
      <c r="BK1" s="187" t="s">
        <v>416</v>
      </c>
      <c r="BL1" s="330">
        <v>2012</v>
      </c>
      <c r="BM1" s="330"/>
      <c r="BN1" s="330" t="s">
        <v>363</v>
      </c>
      <c r="BO1" s="330"/>
      <c r="BP1" s="330" t="s">
        <v>364</v>
      </c>
      <c r="BQ1" s="330"/>
      <c r="BR1" s="330" t="s">
        <v>365</v>
      </c>
      <c r="BS1" s="330"/>
      <c r="BT1" s="330" t="s">
        <v>366</v>
      </c>
      <c r="BU1" s="330"/>
      <c r="BV1" s="330" t="s">
        <v>367</v>
      </c>
      <c r="BW1" s="330"/>
      <c r="BX1" s="330" t="s">
        <v>368</v>
      </c>
      <c r="BY1" s="330"/>
      <c r="BZ1" s="330" t="s">
        <v>369</v>
      </c>
      <c r="CA1" s="330"/>
      <c r="CB1" s="330" t="s">
        <v>370</v>
      </c>
      <c r="CC1" s="330"/>
      <c r="CD1" s="330" t="s">
        <v>371</v>
      </c>
      <c r="CE1" s="330"/>
      <c r="CF1" s="330" t="s">
        <v>372</v>
      </c>
      <c r="CG1" s="330"/>
      <c r="CH1" s="330" t="s">
        <v>373</v>
      </c>
      <c r="CI1" s="330"/>
      <c r="CJ1" s="330" t="s">
        <v>374</v>
      </c>
      <c r="CK1" s="330"/>
      <c r="CL1" s="330" t="s">
        <v>375</v>
      </c>
      <c r="CM1" s="330"/>
    </row>
    <row r="2" spans="1:91" s="25" customFormat="1">
      <c r="A2" s="145"/>
      <c r="B2" s="352"/>
      <c r="C2" s="145" t="s">
        <v>0</v>
      </c>
      <c r="D2" s="145" t="s">
        <v>105</v>
      </c>
      <c r="E2" s="145" t="s">
        <v>29</v>
      </c>
      <c r="F2" s="145" t="s">
        <v>2</v>
      </c>
      <c r="G2" s="145" t="s">
        <v>3</v>
      </c>
      <c r="H2" s="145" t="s">
        <v>0</v>
      </c>
      <c r="I2" s="145" t="s">
        <v>105</v>
      </c>
      <c r="J2" s="145" t="s">
        <v>29</v>
      </c>
      <c r="K2" s="145" t="s">
        <v>2</v>
      </c>
      <c r="L2" s="145" t="s">
        <v>3</v>
      </c>
      <c r="M2" s="145" t="s">
        <v>0</v>
      </c>
      <c r="N2" s="145" t="s">
        <v>105</v>
      </c>
      <c r="O2" s="145" t="s">
        <v>29</v>
      </c>
      <c r="P2" s="145" t="s">
        <v>2</v>
      </c>
      <c r="Q2" s="145" t="s">
        <v>3</v>
      </c>
      <c r="R2" s="145" t="s">
        <v>0</v>
      </c>
      <c r="S2" s="145" t="s">
        <v>105</v>
      </c>
      <c r="T2" s="145" t="s">
        <v>29</v>
      </c>
      <c r="U2" s="145" t="s">
        <v>2</v>
      </c>
      <c r="V2" s="145" t="s">
        <v>3</v>
      </c>
      <c r="W2" s="145" t="s">
        <v>0</v>
      </c>
      <c r="X2" s="145" t="s">
        <v>105</v>
      </c>
      <c r="Y2" s="145" t="s">
        <v>29</v>
      </c>
      <c r="Z2" s="145" t="s">
        <v>2</v>
      </c>
      <c r="AA2" s="145" t="s">
        <v>3</v>
      </c>
      <c r="AB2" s="145" t="s">
        <v>0</v>
      </c>
      <c r="AC2" s="145" t="s">
        <v>1</v>
      </c>
      <c r="AD2" s="145" t="s">
        <v>2</v>
      </c>
      <c r="AE2" s="145" t="s">
        <v>3</v>
      </c>
      <c r="AF2" s="145" t="s">
        <v>0</v>
      </c>
      <c r="AG2" s="145" t="s">
        <v>1</v>
      </c>
      <c r="AH2" s="145" t="s">
        <v>2</v>
      </c>
      <c r="AI2" s="145" t="s">
        <v>3</v>
      </c>
      <c r="AJ2" s="145" t="s">
        <v>0</v>
      </c>
      <c r="AK2" s="145" t="s">
        <v>1</v>
      </c>
      <c r="AL2" s="145" t="s">
        <v>2</v>
      </c>
      <c r="AM2" s="145" t="s">
        <v>3</v>
      </c>
      <c r="AN2" s="145" t="s">
        <v>0</v>
      </c>
      <c r="AO2" s="145" t="s">
        <v>1</v>
      </c>
      <c r="AP2" s="145" t="s">
        <v>2</v>
      </c>
      <c r="AQ2" s="145" t="s">
        <v>3</v>
      </c>
      <c r="AR2" s="177"/>
      <c r="AS2" s="145" t="s">
        <v>0</v>
      </c>
      <c r="AT2" s="145" t="s">
        <v>1</v>
      </c>
      <c r="AU2" s="145" t="s">
        <v>2</v>
      </c>
      <c r="AV2" s="145" t="s">
        <v>3</v>
      </c>
      <c r="AW2" s="145" t="s">
        <v>0</v>
      </c>
      <c r="AX2" s="145" t="s">
        <v>1</v>
      </c>
      <c r="AY2" s="145" t="s">
        <v>2</v>
      </c>
      <c r="AZ2" s="145" t="s">
        <v>3</v>
      </c>
      <c r="BA2" s="177"/>
      <c r="BB2" s="145" t="s">
        <v>338</v>
      </c>
      <c r="BC2" s="145" t="s">
        <v>361</v>
      </c>
      <c r="BD2" s="145" t="s">
        <v>360</v>
      </c>
      <c r="BE2" s="145" t="s">
        <v>2</v>
      </c>
      <c r="BF2" s="145" t="s">
        <v>3</v>
      </c>
      <c r="BG2" s="145" t="s">
        <v>394</v>
      </c>
      <c r="BH2" s="145" t="s">
        <v>396</v>
      </c>
      <c r="BI2" s="145" t="s">
        <v>395</v>
      </c>
      <c r="BJ2" s="177"/>
      <c r="BK2" s="177"/>
      <c r="BL2" s="122" t="s">
        <v>338</v>
      </c>
      <c r="BM2" s="122" t="s">
        <v>361</v>
      </c>
      <c r="BN2" s="122" t="s">
        <v>338</v>
      </c>
      <c r="BO2" s="122" t="s">
        <v>361</v>
      </c>
      <c r="BP2" s="122" t="s">
        <v>338</v>
      </c>
      <c r="BQ2" s="122" t="s">
        <v>361</v>
      </c>
      <c r="BR2" s="122" t="s">
        <v>338</v>
      </c>
      <c r="BS2" s="122" t="s">
        <v>361</v>
      </c>
      <c r="BT2" s="122" t="s">
        <v>338</v>
      </c>
      <c r="BU2" s="122" t="s">
        <v>361</v>
      </c>
      <c r="BV2" s="122" t="s">
        <v>338</v>
      </c>
      <c r="BW2" s="122" t="s">
        <v>361</v>
      </c>
      <c r="BX2" s="122" t="s">
        <v>338</v>
      </c>
      <c r="BY2" s="122" t="s">
        <v>361</v>
      </c>
      <c r="BZ2" s="122" t="s">
        <v>338</v>
      </c>
      <c r="CA2" s="122" t="s">
        <v>361</v>
      </c>
      <c r="CB2" s="122" t="s">
        <v>338</v>
      </c>
      <c r="CC2" s="122" t="s">
        <v>361</v>
      </c>
      <c r="CD2" s="122" t="s">
        <v>338</v>
      </c>
      <c r="CE2" s="122" t="s">
        <v>361</v>
      </c>
      <c r="CF2" s="122" t="s">
        <v>338</v>
      </c>
      <c r="CG2" s="122" t="s">
        <v>361</v>
      </c>
      <c r="CH2" s="122" t="s">
        <v>338</v>
      </c>
      <c r="CI2" s="122" t="s">
        <v>361</v>
      </c>
      <c r="CJ2" s="122" t="s">
        <v>338</v>
      </c>
      <c r="CK2" s="122" t="s">
        <v>361</v>
      </c>
      <c r="CL2" s="122" t="s">
        <v>338</v>
      </c>
      <c r="CM2" s="122" t="s">
        <v>361</v>
      </c>
    </row>
    <row r="3" spans="1:91" s="25" customFormat="1" ht="14.25" customHeight="1">
      <c r="A3" s="354" t="s">
        <v>22</v>
      </c>
      <c r="B3" s="171" t="s">
        <v>4</v>
      </c>
      <c r="C3" s="44" t="s">
        <v>5</v>
      </c>
      <c r="D3" s="45" t="s">
        <v>6</v>
      </c>
      <c r="E3" s="45" t="s">
        <v>7</v>
      </c>
      <c r="F3" s="45" t="s">
        <v>8</v>
      </c>
      <c r="G3" s="45" t="s">
        <v>9</v>
      </c>
      <c r="H3" s="44" t="s">
        <v>10</v>
      </c>
      <c r="I3" s="45" t="s">
        <v>11</v>
      </c>
      <c r="J3" s="45" t="s">
        <v>12</v>
      </c>
      <c r="K3" s="45" t="s">
        <v>13</v>
      </c>
      <c r="L3" s="45" t="s">
        <v>20</v>
      </c>
      <c r="M3" s="44" t="s">
        <v>106</v>
      </c>
      <c r="N3" s="45" t="s">
        <v>107</v>
      </c>
      <c r="O3" s="45" t="s">
        <v>108</v>
      </c>
      <c r="P3" s="45" t="s">
        <v>109</v>
      </c>
      <c r="Q3" s="45" t="s">
        <v>110</v>
      </c>
      <c r="R3" s="44" t="s">
        <v>40</v>
      </c>
      <c r="S3" s="45" t="s">
        <v>41</v>
      </c>
      <c r="T3" s="45" t="s">
        <v>42</v>
      </c>
      <c r="U3" s="45" t="s">
        <v>43</v>
      </c>
      <c r="V3" s="45" t="s">
        <v>30</v>
      </c>
      <c r="W3" s="45" t="s">
        <v>111</v>
      </c>
      <c r="X3" s="45" t="s">
        <v>112</v>
      </c>
      <c r="Y3" s="45" t="s">
        <v>113</v>
      </c>
      <c r="Z3" s="45" t="s">
        <v>114</v>
      </c>
      <c r="AA3" s="45" t="s">
        <v>44</v>
      </c>
      <c r="AB3" s="45" t="s">
        <v>45</v>
      </c>
      <c r="AC3" s="45" t="s">
        <v>46</v>
      </c>
      <c r="AD3" s="45" t="s">
        <v>47</v>
      </c>
      <c r="AE3" s="45" t="s">
        <v>48</v>
      </c>
      <c r="AF3" s="45" t="s">
        <v>50</v>
      </c>
      <c r="AG3" s="45" t="s">
        <v>51</v>
      </c>
      <c r="AH3" s="45" t="s">
        <v>52</v>
      </c>
      <c r="AI3" s="45" t="s">
        <v>115</v>
      </c>
      <c r="AJ3" s="45" t="s">
        <v>116</v>
      </c>
      <c r="AK3" s="45" t="s">
        <v>117</v>
      </c>
      <c r="AL3" s="45" t="s">
        <v>118</v>
      </c>
      <c r="AM3" s="45" t="s">
        <v>119</v>
      </c>
      <c r="AN3" s="45" t="s">
        <v>120</v>
      </c>
      <c r="AO3" s="45" t="s">
        <v>121</v>
      </c>
      <c r="AP3" s="45" t="s">
        <v>122</v>
      </c>
      <c r="AQ3" s="45" t="s">
        <v>123</v>
      </c>
      <c r="AR3" s="45" t="s">
        <v>426</v>
      </c>
      <c r="AS3" s="45" t="s">
        <v>177</v>
      </c>
      <c r="AT3" s="45" t="s">
        <v>179</v>
      </c>
      <c r="AU3" s="45" t="s">
        <v>178</v>
      </c>
      <c r="AV3" s="45" t="s">
        <v>164</v>
      </c>
      <c r="AW3" s="45" t="s">
        <v>249</v>
      </c>
      <c r="AX3" s="45" t="s">
        <v>248</v>
      </c>
      <c r="AY3" s="45" t="s">
        <v>247</v>
      </c>
      <c r="AZ3" s="45" t="s">
        <v>246</v>
      </c>
      <c r="BA3" s="45" t="s">
        <v>421</v>
      </c>
      <c r="BB3" s="20" t="s">
        <v>53</v>
      </c>
      <c r="BC3" s="20" t="s">
        <v>164</v>
      </c>
      <c r="BD3" s="20" t="s">
        <v>246</v>
      </c>
      <c r="BE3" s="20" t="s">
        <v>54</v>
      </c>
      <c r="BF3" s="20" t="s">
        <v>55</v>
      </c>
      <c r="BG3" s="4"/>
      <c r="BH3" s="4"/>
      <c r="BI3" s="4"/>
      <c r="BJ3" s="4"/>
      <c r="BK3" s="4"/>
      <c r="BL3" s="20" t="s">
        <v>53</v>
      </c>
      <c r="BM3" s="20" t="s">
        <v>164</v>
      </c>
      <c r="BN3" s="20" t="s">
        <v>53</v>
      </c>
      <c r="BO3" s="20" t="s">
        <v>164</v>
      </c>
      <c r="BP3" s="20" t="s">
        <v>53</v>
      </c>
      <c r="BQ3" s="20" t="s">
        <v>164</v>
      </c>
      <c r="BR3" s="20" t="s">
        <v>53</v>
      </c>
      <c r="BS3" s="20" t="s">
        <v>164</v>
      </c>
      <c r="BT3" s="20" t="s">
        <v>53</v>
      </c>
      <c r="BU3" s="20" t="s">
        <v>164</v>
      </c>
      <c r="BV3" s="20" t="s">
        <v>53</v>
      </c>
      <c r="BW3" s="20" t="s">
        <v>164</v>
      </c>
      <c r="BX3" s="20" t="s">
        <v>53</v>
      </c>
      <c r="BY3" s="20" t="s">
        <v>164</v>
      </c>
      <c r="BZ3" s="20" t="s">
        <v>53</v>
      </c>
      <c r="CA3" s="20" t="s">
        <v>164</v>
      </c>
      <c r="CB3" s="20" t="s">
        <v>53</v>
      </c>
      <c r="CC3" s="20" t="s">
        <v>164</v>
      </c>
      <c r="CD3" s="20" t="s">
        <v>53</v>
      </c>
      <c r="CE3" s="20" t="s">
        <v>164</v>
      </c>
      <c r="CF3" s="20" t="s">
        <v>53</v>
      </c>
      <c r="CG3" s="20" t="s">
        <v>164</v>
      </c>
      <c r="CH3" s="20" t="s">
        <v>53</v>
      </c>
      <c r="CI3" s="20" t="s">
        <v>164</v>
      </c>
      <c r="CJ3" s="20" t="s">
        <v>53</v>
      </c>
      <c r="CK3" s="20" t="s">
        <v>164</v>
      </c>
      <c r="CL3" s="20" t="s">
        <v>53</v>
      </c>
      <c r="CM3" s="20" t="s">
        <v>164</v>
      </c>
    </row>
    <row r="4" spans="1:91" s="25" customFormat="1">
      <c r="A4" s="355"/>
      <c r="B4" s="2" t="s">
        <v>124</v>
      </c>
      <c r="C4" s="3">
        <v>9</v>
      </c>
      <c r="D4" s="4">
        <v>3.2384850295062599</v>
      </c>
      <c r="E4" s="4">
        <v>1.8109132287629299</v>
      </c>
      <c r="F4" s="4">
        <v>5.0493982582691901</v>
      </c>
      <c r="G4" s="4">
        <v>1.42757180074332</v>
      </c>
      <c r="H4" s="3">
        <v>40</v>
      </c>
      <c r="I4" s="4">
        <v>4.3395422295834303</v>
      </c>
      <c r="J4" s="4">
        <v>2.0363839587409802</v>
      </c>
      <c r="K4" s="4">
        <v>6.37592618832441</v>
      </c>
      <c r="L4" s="4">
        <v>2.3031582708424398</v>
      </c>
      <c r="M4" s="3">
        <v>49</v>
      </c>
      <c r="N4" s="4">
        <v>4.3</v>
      </c>
      <c r="O4" s="4">
        <v>2</v>
      </c>
      <c r="P4" s="4">
        <v>6.37592618832441</v>
      </c>
      <c r="Q4" s="4">
        <v>2.3031582708424398</v>
      </c>
      <c r="R4" s="3">
        <v>42</v>
      </c>
      <c r="S4" s="4">
        <v>4.4494952258483798</v>
      </c>
      <c r="T4" s="4">
        <v>3.1539413022150602</v>
      </c>
      <c r="U4" s="4">
        <v>7.6034365280634297</v>
      </c>
      <c r="V4" s="4">
        <v>1.29555392363332</v>
      </c>
      <c r="W4" s="3">
        <v>34</v>
      </c>
      <c r="X4" s="4">
        <v>4.4000000000000004</v>
      </c>
      <c r="Y4" s="4">
        <v>2.28222445168007</v>
      </c>
      <c r="Z4" s="4">
        <v>6.67784321306085</v>
      </c>
      <c r="AA4" s="4">
        <v>2.1133943097007202</v>
      </c>
      <c r="AB4" s="33">
        <v>21</v>
      </c>
      <c r="AC4" s="50">
        <v>4.39521187253942</v>
      </c>
      <c r="AD4" s="50">
        <v>7.2161799717160804</v>
      </c>
      <c r="AE4" s="50">
        <v>1.5742437733627701</v>
      </c>
      <c r="AF4" s="33">
        <v>10</v>
      </c>
      <c r="AG4" s="50">
        <v>4.8789482954380103</v>
      </c>
      <c r="AH4" s="50">
        <v>6.4427487745641603</v>
      </c>
      <c r="AI4" s="50">
        <v>3.3151478163118502</v>
      </c>
      <c r="AJ4" s="52">
        <v>36</v>
      </c>
      <c r="AK4" s="50">
        <v>4.58958024691358</v>
      </c>
      <c r="AL4" s="50">
        <v>10.452347435267599</v>
      </c>
      <c r="AM4" s="50">
        <v>0</v>
      </c>
      <c r="AN4" s="52">
        <v>12</v>
      </c>
      <c r="AO4" s="50">
        <v>7.2286591880341904</v>
      </c>
      <c r="AP4" s="50">
        <v>10.4191081502202</v>
      </c>
      <c r="AQ4" s="50">
        <v>4.0382102258481902</v>
      </c>
      <c r="AR4" s="43">
        <f>(AF4*AG4+AJ4*AK4+AN4*AO4)/(AF4+AJ4+AN4)</f>
        <v>5.1854876224082629</v>
      </c>
      <c r="AS4" s="52">
        <v>39</v>
      </c>
      <c r="AT4" s="50">
        <v>3.1029023330737289</v>
      </c>
      <c r="AU4" s="50">
        <v>5.9315545060324721</v>
      </c>
      <c r="AV4" s="50">
        <v>0.2742501601149856</v>
      </c>
      <c r="AW4" s="52">
        <v>24</v>
      </c>
      <c r="AX4" s="50">
        <v>3.2030330982155513</v>
      </c>
      <c r="AY4" s="50">
        <v>2.5374466783536578</v>
      </c>
      <c r="AZ4" s="50">
        <v>5.7404797765692095</v>
      </c>
      <c r="BA4" s="194">
        <f>(AS4*AT4+AW4*AX4)/(AS4+AW4)</f>
        <v>3.1410473864610897</v>
      </c>
      <c r="BB4" s="4">
        <f>SUM(BL4+BN4+BP4+BR4+BT4+BV4+BX4+BZ4+CB4+CD4+CF4+CH4+CJ4+CL4)</f>
        <v>0</v>
      </c>
      <c r="BC4" s="132" t="e">
        <f>(BL4*BM4+BN4*BO4+BP4*BQ4+BR4*BS4+BT4*BU4+BV4*BW4+BX4*BY4+BZ4*CA4+CB4*CC4+CD4*CE4+CF4*CG4+CH4*CI4+CJ4*CK4+CL4*CM4)/BB4</f>
        <v>#VALUE!</v>
      </c>
      <c r="BD4" s="132" t="str">
        <f>IFERROR(STDEV(BM4,BO4,BQ4,BS4,BU4,BW4,BY4,CA4,CC4,CE4,CG4,CI4,CK4,CM4),"")</f>
        <v/>
      </c>
      <c r="BE4" s="235">
        <v>5.74</v>
      </c>
      <c r="BF4" s="235">
        <v>2.54</v>
      </c>
      <c r="BG4" s="132" t="e">
        <f>BC4*1.1</f>
        <v>#VALUE!</v>
      </c>
      <c r="BH4" s="132">
        <f>BE4*1.1</f>
        <v>6.3140000000000009</v>
      </c>
      <c r="BI4" s="132">
        <f>BF4*1.1</f>
        <v>2.7940000000000005</v>
      </c>
      <c r="BJ4" s="132" t="s">
        <v>411</v>
      </c>
      <c r="BK4" s="132" t="e">
        <f>IF(BC4&gt;=BA4,"Up","Down")</f>
        <v>#VALUE!</v>
      </c>
      <c r="BL4" s="4"/>
      <c r="BM4" s="4"/>
      <c r="BN4" s="4"/>
      <c r="BO4" s="4"/>
      <c r="BP4" s="4"/>
      <c r="BQ4" s="4"/>
      <c r="BR4" s="144">
        <f>IFERROR(VLOOKUP($B4,#REF!,2,0),0)</f>
        <v>0</v>
      </c>
      <c r="BS4" s="144" t="str">
        <f>IFERROR(VLOOKUP($B4,#REF!,3,0),"")</f>
        <v/>
      </c>
      <c r="BT4" s="4"/>
      <c r="BU4" s="4"/>
      <c r="BV4" s="4"/>
      <c r="BW4" s="4"/>
      <c r="BX4" s="4"/>
      <c r="BY4" s="4"/>
      <c r="BZ4" s="144"/>
      <c r="CA4" s="14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</row>
    <row r="5" spans="1:91" s="25" customFormat="1">
      <c r="A5" s="356"/>
      <c r="B5" s="21" t="s">
        <v>125</v>
      </c>
      <c r="C5" s="3"/>
      <c r="D5" s="4"/>
      <c r="E5" s="4"/>
      <c r="F5" s="4"/>
      <c r="G5" s="4"/>
      <c r="H5" s="3"/>
      <c r="I5" s="4"/>
      <c r="J5" s="4"/>
      <c r="K5" s="4"/>
      <c r="L5" s="4"/>
      <c r="M5" s="3"/>
      <c r="N5" s="4"/>
      <c r="O5" s="4"/>
      <c r="P5" s="4"/>
      <c r="Q5" s="4"/>
      <c r="R5" s="3">
        <v>11</v>
      </c>
      <c r="S5" s="4">
        <v>12.7345884521953</v>
      </c>
      <c r="T5" s="4">
        <v>8.1931034534456995</v>
      </c>
      <c r="U5" s="4">
        <v>20.927691905641002</v>
      </c>
      <c r="V5" s="4">
        <v>4.5414849987496204</v>
      </c>
      <c r="W5" s="3">
        <v>4</v>
      </c>
      <c r="X5" s="4">
        <v>13.4412704918033</v>
      </c>
      <c r="Y5" s="4">
        <v>6.2166332416324304</v>
      </c>
      <c r="Z5" s="4">
        <v>7.2246372501708498</v>
      </c>
      <c r="AA5" s="4">
        <v>19.657903733435699</v>
      </c>
      <c r="AB5" s="15"/>
      <c r="AC5" s="6"/>
      <c r="AD5" s="6"/>
      <c r="AE5" s="6"/>
      <c r="AF5" s="15" t="s">
        <v>87</v>
      </c>
      <c r="AG5" s="6" t="s">
        <v>87</v>
      </c>
      <c r="AH5" s="6" t="s">
        <v>87</v>
      </c>
      <c r="AI5" s="6" t="s">
        <v>87</v>
      </c>
      <c r="AJ5" s="17">
        <v>7</v>
      </c>
      <c r="AK5" s="6">
        <v>13.4628571428571</v>
      </c>
      <c r="AL5" s="6">
        <v>15.8816772015201</v>
      </c>
      <c r="AM5" s="6">
        <v>11.0440370841941</v>
      </c>
      <c r="AN5" s="17"/>
      <c r="AO5" s="6"/>
      <c r="AP5" s="6"/>
      <c r="AQ5" s="6"/>
      <c r="AR5" s="6">
        <v>13.4628571428571</v>
      </c>
      <c r="AS5" s="17"/>
      <c r="AT5" s="6"/>
      <c r="AU5" s="6"/>
      <c r="AV5" s="6"/>
      <c r="AW5" s="6"/>
      <c r="AX5" s="6"/>
      <c r="AY5" s="6"/>
      <c r="AZ5" s="6"/>
      <c r="BA5" s="194" t="e">
        <f t="shared" ref="BA5:BA17" si="0">(AS5*AT5+AW5*AX5)/(AS5+AW5)</f>
        <v>#DIV/0!</v>
      </c>
      <c r="BB5" s="4"/>
      <c r="BC5" s="4"/>
      <c r="BD5" s="4" t="str">
        <f t="shared" ref="BD5:BD17" si="1">IFERROR(STDEV(BM5,BO5,BQ5,BS5,BU5,BW5,BY5,CA5,CC5,CE5,CG5,CI5,CK5,CM5),"")</f>
        <v/>
      </c>
      <c r="BE5" s="4" t="str">
        <f t="shared" ref="BE5:BE17" si="2">IFERROR(IF(BD5&lt;BC5*0.1,BC5+3*BD5,BC5+BD5),"")</f>
        <v/>
      </c>
      <c r="BF5" s="4" t="str">
        <f t="shared" ref="BF5:BF17" si="3">IFERROR(IF(BD5&lt;BC5*0.1,MAX(BC5-3*BD5,0),MAX(BC5-BD5,0)),"")</f>
        <v/>
      </c>
      <c r="BG5" s="4">
        <f t="shared" ref="BG5:BG16" si="4">BC5*1.1</f>
        <v>0</v>
      </c>
      <c r="BH5" s="4" t="e">
        <f t="shared" ref="BH5:BH17" si="5">BE5*1.1</f>
        <v>#VALUE!</v>
      </c>
      <c r="BI5" s="132" t="e">
        <f t="shared" ref="BI5:BI17" si="6">BF5*1.1</f>
        <v>#VALUE!</v>
      </c>
      <c r="BJ5" s="132"/>
      <c r="BK5" s="132"/>
      <c r="BL5" s="4"/>
      <c r="BM5" s="4"/>
      <c r="BN5" s="4"/>
      <c r="BO5" s="4"/>
      <c r="BP5" s="4"/>
      <c r="BQ5" s="4"/>
      <c r="BR5" s="144">
        <f>IFERROR(VLOOKUP($B5,#REF!,2,0),0)</f>
        <v>0</v>
      </c>
      <c r="BS5" s="144" t="str">
        <f>IFERROR(VLOOKUP($B5,#REF!,3,0),"")</f>
        <v/>
      </c>
      <c r="BT5" s="4"/>
      <c r="BU5" s="4"/>
      <c r="BV5" s="4"/>
      <c r="BW5" s="4"/>
      <c r="BX5" s="4"/>
      <c r="BY5" s="4"/>
      <c r="BZ5" s="144"/>
      <c r="CA5" s="14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</row>
    <row r="6" spans="1:91" s="25" customFormat="1">
      <c r="A6" s="70"/>
      <c r="B6" s="21" t="s">
        <v>180</v>
      </c>
      <c r="C6" s="3"/>
      <c r="D6" s="4"/>
      <c r="E6" s="4"/>
      <c r="F6" s="4"/>
      <c r="G6" s="4"/>
      <c r="H6" s="3"/>
      <c r="I6" s="4"/>
      <c r="J6" s="4"/>
      <c r="K6" s="4"/>
      <c r="L6" s="4"/>
      <c r="M6" s="3"/>
      <c r="N6" s="4"/>
      <c r="O6" s="4"/>
      <c r="P6" s="4"/>
      <c r="Q6" s="4"/>
      <c r="R6" s="3"/>
      <c r="S6" s="4"/>
      <c r="T6" s="4"/>
      <c r="U6" s="4"/>
      <c r="V6" s="4"/>
      <c r="W6" s="3"/>
      <c r="X6" s="4"/>
      <c r="Y6" s="4"/>
      <c r="Z6" s="4"/>
      <c r="AA6" s="4"/>
      <c r="AB6" s="15"/>
      <c r="AC6" s="6"/>
      <c r="AD6" s="6"/>
      <c r="AE6" s="6"/>
      <c r="AF6" s="15"/>
      <c r="AG6" s="6"/>
      <c r="AH6" s="6"/>
      <c r="AI6" s="6"/>
      <c r="AJ6" s="17"/>
      <c r="AK6" s="6"/>
      <c r="AL6" s="6"/>
      <c r="AM6" s="6"/>
      <c r="AN6" s="17"/>
      <c r="AO6" s="6"/>
      <c r="AP6" s="6"/>
      <c r="AQ6" s="6"/>
      <c r="AR6" s="43" t="e">
        <f t="shared" ref="AR6:AR17" si="7">(AF6*AG6+AJ6*AK6+AN6*AO6)/(AF6+AJ6+AN6)</f>
        <v>#DIV/0!</v>
      </c>
      <c r="AS6" s="17">
        <v>41</v>
      </c>
      <c r="AT6" s="6">
        <v>0</v>
      </c>
      <c r="AU6" s="6">
        <v>0</v>
      </c>
      <c r="AV6" s="6">
        <v>0</v>
      </c>
      <c r="AW6" s="52">
        <v>26</v>
      </c>
      <c r="AX6" s="6">
        <v>0</v>
      </c>
      <c r="AY6" s="6">
        <v>0</v>
      </c>
      <c r="AZ6" s="6">
        <v>0</v>
      </c>
      <c r="BA6" s="194">
        <f t="shared" si="0"/>
        <v>0</v>
      </c>
      <c r="BB6" s="4">
        <f t="shared" ref="BB6:BB15" si="8">SUM(BL6+BN6+BP6+BR6+BT6+BV6+BX6+BZ6+CB6+CD6+CF6+CH6+CJ6+CL6)</f>
        <v>0</v>
      </c>
      <c r="BC6" s="23" t="e">
        <f t="shared" ref="BC6:BC15" si="9">(BL6*BM6+BN6*BO6+BP6*BQ6+BR6*BS6+BT6*BU6+BV6*BW6+BX6*BY6+BZ6*CA6+CB6*CC6+CD6*CE6+CF6*CG6+CH6*CI6+CJ6*CK6+CL6*CM6)/BB6</f>
        <v>#VALUE!</v>
      </c>
      <c r="BD6" s="4" t="str">
        <f t="shared" si="1"/>
        <v/>
      </c>
      <c r="BE6" s="4" t="str">
        <f t="shared" si="2"/>
        <v/>
      </c>
      <c r="BF6" s="4" t="str">
        <f t="shared" si="3"/>
        <v/>
      </c>
      <c r="BG6" s="23" t="str">
        <f t="shared" ref="BG6:BG7" si="10">IFERROR(IF(BC6*1.1&gt;100%,100%,BC6*1.1),"")</f>
        <v/>
      </c>
      <c r="BH6" s="4" t="e">
        <f t="shared" si="5"/>
        <v>#VALUE!</v>
      </c>
      <c r="BI6" s="23" t="e">
        <f t="shared" si="6"/>
        <v>#VALUE!</v>
      </c>
      <c r="BJ6" s="23"/>
      <c r="BK6" s="23"/>
      <c r="BL6" s="4"/>
      <c r="BM6" s="4"/>
      <c r="BN6" s="4"/>
      <c r="BO6" s="4"/>
      <c r="BP6" s="4"/>
      <c r="BQ6" s="4"/>
      <c r="BR6" s="144">
        <f>IFERROR(VLOOKUP($B6,#REF!,2,0),0)</f>
        <v>0</v>
      </c>
      <c r="BS6" s="144" t="str">
        <f>IFERROR(VLOOKUP($B6,#REF!,3,0),"")</f>
        <v/>
      </c>
      <c r="BT6" s="4"/>
      <c r="BU6" s="4"/>
      <c r="BV6" s="4"/>
      <c r="BW6" s="4"/>
      <c r="BX6" s="4"/>
      <c r="BY6" s="4"/>
      <c r="BZ6" s="144"/>
      <c r="CA6" s="14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</row>
    <row r="7" spans="1:91" s="25" customFormat="1">
      <c r="A7" s="354" t="s">
        <v>21</v>
      </c>
      <c r="B7" s="21" t="s">
        <v>65</v>
      </c>
      <c r="C7" s="3">
        <v>12</v>
      </c>
      <c r="D7" s="5">
        <v>7.9117318956735199E-4</v>
      </c>
      <c r="E7" s="5">
        <v>1.4454094755608001E-3</v>
      </c>
      <c r="F7" s="5">
        <v>3.5842293906810001E-3</v>
      </c>
      <c r="G7" s="5">
        <v>0</v>
      </c>
      <c r="H7" s="3">
        <v>35</v>
      </c>
      <c r="I7" s="5">
        <v>6.4954879980817698E-2</v>
      </c>
      <c r="J7" s="5">
        <v>6.4990320263895104E-2</v>
      </c>
      <c r="K7" s="5">
        <v>0.12994520024471301</v>
      </c>
      <c r="L7" s="5">
        <v>0</v>
      </c>
      <c r="M7" s="3">
        <v>47</v>
      </c>
      <c r="N7" s="5">
        <v>4.8572656970285698E-2</v>
      </c>
      <c r="O7" s="5">
        <v>4.8766087722192701E-2</v>
      </c>
      <c r="P7" s="5">
        <v>9.7682824707513202E-2</v>
      </c>
      <c r="Q7" s="5">
        <v>0</v>
      </c>
      <c r="R7" s="3">
        <v>48</v>
      </c>
      <c r="S7" s="5">
        <v>6.6088441974150702E-2</v>
      </c>
      <c r="T7" s="5">
        <v>0.15217724903754901</v>
      </c>
      <c r="U7" s="5">
        <v>0.21826569101170001</v>
      </c>
      <c r="V7" s="5">
        <v>0</v>
      </c>
      <c r="W7" s="10">
        <v>35</v>
      </c>
      <c r="X7" s="5">
        <v>3.5433024513798497E-2</v>
      </c>
      <c r="Y7" s="5">
        <v>4.7284843888613003E-2</v>
      </c>
      <c r="Z7" s="5">
        <v>8.2717868402411507E-2</v>
      </c>
      <c r="AA7" s="5">
        <v>3.0966231551225101E-3</v>
      </c>
      <c r="AB7" s="33"/>
      <c r="AC7" s="34"/>
      <c r="AD7" s="34"/>
      <c r="AE7" s="34"/>
      <c r="AF7" s="33">
        <v>10</v>
      </c>
      <c r="AG7" s="34">
        <v>6.6909529759990705E-2</v>
      </c>
      <c r="AH7" s="34">
        <v>0.14523237492813501</v>
      </c>
      <c r="AI7" s="34">
        <v>0</v>
      </c>
      <c r="AJ7" s="52"/>
      <c r="AK7" s="34"/>
      <c r="AL7" s="34"/>
      <c r="AM7" s="34"/>
      <c r="AN7" s="52">
        <v>12</v>
      </c>
      <c r="AO7" s="34">
        <v>0</v>
      </c>
      <c r="AP7" s="34">
        <v>0</v>
      </c>
      <c r="AQ7" s="34">
        <v>0</v>
      </c>
      <c r="AR7" s="43">
        <f t="shared" si="7"/>
        <v>3.0413422618177591E-2</v>
      </c>
      <c r="AS7" s="89">
        <v>46</v>
      </c>
      <c r="AT7" s="90">
        <v>1.9520898755388622E-2</v>
      </c>
      <c r="AU7" s="90">
        <v>6.5538049500241571E-2</v>
      </c>
      <c r="AV7" s="90">
        <v>0</v>
      </c>
      <c r="AW7" s="89">
        <v>28</v>
      </c>
      <c r="AX7" s="90">
        <v>0</v>
      </c>
      <c r="AY7" s="90">
        <v>0</v>
      </c>
      <c r="AZ7" s="90">
        <v>0</v>
      </c>
      <c r="BA7" s="195">
        <f t="shared" si="0"/>
        <v>1.2134612739836169E-2</v>
      </c>
      <c r="BB7" s="4">
        <f t="shared" si="8"/>
        <v>0</v>
      </c>
      <c r="BC7" s="23" t="e">
        <f t="shared" si="9"/>
        <v>#VALUE!</v>
      </c>
      <c r="BD7" s="4" t="str">
        <f t="shared" si="1"/>
        <v/>
      </c>
      <c r="BE7" s="4" t="str">
        <f t="shared" si="2"/>
        <v/>
      </c>
      <c r="BF7" s="4" t="str">
        <f t="shared" si="3"/>
        <v/>
      </c>
      <c r="BG7" s="23" t="str">
        <f t="shared" si="10"/>
        <v/>
      </c>
      <c r="BH7" s="4" t="e">
        <f t="shared" si="5"/>
        <v>#VALUE!</v>
      </c>
      <c r="BI7" s="23" t="e">
        <f t="shared" si="6"/>
        <v>#VALUE!</v>
      </c>
      <c r="BJ7" s="23"/>
      <c r="BK7" s="23"/>
      <c r="BL7" s="4"/>
      <c r="BM7" s="4"/>
      <c r="BN7" s="4"/>
      <c r="BO7" s="4"/>
      <c r="BP7" s="4"/>
      <c r="BQ7" s="4"/>
      <c r="BR7" s="144">
        <f>IFERROR(VLOOKUP($B7,#REF!,2,0),0)</f>
        <v>0</v>
      </c>
      <c r="BS7" s="144" t="str">
        <f>IFERROR(VLOOKUP($B7,#REF!,3,0),"")</f>
        <v/>
      </c>
      <c r="BT7" s="4"/>
      <c r="BU7" s="4"/>
      <c r="BV7" s="4"/>
      <c r="BW7" s="4"/>
      <c r="BX7" s="4"/>
      <c r="BY7" s="4"/>
      <c r="BZ7" s="144"/>
      <c r="CA7" s="14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</row>
    <row r="8" spans="1:91" s="25" customFormat="1">
      <c r="A8" s="355"/>
      <c r="B8" s="21" t="s">
        <v>181</v>
      </c>
      <c r="C8" s="3"/>
      <c r="D8" s="5"/>
      <c r="E8" s="5"/>
      <c r="F8" s="5"/>
      <c r="G8" s="5"/>
      <c r="H8" s="3"/>
      <c r="I8" s="5"/>
      <c r="J8" s="5"/>
      <c r="K8" s="5"/>
      <c r="L8" s="5"/>
      <c r="M8" s="3"/>
      <c r="N8" s="5"/>
      <c r="O8" s="5"/>
      <c r="P8" s="5"/>
      <c r="Q8" s="5"/>
      <c r="R8" s="3"/>
      <c r="S8" s="5"/>
      <c r="T8" s="5"/>
      <c r="U8" s="5"/>
      <c r="V8" s="5"/>
      <c r="W8" s="10"/>
      <c r="X8" s="5"/>
      <c r="Y8" s="5"/>
      <c r="Z8" s="5"/>
      <c r="AA8" s="5"/>
      <c r="AB8" s="33"/>
      <c r="AC8" s="34"/>
      <c r="AD8" s="34"/>
      <c r="AE8" s="34"/>
      <c r="AF8" s="33"/>
      <c r="AG8" s="34"/>
      <c r="AH8" s="34"/>
      <c r="AI8" s="34"/>
      <c r="AJ8" s="52"/>
      <c r="AK8" s="34"/>
      <c r="AL8" s="34"/>
      <c r="AM8" s="34"/>
      <c r="AN8" s="52"/>
      <c r="AO8" s="34"/>
      <c r="AP8" s="34"/>
      <c r="AQ8" s="34"/>
      <c r="AR8" s="43" t="e">
        <f t="shared" si="7"/>
        <v>#DIV/0!</v>
      </c>
      <c r="AS8" s="52">
        <v>42</v>
      </c>
      <c r="AT8" s="34">
        <v>0.83441474810352001</v>
      </c>
      <c r="AU8" s="34">
        <v>1</v>
      </c>
      <c r="AV8" s="34">
        <v>0.38780563079513569</v>
      </c>
      <c r="AW8" s="52">
        <v>25</v>
      </c>
      <c r="AX8" s="34">
        <v>0.64404122502310901</v>
      </c>
      <c r="AY8" s="34">
        <v>0.2544483065141705</v>
      </c>
      <c r="AZ8" s="34">
        <v>0.89848953153727951</v>
      </c>
      <c r="BA8" s="195">
        <f t="shared" si="0"/>
        <v>0.76337985143172482</v>
      </c>
      <c r="BB8" s="4">
        <f t="shared" si="8"/>
        <v>0</v>
      </c>
      <c r="BC8" s="23" t="e">
        <f t="shared" si="9"/>
        <v>#VALUE!</v>
      </c>
      <c r="BD8" s="4" t="str">
        <f t="shared" si="1"/>
        <v/>
      </c>
      <c r="BE8" s="4" t="str">
        <f t="shared" si="2"/>
        <v/>
      </c>
      <c r="BF8" s="4" t="str">
        <f t="shared" si="3"/>
        <v/>
      </c>
      <c r="BG8" s="23" t="str">
        <f>IFERROR(IF(BC8*1.1&gt;100%,100%,BC8*1.1),"")</f>
        <v/>
      </c>
      <c r="BH8" s="4" t="e">
        <f t="shared" si="5"/>
        <v>#VALUE!</v>
      </c>
      <c r="BI8" s="23" t="e">
        <f t="shared" si="6"/>
        <v>#VALUE!</v>
      </c>
      <c r="BJ8" s="23"/>
      <c r="BK8" s="23"/>
      <c r="BL8" s="4"/>
      <c r="BM8" s="4"/>
      <c r="BN8" s="4"/>
      <c r="BO8" s="4"/>
      <c r="BP8" s="4"/>
      <c r="BQ8" s="4"/>
      <c r="BR8" s="144">
        <f>IFERROR(VLOOKUP($B8,#REF!,2,0),0)</f>
        <v>0</v>
      </c>
      <c r="BS8" s="144" t="str">
        <f>IFERROR(VLOOKUP($B8,#REF!,3,0),"")</f>
        <v/>
      </c>
      <c r="BT8" s="4"/>
      <c r="BU8" s="4"/>
      <c r="BV8" s="4"/>
      <c r="BW8" s="4"/>
      <c r="BX8" s="4"/>
      <c r="BY8" s="4"/>
      <c r="BZ8" s="144"/>
      <c r="CA8" s="14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</row>
    <row r="9" spans="1:91" s="25" customFormat="1">
      <c r="A9" s="355"/>
      <c r="B9" s="21" t="s">
        <v>182</v>
      </c>
      <c r="C9" s="3"/>
      <c r="D9" s="5"/>
      <c r="E9" s="5"/>
      <c r="F9" s="5"/>
      <c r="G9" s="5"/>
      <c r="H9" s="3"/>
      <c r="I9" s="5"/>
      <c r="J9" s="5"/>
      <c r="K9" s="5"/>
      <c r="L9" s="5"/>
      <c r="M9" s="3"/>
      <c r="N9" s="5"/>
      <c r="O9" s="5"/>
      <c r="P9" s="5"/>
      <c r="Q9" s="5"/>
      <c r="R9" s="3"/>
      <c r="S9" s="5"/>
      <c r="T9" s="5"/>
      <c r="U9" s="5"/>
      <c r="V9" s="5"/>
      <c r="W9" s="10"/>
      <c r="X9" s="5"/>
      <c r="Y9" s="5"/>
      <c r="Z9" s="5"/>
      <c r="AA9" s="5"/>
      <c r="AB9" s="33"/>
      <c r="AC9" s="34"/>
      <c r="AD9" s="34"/>
      <c r="AE9" s="34"/>
      <c r="AF9" s="33"/>
      <c r="AG9" s="34"/>
      <c r="AH9" s="34"/>
      <c r="AI9" s="34"/>
      <c r="AJ9" s="52"/>
      <c r="AK9" s="34"/>
      <c r="AL9" s="34"/>
      <c r="AM9" s="34"/>
      <c r="AN9" s="52"/>
      <c r="AO9" s="34"/>
      <c r="AP9" s="34"/>
      <c r="AQ9" s="34"/>
      <c r="AR9" s="43" t="e">
        <f t="shared" si="7"/>
        <v>#DIV/0!</v>
      </c>
      <c r="AS9" s="89">
        <v>40</v>
      </c>
      <c r="AT9" s="90">
        <v>0.63752610667907239</v>
      </c>
      <c r="AU9" s="90">
        <v>0.92652930620057306</v>
      </c>
      <c r="AV9" s="90">
        <v>0.34852290715757173</v>
      </c>
      <c r="AW9" s="89">
        <v>24</v>
      </c>
      <c r="AX9" s="90">
        <v>0.57340548427555749</v>
      </c>
      <c r="AY9" s="90">
        <v>0.24847086816125233</v>
      </c>
      <c r="AZ9" s="90">
        <v>0.82187635243680979</v>
      </c>
      <c r="BA9" s="195">
        <f t="shared" si="0"/>
        <v>0.61348087327775436</v>
      </c>
      <c r="BB9" s="4">
        <f t="shared" si="8"/>
        <v>0</v>
      </c>
      <c r="BC9" s="23" t="e">
        <f t="shared" si="9"/>
        <v>#VALUE!</v>
      </c>
      <c r="BD9" s="4" t="str">
        <f t="shared" si="1"/>
        <v/>
      </c>
      <c r="BE9" s="4" t="str">
        <f t="shared" si="2"/>
        <v/>
      </c>
      <c r="BF9" s="4" t="str">
        <f t="shared" si="3"/>
        <v/>
      </c>
      <c r="BG9" s="23" t="str">
        <f t="shared" ref="BG9:BG14" si="11">IFERROR(IF(BC9*1.1&gt;100%,100%,BC9*1.1),"")</f>
        <v/>
      </c>
      <c r="BH9" s="4" t="e">
        <f t="shared" si="5"/>
        <v>#VALUE!</v>
      </c>
      <c r="BI9" s="23" t="e">
        <f t="shared" si="6"/>
        <v>#VALUE!</v>
      </c>
      <c r="BJ9" s="23"/>
      <c r="BK9" s="23"/>
      <c r="BL9" s="4"/>
      <c r="BM9" s="4"/>
      <c r="BN9" s="4"/>
      <c r="BO9" s="4"/>
      <c r="BP9" s="4"/>
      <c r="BQ9" s="4"/>
      <c r="BR9" s="144">
        <f>IFERROR(VLOOKUP($B9,#REF!,2,0),0)</f>
        <v>0</v>
      </c>
      <c r="BS9" s="144" t="str">
        <f>IFERROR(VLOOKUP($B9,#REF!,3,0),"")</f>
        <v/>
      </c>
      <c r="BT9" s="4"/>
      <c r="BU9" s="4"/>
      <c r="BV9" s="4"/>
      <c r="BW9" s="4"/>
      <c r="BX9" s="4"/>
      <c r="BY9" s="4"/>
      <c r="BZ9" s="144"/>
      <c r="CA9" s="14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</row>
    <row r="10" spans="1:91" s="25" customFormat="1">
      <c r="A10" s="355"/>
      <c r="B10" s="2" t="s">
        <v>126</v>
      </c>
      <c r="C10" s="3">
        <v>31</v>
      </c>
      <c r="D10" s="11">
        <v>0.02</v>
      </c>
      <c r="E10" s="11">
        <v>0.03</v>
      </c>
      <c r="F10" s="11">
        <v>0.05</v>
      </c>
      <c r="G10" s="11">
        <v>5.0000000000000001E-3</v>
      </c>
      <c r="H10" s="3">
        <v>29</v>
      </c>
      <c r="I10" s="11">
        <v>0.31105936080423802</v>
      </c>
      <c r="J10" s="11">
        <v>0.45098481402881402</v>
      </c>
      <c r="K10" s="11">
        <v>0.76204417483305198</v>
      </c>
      <c r="L10" s="11">
        <v>0</v>
      </c>
      <c r="M10" s="3">
        <v>60</v>
      </c>
      <c r="N10" s="11">
        <v>0.16067869105538199</v>
      </c>
      <c r="O10" s="11">
        <v>0.23347599344726</v>
      </c>
      <c r="P10" s="11">
        <v>0.39415468450264202</v>
      </c>
      <c r="Q10" s="11">
        <v>2.5833333333333298E-3</v>
      </c>
      <c r="R10" s="3">
        <v>46</v>
      </c>
      <c r="S10" s="11">
        <v>0.17544427764807199</v>
      </c>
      <c r="T10" s="11">
        <v>0.29602658490183897</v>
      </c>
      <c r="U10" s="11">
        <v>0.471470862549911</v>
      </c>
      <c r="V10" s="11">
        <v>0</v>
      </c>
      <c r="W10" s="10">
        <v>31</v>
      </c>
      <c r="X10" s="11">
        <v>8.2459051536195496E-2</v>
      </c>
      <c r="Y10" s="11">
        <v>8.6129646111082495E-2</v>
      </c>
      <c r="Z10" s="11">
        <v>0.16858869764727799</v>
      </c>
      <c r="AA10" s="11">
        <v>0</v>
      </c>
      <c r="AB10" s="15">
        <v>16</v>
      </c>
      <c r="AC10" s="11">
        <v>0.143661581922677</v>
      </c>
      <c r="AD10" s="11">
        <v>0.35425390836611798</v>
      </c>
      <c r="AE10" s="11">
        <v>0</v>
      </c>
      <c r="AF10" s="15">
        <v>10</v>
      </c>
      <c r="AG10" s="11">
        <v>0</v>
      </c>
      <c r="AH10" s="11">
        <v>0</v>
      </c>
      <c r="AI10" s="11">
        <v>0</v>
      </c>
      <c r="AJ10" s="13">
        <v>27</v>
      </c>
      <c r="AK10" s="11">
        <v>0.76407407407407402</v>
      </c>
      <c r="AL10" s="11">
        <v>2.0238910170013402</v>
      </c>
      <c r="AM10" s="11">
        <v>0</v>
      </c>
      <c r="AN10" s="13">
        <v>12</v>
      </c>
      <c r="AO10" s="11">
        <v>8.0173528179993694E-2</v>
      </c>
      <c r="AP10" s="11">
        <v>0.187384995377819</v>
      </c>
      <c r="AQ10" s="11">
        <v>-2.7037939017831698E-2</v>
      </c>
      <c r="AR10" s="43">
        <f t="shared" si="7"/>
        <v>0.44065474159510049</v>
      </c>
      <c r="AS10" s="13">
        <v>35</v>
      </c>
      <c r="AT10" s="11">
        <v>0.25002240707072193</v>
      </c>
      <c r="AU10" s="11">
        <v>0.54478313736596329</v>
      </c>
      <c r="AV10" s="11">
        <v>0</v>
      </c>
      <c r="AW10" s="52">
        <v>10</v>
      </c>
      <c r="AX10" s="11">
        <v>0.18863873884596366</v>
      </c>
      <c r="AY10" s="11">
        <v>0.14475429326745795</v>
      </c>
      <c r="AZ10" s="11">
        <v>0.33339303211342164</v>
      </c>
      <c r="BA10" s="194">
        <f t="shared" si="0"/>
        <v>0.23638159190966457</v>
      </c>
      <c r="BB10" s="4">
        <f t="shared" si="8"/>
        <v>0</v>
      </c>
      <c r="BC10" s="132" t="e">
        <f t="shared" si="9"/>
        <v>#VALUE!</v>
      </c>
      <c r="BD10" s="132" t="str">
        <f t="shared" si="1"/>
        <v/>
      </c>
      <c r="BE10" s="235">
        <v>0.54</v>
      </c>
      <c r="BF10" s="235">
        <v>0.14000000000000001</v>
      </c>
      <c r="BG10" s="132" t="str">
        <f t="shared" si="11"/>
        <v/>
      </c>
      <c r="BH10" s="132">
        <f t="shared" si="5"/>
        <v>0.59400000000000008</v>
      </c>
      <c r="BI10" s="132">
        <f t="shared" si="6"/>
        <v>0.15400000000000003</v>
      </c>
      <c r="BJ10" s="132" t="s">
        <v>413</v>
      </c>
      <c r="BK10" s="132" t="e">
        <f>IF(BC10&gt;=BA10,"Up","Down")</f>
        <v>#VALUE!</v>
      </c>
      <c r="BL10" s="4"/>
      <c r="BM10" s="4"/>
      <c r="BN10" s="4"/>
      <c r="BO10" s="4"/>
      <c r="BP10" s="4"/>
      <c r="BQ10" s="4"/>
      <c r="BR10" s="144">
        <f>IFERROR(VLOOKUP($B10,#REF!,2,0),0)</f>
        <v>0</v>
      </c>
      <c r="BS10" s="144" t="str">
        <f>IFERROR(VLOOKUP($B10,#REF!,3,0),"")</f>
        <v/>
      </c>
      <c r="BT10" s="4"/>
      <c r="BU10" s="4"/>
      <c r="BV10" s="4"/>
      <c r="BW10" s="4"/>
      <c r="BX10" s="4"/>
      <c r="BY10" s="4"/>
      <c r="BZ10" s="144"/>
      <c r="CA10" s="14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</row>
    <row r="11" spans="1:91" s="25" customFormat="1">
      <c r="A11" s="355"/>
      <c r="B11" s="21" t="s">
        <v>183</v>
      </c>
      <c r="C11" s="3"/>
      <c r="D11" s="11"/>
      <c r="E11" s="11"/>
      <c r="F11" s="11"/>
      <c r="G11" s="11"/>
      <c r="H11" s="3"/>
      <c r="I11" s="11"/>
      <c r="J11" s="11"/>
      <c r="K11" s="11"/>
      <c r="L11" s="11"/>
      <c r="M11" s="3"/>
      <c r="N11" s="11"/>
      <c r="O11" s="11"/>
      <c r="P11" s="11"/>
      <c r="Q11" s="11"/>
      <c r="R11" s="3"/>
      <c r="S11" s="11"/>
      <c r="T11" s="11"/>
      <c r="U11" s="11"/>
      <c r="V11" s="11"/>
      <c r="W11" s="10"/>
      <c r="X11" s="11"/>
      <c r="Y11" s="11"/>
      <c r="Z11" s="11"/>
      <c r="AA11" s="11"/>
      <c r="AB11" s="15"/>
      <c r="AC11" s="11"/>
      <c r="AD11" s="11"/>
      <c r="AE11" s="11"/>
      <c r="AF11" s="15"/>
      <c r="AG11" s="11"/>
      <c r="AH11" s="11"/>
      <c r="AI11" s="11"/>
      <c r="AJ11" s="13"/>
      <c r="AK11" s="11"/>
      <c r="AL11" s="11"/>
      <c r="AM11" s="11"/>
      <c r="AN11" s="13"/>
      <c r="AO11" s="11"/>
      <c r="AP11" s="11"/>
      <c r="AQ11" s="11"/>
      <c r="AR11" s="43" t="e">
        <f t="shared" si="7"/>
        <v>#DIV/0!</v>
      </c>
      <c r="AS11" s="91">
        <v>38</v>
      </c>
      <c r="AT11" s="92">
        <v>0.88742357754286727</v>
      </c>
      <c r="AU11" s="92">
        <v>1</v>
      </c>
      <c r="AV11" s="92">
        <v>0.6034032710656223</v>
      </c>
      <c r="AW11" s="89">
        <v>26</v>
      </c>
      <c r="AX11" s="92">
        <v>0.91005685889665844</v>
      </c>
      <c r="AY11" s="92">
        <v>0.22873699027168146</v>
      </c>
      <c r="AZ11" s="92">
        <v>1.1387938491683398</v>
      </c>
      <c r="BA11" s="194">
        <f t="shared" si="0"/>
        <v>0.89661834809284491</v>
      </c>
      <c r="BB11" s="4">
        <f t="shared" si="8"/>
        <v>0</v>
      </c>
      <c r="BC11" s="23" t="e">
        <f t="shared" si="9"/>
        <v>#VALUE!</v>
      </c>
      <c r="BD11" s="4" t="str">
        <f t="shared" si="1"/>
        <v/>
      </c>
      <c r="BE11" s="4" t="str">
        <f t="shared" si="2"/>
        <v/>
      </c>
      <c r="BF11" s="4" t="str">
        <f t="shared" si="3"/>
        <v/>
      </c>
      <c r="BG11" s="23" t="str">
        <f t="shared" si="11"/>
        <v/>
      </c>
      <c r="BH11" s="4" t="e">
        <f t="shared" si="5"/>
        <v>#VALUE!</v>
      </c>
      <c r="BI11" s="23" t="e">
        <f t="shared" si="6"/>
        <v>#VALUE!</v>
      </c>
      <c r="BJ11" s="23"/>
      <c r="BK11" s="23"/>
      <c r="BL11" s="4"/>
      <c r="BM11" s="4"/>
      <c r="BN11" s="4"/>
      <c r="BO11" s="4"/>
      <c r="BP11" s="4"/>
      <c r="BQ11" s="4"/>
      <c r="BR11" s="144">
        <f>IFERROR(VLOOKUP($B11,#REF!,2,0),0)</f>
        <v>0</v>
      </c>
      <c r="BS11" s="144" t="str">
        <f>IFERROR(VLOOKUP($B11,#REF!,3,0),"")</f>
        <v/>
      </c>
      <c r="BT11" s="4"/>
      <c r="BU11" s="4"/>
      <c r="BV11" s="4"/>
      <c r="BW11" s="4"/>
      <c r="BX11" s="4"/>
      <c r="BY11" s="4"/>
      <c r="BZ11" s="144"/>
      <c r="CA11" s="14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</row>
    <row r="12" spans="1:91" s="25" customFormat="1">
      <c r="A12" s="355"/>
      <c r="B12" s="2" t="s">
        <v>127</v>
      </c>
      <c r="C12" s="3"/>
      <c r="D12" s="5"/>
      <c r="E12" s="5"/>
      <c r="F12" s="5"/>
      <c r="G12" s="5"/>
      <c r="H12" s="3">
        <v>45</v>
      </c>
      <c r="I12" s="5">
        <v>0.98493333333333299</v>
      </c>
      <c r="J12" s="5">
        <v>4.6663885198495798E-2</v>
      </c>
      <c r="K12" s="5">
        <v>1</v>
      </c>
      <c r="L12" s="5">
        <v>0.84494167773784601</v>
      </c>
      <c r="M12" s="3">
        <v>70</v>
      </c>
      <c r="N12" s="5">
        <v>0.99031428571428604</v>
      </c>
      <c r="O12" s="5">
        <v>2.9998211913318699E-2</v>
      </c>
      <c r="P12" s="5">
        <v>1</v>
      </c>
      <c r="Q12" s="5">
        <v>0.90031964997432901</v>
      </c>
      <c r="R12" s="3">
        <v>56</v>
      </c>
      <c r="S12" s="5">
        <v>0.99821428571428605</v>
      </c>
      <c r="T12" s="5">
        <v>9.7434626768446598E-3</v>
      </c>
      <c r="U12" s="5">
        <v>1</v>
      </c>
      <c r="V12" s="5">
        <v>0.96898389768375204</v>
      </c>
      <c r="W12" s="10">
        <v>35</v>
      </c>
      <c r="X12" s="5">
        <v>0.998714285714286</v>
      </c>
      <c r="Y12" s="5">
        <v>4.47973517195876E-3</v>
      </c>
      <c r="Z12" s="5">
        <v>1</v>
      </c>
      <c r="AA12" s="5">
        <v>0.98527508019840904</v>
      </c>
      <c r="AB12" s="33">
        <v>22</v>
      </c>
      <c r="AC12" s="51">
        <v>0.97909090909090901</v>
      </c>
      <c r="AD12" s="51">
        <v>1</v>
      </c>
      <c r="AE12" s="51">
        <v>0.76900743773948499</v>
      </c>
      <c r="AF12" s="33" t="s">
        <v>87</v>
      </c>
      <c r="AG12" s="51" t="s">
        <v>87</v>
      </c>
      <c r="AH12" s="51" t="s">
        <v>87</v>
      </c>
      <c r="AI12" s="51" t="s">
        <v>87</v>
      </c>
      <c r="AJ12" s="53">
        <v>30</v>
      </c>
      <c r="AK12" s="51">
        <v>0.99462333333333297</v>
      </c>
      <c r="AL12" s="51">
        <v>1.04629813977409</v>
      </c>
      <c r="AM12" s="51">
        <v>0.94294852689257702</v>
      </c>
      <c r="AN12" s="53">
        <v>12</v>
      </c>
      <c r="AO12" s="51">
        <v>1</v>
      </c>
      <c r="AP12" s="51">
        <v>1</v>
      </c>
      <c r="AQ12" s="51">
        <v>1</v>
      </c>
      <c r="AR12" s="199">
        <f>(AJ12*AK12+AN12*AO12)/(AJ12+AN12)</f>
        <v>0.99615952380952355</v>
      </c>
      <c r="AS12" s="53">
        <v>39</v>
      </c>
      <c r="AT12" s="51">
        <v>0.99579487179487181</v>
      </c>
      <c r="AU12" s="51">
        <v>1.0491203941648626</v>
      </c>
      <c r="AV12" s="51">
        <v>0.94246934942488103</v>
      </c>
      <c r="AW12" s="52">
        <v>14</v>
      </c>
      <c r="AX12" s="115">
        <v>1</v>
      </c>
      <c r="AY12" s="115">
        <v>0</v>
      </c>
      <c r="AZ12" s="115">
        <v>1</v>
      </c>
      <c r="BA12" s="195">
        <f t="shared" si="0"/>
        <v>0.9969056603773585</v>
      </c>
      <c r="BB12" s="4">
        <f t="shared" si="8"/>
        <v>0</v>
      </c>
      <c r="BC12" s="23" t="e">
        <f t="shared" si="9"/>
        <v>#VALUE!</v>
      </c>
      <c r="BD12" s="4" t="str">
        <f t="shared" si="1"/>
        <v/>
      </c>
      <c r="BE12" s="172">
        <v>1</v>
      </c>
      <c r="BF12" s="172">
        <v>1</v>
      </c>
      <c r="BG12" s="23" t="str">
        <f t="shared" si="11"/>
        <v/>
      </c>
      <c r="BH12" s="23">
        <f t="shared" si="5"/>
        <v>1.1000000000000001</v>
      </c>
      <c r="BI12" s="23">
        <f t="shared" si="6"/>
        <v>1.1000000000000001</v>
      </c>
      <c r="BJ12" s="23" t="s">
        <v>414</v>
      </c>
      <c r="BK12" s="132" t="e">
        <f>IF(BC12&gt;=BA12,"Up","Down")</f>
        <v>#VALUE!</v>
      </c>
      <c r="BL12" s="4"/>
      <c r="BM12" s="4"/>
      <c r="BN12" s="4"/>
      <c r="BO12" s="4"/>
      <c r="BP12" s="4"/>
      <c r="BQ12" s="4"/>
      <c r="BR12" s="144">
        <f>IFERROR(VLOOKUP($B12,#REF!,2,0),0)</f>
        <v>0</v>
      </c>
      <c r="BS12" s="144" t="str">
        <f>IFERROR(VLOOKUP($B12,#REF!,3,0),"")</f>
        <v/>
      </c>
      <c r="BT12" s="4"/>
      <c r="BU12" s="4"/>
      <c r="BV12" s="4"/>
      <c r="BW12" s="4"/>
      <c r="BX12" s="4"/>
      <c r="BY12" s="4"/>
      <c r="BZ12" s="144"/>
      <c r="CA12" s="14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25" customFormat="1">
      <c r="A13" s="356"/>
      <c r="B13" s="2" t="s">
        <v>172</v>
      </c>
      <c r="C13" s="3">
        <v>39</v>
      </c>
      <c r="D13" s="5">
        <v>0.96</v>
      </c>
      <c r="E13" s="5">
        <v>7.0000000000000007E-2</v>
      </c>
      <c r="F13" s="5">
        <v>1</v>
      </c>
      <c r="G13" s="5">
        <v>0.89670000000000005</v>
      </c>
      <c r="H13" s="3">
        <v>46</v>
      </c>
      <c r="I13" s="5">
        <v>0.969044685990338</v>
      </c>
      <c r="J13" s="5">
        <v>4.3448399964484602E-2</v>
      </c>
      <c r="K13" s="5">
        <v>1</v>
      </c>
      <c r="L13" s="5">
        <v>0.83869948609688405</v>
      </c>
      <c r="M13" s="3">
        <v>85</v>
      </c>
      <c r="N13" s="5">
        <v>0.96489477124182998</v>
      </c>
      <c r="O13" s="5">
        <v>5.5630898804309298E-2</v>
      </c>
      <c r="P13" s="5">
        <v>1</v>
      </c>
      <c r="Q13" s="5">
        <v>0.86531148659360801</v>
      </c>
      <c r="R13" s="3">
        <v>55</v>
      </c>
      <c r="S13" s="5">
        <v>0.97897432986270605</v>
      </c>
      <c r="T13" s="5">
        <v>3.2281876080091899E-2</v>
      </c>
      <c r="U13" s="5">
        <v>1</v>
      </c>
      <c r="V13" s="5">
        <v>0.88212870162242996</v>
      </c>
      <c r="W13" s="10">
        <v>34</v>
      </c>
      <c r="X13" s="5">
        <v>0.97666470588235299</v>
      </c>
      <c r="Y13" s="5">
        <v>6.7173101442424499E-2</v>
      </c>
      <c r="Z13" s="5">
        <v>1</v>
      </c>
      <c r="AA13" s="5">
        <v>0.77514540155507905</v>
      </c>
      <c r="AB13" s="33">
        <v>20</v>
      </c>
      <c r="AC13" s="51">
        <v>0.91005000000000003</v>
      </c>
      <c r="AD13" s="51">
        <v>1</v>
      </c>
      <c r="AE13" s="51">
        <v>0.815505955683137</v>
      </c>
      <c r="AF13" s="33">
        <v>10</v>
      </c>
      <c r="AG13" s="51">
        <v>1</v>
      </c>
      <c r="AH13" s="51">
        <v>1</v>
      </c>
      <c r="AI13" s="51">
        <v>1</v>
      </c>
      <c r="AJ13" s="53">
        <v>35</v>
      </c>
      <c r="AK13" s="51">
        <v>0.99260882352941204</v>
      </c>
      <c r="AL13" s="51">
        <v>1.0535089071678301</v>
      </c>
      <c r="AM13" s="51">
        <v>0.93170873989099801</v>
      </c>
      <c r="AN13" s="53">
        <v>12</v>
      </c>
      <c r="AO13" s="51">
        <v>0.99270833333333297</v>
      </c>
      <c r="AP13" s="51">
        <v>1.0073726108591301</v>
      </c>
      <c r="AQ13" s="51">
        <v>0.94871550075594802</v>
      </c>
      <c r="AR13" s="199">
        <f t="shared" si="7"/>
        <v>0.99392647058823536</v>
      </c>
      <c r="AS13" s="91">
        <v>34</v>
      </c>
      <c r="AT13" s="81">
        <v>0.96344117647058813</v>
      </c>
      <c r="AU13" s="81">
        <v>1</v>
      </c>
      <c r="AV13" s="81">
        <v>0.88068832040407052</v>
      </c>
      <c r="AW13" s="89">
        <v>12</v>
      </c>
      <c r="AX13" s="81">
        <v>0.97299999999999998</v>
      </c>
      <c r="AY13" s="81">
        <v>3.2568808279199772E-2</v>
      </c>
      <c r="AZ13" s="81">
        <v>1.0707064248375993</v>
      </c>
      <c r="BA13" s="195">
        <f t="shared" si="0"/>
        <v>0.9659347826086957</v>
      </c>
      <c r="BB13" s="4">
        <f t="shared" si="8"/>
        <v>0</v>
      </c>
      <c r="BC13" s="23" t="e">
        <f t="shared" si="9"/>
        <v>#VALUE!</v>
      </c>
      <c r="BD13" s="4" t="str">
        <f t="shared" si="1"/>
        <v/>
      </c>
      <c r="BE13" s="172">
        <v>1</v>
      </c>
      <c r="BF13" s="172">
        <v>0.88</v>
      </c>
      <c r="BG13" s="23" t="str">
        <f t="shared" si="11"/>
        <v/>
      </c>
      <c r="BH13" s="23">
        <f t="shared" si="5"/>
        <v>1.1000000000000001</v>
      </c>
      <c r="BI13" s="23">
        <f t="shared" si="6"/>
        <v>0.96800000000000008</v>
      </c>
      <c r="BJ13" s="23" t="s">
        <v>415</v>
      </c>
      <c r="BK13" s="132" t="e">
        <f>IF(BC13&gt;=BA13,"Up","Down")</f>
        <v>#VALUE!</v>
      </c>
      <c r="BL13" s="4"/>
      <c r="BM13" s="4"/>
      <c r="BN13" s="4"/>
      <c r="BO13" s="4"/>
      <c r="BP13" s="4"/>
      <c r="BQ13" s="4"/>
      <c r="BR13" s="144">
        <f>IFERROR(VLOOKUP($B13,#REF!,2,0),0)</f>
        <v>0</v>
      </c>
      <c r="BS13" s="144" t="str">
        <f>IFERROR(VLOOKUP($B13,#REF!,3,0),"")</f>
        <v/>
      </c>
      <c r="BT13" s="4"/>
      <c r="BU13" s="4"/>
      <c r="BV13" s="4"/>
      <c r="BW13" s="4"/>
      <c r="BX13" s="4"/>
      <c r="BY13" s="4"/>
      <c r="BZ13" s="144"/>
      <c r="CA13" s="144"/>
      <c r="CB13" s="4"/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/>
    </row>
    <row r="14" spans="1:91" s="25" customFormat="1">
      <c r="A14" s="183"/>
      <c r="B14" s="192" t="s">
        <v>128</v>
      </c>
      <c r="C14" s="190"/>
      <c r="D14" s="161"/>
      <c r="E14" s="161"/>
      <c r="F14" s="161"/>
      <c r="G14" s="161"/>
      <c r="H14" s="160"/>
      <c r="I14" s="161"/>
      <c r="J14" s="161"/>
      <c r="K14" s="161"/>
      <c r="L14" s="161"/>
      <c r="M14" s="160"/>
      <c r="N14" s="161"/>
      <c r="O14" s="161"/>
      <c r="P14" s="161"/>
      <c r="Q14" s="161"/>
      <c r="R14" s="160"/>
      <c r="S14" s="161"/>
      <c r="T14" s="161"/>
      <c r="U14" s="161"/>
      <c r="V14" s="161"/>
      <c r="W14" s="162"/>
      <c r="X14" s="32"/>
      <c r="Y14" s="32"/>
      <c r="Z14" s="32"/>
      <c r="AA14" s="32"/>
      <c r="AB14" s="163">
        <v>22</v>
      </c>
      <c r="AC14" s="32">
        <v>0.886513636363636</v>
      </c>
      <c r="AD14" s="32">
        <v>0.98363591714535104</v>
      </c>
      <c r="AE14" s="32">
        <v>0.78939135558192197</v>
      </c>
      <c r="AF14" s="163" t="s">
        <v>87</v>
      </c>
      <c r="AG14" s="32" t="s">
        <v>87</v>
      </c>
      <c r="AH14" s="32" t="s">
        <v>87</v>
      </c>
      <c r="AI14" s="32" t="s">
        <v>87</v>
      </c>
      <c r="AJ14" s="164"/>
      <c r="AK14" s="32"/>
      <c r="AL14" s="32"/>
      <c r="AM14" s="32"/>
      <c r="AN14" s="164"/>
      <c r="AO14" s="32"/>
      <c r="AP14" s="32"/>
      <c r="AQ14" s="165"/>
      <c r="AR14" s="32">
        <v>0.886513636363636</v>
      </c>
      <c r="AS14" s="164">
        <v>39</v>
      </c>
      <c r="AT14" s="32">
        <v>0.93998461538461531</v>
      </c>
      <c r="AU14" s="32">
        <v>1</v>
      </c>
      <c r="AV14" s="32">
        <v>0.76555960081244445</v>
      </c>
      <c r="AW14" s="166">
        <v>17</v>
      </c>
      <c r="AX14" s="32">
        <v>0.95717058823529422</v>
      </c>
      <c r="AY14" s="32">
        <v>4.2416060706793025E-2</v>
      </c>
      <c r="AZ14" s="32">
        <v>1.0844187703556734</v>
      </c>
      <c r="BA14" s="195">
        <f t="shared" si="0"/>
        <v>0.9452017857142857</v>
      </c>
      <c r="BB14" s="167">
        <f t="shared" si="8"/>
        <v>0</v>
      </c>
      <c r="BC14" s="168" t="e">
        <f t="shared" si="9"/>
        <v>#VALUE!</v>
      </c>
      <c r="BD14" s="169" t="str">
        <f t="shared" si="1"/>
        <v/>
      </c>
      <c r="BE14" s="169" t="str">
        <f t="shared" si="2"/>
        <v/>
      </c>
      <c r="BF14" s="170" t="str">
        <f t="shared" si="3"/>
        <v/>
      </c>
      <c r="BG14" s="168" t="str">
        <f t="shared" si="11"/>
        <v/>
      </c>
      <c r="BH14" s="169" t="e">
        <f t="shared" si="5"/>
        <v>#VALUE!</v>
      </c>
      <c r="BI14" s="168" t="e">
        <f t="shared" si="6"/>
        <v>#VALUE!</v>
      </c>
      <c r="BJ14" s="168"/>
      <c r="BK14" s="168"/>
      <c r="BL14" s="4"/>
      <c r="BM14" s="4"/>
      <c r="BN14" s="4"/>
      <c r="BO14" s="4"/>
      <c r="BP14" s="4"/>
      <c r="BQ14" s="4"/>
      <c r="BR14" s="144">
        <f>IFERROR(VLOOKUP($B14,#REF!,2,0),0)</f>
        <v>0</v>
      </c>
      <c r="BS14" s="144" t="str">
        <f>IFERROR(VLOOKUP($B14,#REF!,3,0),"")</f>
        <v/>
      </c>
      <c r="BT14" s="4"/>
      <c r="BU14" s="4"/>
      <c r="BV14" s="4"/>
      <c r="BW14" s="4"/>
      <c r="BX14" s="4"/>
      <c r="BY14" s="4"/>
      <c r="BZ14" s="144"/>
      <c r="CA14" s="14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</row>
    <row r="15" spans="1:91">
      <c r="A15" s="193"/>
      <c r="B15" s="21" t="s">
        <v>129</v>
      </c>
      <c r="C15" s="191">
        <v>12</v>
      </c>
      <c r="D15" s="46">
        <v>0</v>
      </c>
      <c r="E15" s="46">
        <v>0</v>
      </c>
      <c r="F15" s="46">
        <v>0</v>
      </c>
      <c r="G15" s="46">
        <v>0</v>
      </c>
      <c r="H15" s="28">
        <v>41</v>
      </c>
      <c r="I15" s="46">
        <v>0</v>
      </c>
      <c r="J15" s="46">
        <v>0</v>
      </c>
      <c r="K15" s="46">
        <v>0</v>
      </c>
      <c r="L15" s="46">
        <v>0</v>
      </c>
      <c r="M15" s="28">
        <v>53</v>
      </c>
      <c r="N15" s="46">
        <v>0</v>
      </c>
      <c r="O15" s="46">
        <v>0</v>
      </c>
      <c r="P15" s="46">
        <v>0</v>
      </c>
      <c r="Q15" s="46">
        <v>0</v>
      </c>
      <c r="R15" s="28">
        <v>50</v>
      </c>
      <c r="S15" s="46">
        <v>0</v>
      </c>
      <c r="T15" s="46">
        <v>0</v>
      </c>
      <c r="U15" s="46">
        <v>0</v>
      </c>
      <c r="V15" s="46">
        <v>0</v>
      </c>
      <c r="W15" s="49"/>
      <c r="X15" s="46"/>
      <c r="Y15" s="46"/>
      <c r="Z15" s="46"/>
      <c r="AA15" s="46"/>
      <c r="AB15" s="46"/>
      <c r="AC15" s="46"/>
      <c r="AD15" s="46"/>
      <c r="AE15" s="46"/>
      <c r="AF15" s="46" t="s">
        <v>87</v>
      </c>
      <c r="AG15" s="46" t="s">
        <v>87</v>
      </c>
      <c r="AH15" s="46" t="s">
        <v>87</v>
      </c>
      <c r="AI15" s="46" t="s">
        <v>87</v>
      </c>
      <c r="AJ15" s="46">
        <v>37</v>
      </c>
      <c r="AK15" s="46">
        <v>0</v>
      </c>
      <c r="AL15" s="46">
        <v>0</v>
      </c>
      <c r="AM15" s="46">
        <v>0</v>
      </c>
      <c r="AN15" s="46"/>
      <c r="AO15" s="46"/>
      <c r="AP15" s="46"/>
      <c r="AQ15" s="94"/>
      <c r="AR15" s="43" t="e">
        <f t="shared" si="7"/>
        <v>#VALUE!</v>
      </c>
      <c r="AS15" s="91">
        <v>27</v>
      </c>
      <c r="AT15" s="91">
        <v>0</v>
      </c>
      <c r="AU15" s="91">
        <v>0</v>
      </c>
      <c r="AV15" s="91">
        <v>0</v>
      </c>
      <c r="AW15" s="89">
        <v>17</v>
      </c>
      <c r="AX15" s="91">
        <v>0.11764705882352941</v>
      </c>
      <c r="AY15" s="91">
        <v>0.33210558207753571</v>
      </c>
      <c r="AZ15" s="91">
        <v>0.44975264090106515</v>
      </c>
      <c r="BA15" s="194">
        <f t="shared" si="0"/>
        <v>4.5454545454545456E-2</v>
      </c>
      <c r="BB15" s="142">
        <f t="shared" si="8"/>
        <v>0</v>
      </c>
      <c r="BC15" s="4" t="e">
        <f t="shared" si="9"/>
        <v>#VALUE!</v>
      </c>
      <c r="BD15" s="4" t="str">
        <f t="shared" si="1"/>
        <v/>
      </c>
      <c r="BE15" s="4" t="str">
        <f t="shared" si="2"/>
        <v/>
      </c>
      <c r="BF15" s="143" t="str">
        <f t="shared" si="3"/>
        <v/>
      </c>
      <c r="BG15" s="4" t="e">
        <f t="shared" si="4"/>
        <v>#VALUE!</v>
      </c>
      <c r="BH15" s="4" t="e">
        <f t="shared" si="5"/>
        <v>#VALUE!</v>
      </c>
      <c r="BI15" s="132" t="e">
        <f t="shared" si="6"/>
        <v>#VALUE!</v>
      </c>
      <c r="BJ15" s="132"/>
      <c r="BK15" s="132"/>
      <c r="BL15" s="5"/>
      <c r="BM15" s="5"/>
      <c r="BN15" s="5"/>
      <c r="BO15" s="5"/>
      <c r="BP15" s="5"/>
      <c r="BQ15" s="5"/>
      <c r="BR15" s="144">
        <f>IFERROR(VLOOKUP($B15,#REF!,2,0),0)</f>
        <v>0</v>
      </c>
      <c r="BS15" s="144" t="str">
        <f>IFERROR(VLOOKUP($B15,#REF!,3,0),"")</f>
        <v/>
      </c>
      <c r="BT15" s="5"/>
      <c r="BU15" s="5"/>
      <c r="BV15" s="5"/>
      <c r="BW15" s="5"/>
      <c r="BX15" s="5"/>
      <c r="BY15" s="5"/>
      <c r="BZ15" s="144"/>
      <c r="CA15" s="144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</row>
    <row r="16" spans="1:91">
      <c r="A16" s="193"/>
      <c r="B16" s="21" t="s">
        <v>184</v>
      </c>
      <c r="C16" s="47"/>
      <c r="D16" s="48"/>
      <c r="E16" s="48"/>
      <c r="F16" s="48"/>
      <c r="G16" s="48"/>
      <c r="H16" s="47"/>
      <c r="I16" s="48"/>
      <c r="J16" s="48"/>
      <c r="K16" s="48"/>
      <c r="L16" s="48"/>
      <c r="M16" s="47"/>
      <c r="N16" s="48"/>
      <c r="O16" s="48"/>
      <c r="P16" s="48"/>
      <c r="Q16" s="48"/>
      <c r="R16" s="47"/>
      <c r="S16" s="48"/>
      <c r="T16" s="48"/>
      <c r="U16" s="48"/>
      <c r="V16" s="48"/>
      <c r="W16" s="73"/>
      <c r="X16" s="48"/>
      <c r="Y16" s="48"/>
      <c r="Z16" s="48"/>
      <c r="AA16" s="48"/>
      <c r="AB16" s="48"/>
      <c r="AC16" s="48"/>
      <c r="AD16" s="48"/>
      <c r="AE16" s="48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3" t="e">
        <f t="shared" si="7"/>
        <v>#DIV/0!</v>
      </c>
      <c r="AS16" s="13">
        <v>12</v>
      </c>
      <c r="AT16" s="13">
        <v>0</v>
      </c>
      <c r="AU16" s="13">
        <v>0</v>
      </c>
      <c r="AV16" s="13">
        <v>0</v>
      </c>
      <c r="AW16" s="52">
        <v>9</v>
      </c>
      <c r="AX16" s="13">
        <v>0</v>
      </c>
      <c r="AY16" s="13">
        <v>0</v>
      </c>
      <c r="AZ16" s="13">
        <v>0</v>
      </c>
      <c r="BA16" s="194">
        <f t="shared" si="0"/>
        <v>0</v>
      </c>
      <c r="BB16" s="142"/>
      <c r="BC16" s="4"/>
      <c r="BD16" s="4" t="str">
        <f t="shared" si="1"/>
        <v/>
      </c>
      <c r="BE16" s="4" t="str">
        <f t="shared" si="2"/>
        <v/>
      </c>
      <c r="BF16" s="143" t="str">
        <f t="shared" si="3"/>
        <v/>
      </c>
      <c r="BG16" s="4">
        <f t="shared" si="4"/>
        <v>0</v>
      </c>
      <c r="BH16" s="4" t="e">
        <f t="shared" si="5"/>
        <v>#VALUE!</v>
      </c>
      <c r="BI16" s="132" t="e">
        <f t="shared" si="6"/>
        <v>#VALUE!</v>
      </c>
      <c r="BJ16" s="132"/>
      <c r="BK16" s="132"/>
      <c r="BL16" s="5"/>
      <c r="BM16" s="5"/>
      <c r="BN16" s="5"/>
      <c r="BO16" s="5"/>
      <c r="BP16" s="5"/>
      <c r="BQ16" s="5"/>
      <c r="BR16" s="144"/>
      <c r="BS16" s="144"/>
      <c r="BT16" s="5"/>
      <c r="BU16" s="5"/>
      <c r="BV16" s="5"/>
      <c r="BW16" s="5"/>
      <c r="BX16" s="5"/>
      <c r="BY16" s="5"/>
      <c r="BZ16" s="144"/>
      <c r="CA16" s="144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</row>
    <row r="17" spans="1:71">
      <c r="A17" s="193"/>
      <c r="B17" s="21" t="s">
        <v>185</v>
      </c>
      <c r="C17" s="47"/>
      <c r="D17" s="48"/>
      <c r="E17" s="48"/>
      <c r="F17" s="48"/>
      <c r="G17" s="48"/>
      <c r="H17" s="47"/>
      <c r="I17" s="48"/>
      <c r="J17" s="48"/>
      <c r="K17" s="48"/>
      <c r="L17" s="48"/>
      <c r="M17" s="47"/>
      <c r="N17" s="48"/>
      <c r="O17" s="48"/>
      <c r="P17" s="48"/>
      <c r="Q17" s="48"/>
      <c r="R17" s="47"/>
      <c r="S17" s="48"/>
      <c r="T17" s="48"/>
      <c r="U17" s="48"/>
      <c r="V17" s="48"/>
      <c r="W17" s="48"/>
      <c r="X17" s="48"/>
      <c r="Y17" s="48"/>
      <c r="Z17" s="48"/>
      <c r="AA17" s="48"/>
      <c r="AB17" s="48"/>
      <c r="AC17" s="48"/>
      <c r="AD17" s="48"/>
      <c r="AE17" s="48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3" t="e">
        <f t="shared" si="7"/>
        <v>#DIV/0!</v>
      </c>
      <c r="AS17" s="89">
        <v>0</v>
      </c>
      <c r="AT17" s="93" t="s">
        <v>87</v>
      </c>
      <c r="AU17" s="93" t="s">
        <v>87</v>
      </c>
      <c r="AV17" s="93" t="s">
        <v>87</v>
      </c>
      <c r="AW17" s="89">
        <v>2</v>
      </c>
      <c r="AX17" s="93">
        <v>0</v>
      </c>
      <c r="AY17" s="93">
        <v>0</v>
      </c>
      <c r="AZ17" s="93">
        <v>0</v>
      </c>
      <c r="BA17" s="194" t="e">
        <f t="shared" si="0"/>
        <v>#VALUE!</v>
      </c>
      <c r="BB17" s="142"/>
      <c r="BC17" s="4"/>
      <c r="BD17" s="4" t="str">
        <f t="shared" si="1"/>
        <v/>
      </c>
      <c r="BE17" s="4" t="str">
        <f t="shared" si="2"/>
        <v/>
      </c>
      <c r="BF17" s="154" t="str">
        <f t="shared" si="3"/>
        <v/>
      </c>
      <c r="BG17" s="23">
        <f t="shared" ref="BG17" si="12">IFERROR(IF(BC17*1.1&gt;100%,100%,BC17*1.1),"")</f>
        <v>0</v>
      </c>
      <c r="BH17" s="4" t="e">
        <f t="shared" si="5"/>
        <v>#VALUE!</v>
      </c>
      <c r="BI17" s="23" t="e">
        <f t="shared" si="6"/>
        <v>#VALUE!</v>
      </c>
      <c r="BJ17" s="23"/>
      <c r="BK17" s="23"/>
      <c r="BL17" s="130"/>
      <c r="BM17" s="130"/>
      <c r="BN17" s="130"/>
      <c r="BO17" s="130"/>
      <c r="BP17" s="130"/>
      <c r="BQ17" s="130"/>
      <c r="BR17" s="144"/>
      <c r="BS17" s="144"/>
    </row>
  </sheetData>
  <autoFilter ref="BJ1:BJ17"/>
  <mergeCells count="30">
    <mergeCell ref="A3:A5"/>
    <mergeCell ref="A7:A13"/>
    <mergeCell ref="R1:V1"/>
    <mergeCell ref="W1:AA1"/>
    <mergeCell ref="AS1:AV1"/>
    <mergeCell ref="C1:G1"/>
    <mergeCell ref="H1:L1"/>
    <mergeCell ref="M1:Q1"/>
    <mergeCell ref="CH1:CI1"/>
    <mergeCell ref="CJ1:CK1"/>
    <mergeCell ref="CL1:CM1"/>
    <mergeCell ref="BT1:BU1"/>
    <mergeCell ref="BV1:BW1"/>
    <mergeCell ref="BX1:BY1"/>
    <mergeCell ref="BZ1:CA1"/>
    <mergeCell ref="CB1:CC1"/>
    <mergeCell ref="BG1:BI1"/>
    <mergeCell ref="B1:B2"/>
    <mergeCell ref="CD1:CE1"/>
    <mergeCell ref="CF1:CG1"/>
    <mergeCell ref="BB1:BF1"/>
    <mergeCell ref="BL1:BM1"/>
    <mergeCell ref="BN1:BO1"/>
    <mergeCell ref="BP1:BQ1"/>
    <mergeCell ref="BR1:BS1"/>
    <mergeCell ref="AB1:AE1"/>
    <mergeCell ref="AF1:AI1"/>
    <mergeCell ref="AJ1:AM1"/>
    <mergeCell ref="AN1:AQ1"/>
    <mergeCell ref="AW1:AZ1"/>
  </mergeCells>
  <phoneticPr fontId="26" type="noConversion"/>
  <pageMargins left="0.74791666666666701" right="0.74791666666666701" top="0.98402777777777795" bottom="0.98402777777777795" header="0.51180555555555596" footer="0.51180555555555596"/>
  <pageSetup paperSize="9" orientation="portrait" r:id="rId1"/>
  <headerFooter alignWithMargins="0">
    <oddHeader>&amp;L&amp;G&amp;C&amp;F&amp;R文档密级</oddHeader>
    <oddFooter>&amp;L&amp;D&amp;C华为保密信息,未经授权禁止扩散&amp;R第&amp;P页，共&amp;N页</oddFooter>
  </headerFooter>
  <legacyDrawingHF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BK15"/>
  <sheetViews>
    <sheetView workbookViewId="0">
      <pane xSplit="30" ySplit="3" topLeftCell="AE4" activePane="bottomRight" state="frozen"/>
      <selection pane="topRight" activeCell="AQ1" sqref="AQ1"/>
      <selection pane="bottomLeft" activeCell="A4" sqref="A4"/>
      <selection pane="bottomRight" activeCell="AD18" sqref="AD18"/>
    </sheetView>
  </sheetViews>
  <sheetFormatPr defaultColWidth="9" defaultRowHeight="14.25"/>
  <cols>
    <col min="1" max="1" width="16.125" style="26" customWidth="1"/>
    <col min="2" max="2" width="36.125" style="26" customWidth="1"/>
    <col min="3" max="3" width="7.125" style="26" hidden="1" customWidth="1"/>
    <col min="4" max="4" width="10.375" style="26" hidden="1" customWidth="1"/>
    <col min="5" max="5" width="7.125" style="26" hidden="1" customWidth="1"/>
    <col min="6" max="7" width="8.75" style="26" hidden="1" customWidth="1"/>
    <col min="8" max="8" width="7.125" style="26" hidden="1" customWidth="1"/>
    <col min="9" max="10" width="10.375" style="26" hidden="1" customWidth="1"/>
    <col min="11" max="11" width="8.75" style="26" hidden="1" customWidth="1"/>
    <col min="12" max="25" width="10" style="26" hidden="1" customWidth="1"/>
    <col min="26" max="26" width="9" style="26" hidden="1" customWidth="1"/>
    <col min="27" max="27" width="9" style="26"/>
    <col min="28" max="28" width="0" style="26" hidden="1" customWidth="1"/>
    <col min="29" max="30" width="9" style="26"/>
    <col min="31" max="35" width="8.125" customWidth="1"/>
    <col min="36" max="16384" width="9" style="26"/>
  </cols>
  <sheetData>
    <row r="1" spans="1:63" s="24" customFormat="1" ht="34.5" customHeight="1">
      <c r="A1" s="332" t="s">
        <v>401</v>
      </c>
      <c r="B1" s="332"/>
      <c r="C1" s="357" t="s">
        <v>159</v>
      </c>
      <c r="D1" s="357"/>
      <c r="E1" s="357"/>
      <c r="F1" s="357"/>
      <c r="G1" s="357"/>
      <c r="H1" s="357" t="s">
        <v>160</v>
      </c>
      <c r="I1" s="357"/>
      <c r="J1" s="357"/>
      <c r="K1" s="357"/>
      <c r="L1" s="357"/>
      <c r="M1" s="358" t="s">
        <v>161</v>
      </c>
      <c r="N1" s="358"/>
      <c r="O1" s="358"/>
      <c r="P1" s="358"/>
      <c r="Q1" s="358" t="s">
        <v>200</v>
      </c>
      <c r="R1" s="358"/>
      <c r="S1" s="358"/>
      <c r="T1" s="358"/>
      <c r="U1" s="359" t="s">
        <v>256</v>
      </c>
      <c r="V1" s="360"/>
      <c r="W1" s="360"/>
      <c r="X1" s="361"/>
      <c r="Y1" s="196" t="s">
        <v>420</v>
      </c>
      <c r="Z1" s="330" t="s">
        <v>362</v>
      </c>
      <c r="AA1" s="330"/>
      <c r="AB1" s="330"/>
      <c r="AC1" s="330"/>
      <c r="AD1" s="330"/>
      <c r="AE1" s="327" t="s">
        <v>393</v>
      </c>
      <c r="AF1" s="328"/>
      <c r="AG1" s="329"/>
      <c r="AH1" s="186" t="s">
        <v>412</v>
      </c>
      <c r="AI1" s="186" t="s">
        <v>416</v>
      </c>
      <c r="AJ1" s="330">
        <v>2012</v>
      </c>
      <c r="AK1" s="330"/>
      <c r="AL1" s="330" t="s">
        <v>363</v>
      </c>
      <c r="AM1" s="330"/>
      <c r="AN1" s="330" t="s">
        <v>364</v>
      </c>
      <c r="AO1" s="330"/>
      <c r="AP1" s="330" t="s">
        <v>365</v>
      </c>
      <c r="AQ1" s="330"/>
      <c r="AR1" s="330" t="s">
        <v>366</v>
      </c>
      <c r="AS1" s="330"/>
      <c r="AT1" s="330" t="s">
        <v>367</v>
      </c>
      <c r="AU1" s="330"/>
      <c r="AV1" s="330" t="s">
        <v>368</v>
      </c>
      <c r="AW1" s="330"/>
      <c r="AX1" s="330" t="s">
        <v>369</v>
      </c>
      <c r="AY1" s="330"/>
      <c r="AZ1" s="330" t="s">
        <v>370</v>
      </c>
      <c r="BA1" s="330"/>
      <c r="BB1" s="330" t="s">
        <v>371</v>
      </c>
      <c r="BC1" s="330"/>
      <c r="BD1" s="330" t="s">
        <v>372</v>
      </c>
      <c r="BE1" s="330"/>
      <c r="BF1" s="330" t="s">
        <v>373</v>
      </c>
      <c r="BG1" s="330"/>
      <c r="BH1" s="330" t="s">
        <v>374</v>
      </c>
      <c r="BI1" s="330"/>
      <c r="BJ1" s="330" t="s">
        <v>375</v>
      </c>
      <c r="BK1" s="330"/>
    </row>
    <row r="2" spans="1:63" s="25" customFormat="1" ht="14.25" customHeight="1">
      <c r="A2" s="332"/>
      <c r="B2" s="332"/>
      <c r="C2" s="18" t="s">
        <v>0</v>
      </c>
      <c r="D2" s="18" t="s">
        <v>1</v>
      </c>
      <c r="E2" s="18" t="s">
        <v>29</v>
      </c>
      <c r="F2" s="18" t="s">
        <v>2</v>
      </c>
      <c r="G2" s="18" t="s">
        <v>3</v>
      </c>
      <c r="H2" s="18" t="s">
        <v>0</v>
      </c>
      <c r="I2" s="18" t="s">
        <v>1</v>
      </c>
      <c r="J2" s="18" t="s">
        <v>29</v>
      </c>
      <c r="K2" s="18" t="s">
        <v>2</v>
      </c>
      <c r="L2" s="18" t="s">
        <v>3</v>
      </c>
      <c r="M2" s="31" t="s">
        <v>0</v>
      </c>
      <c r="N2" s="31" t="s">
        <v>423</v>
      </c>
      <c r="O2" s="31" t="s">
        <v>2</v>
      </c>
      <c r="P2" s="31" t="s">
        <v>3</v>
      </c>
      <c r="Q2" s="72" t="s">
        <v>0</v>
      </c>
      <c r="R2" s="72" t="s">
        <v>1</v>
      </c>
      <c r="S2" s="72" t="s">
        <v>2</v>
      </c>
      <c r="T2" s="72" t="s">
        <v>3</v>
      </c>
      <c r="U2" s="72" t="s">
        <v>0</v>
      </c>
      <c r="V2" s="72" t="s">
        <v>1</v>
      </c>
      <c r="W2" s="72" t="s">
        <v>2</v>
      </c>
      <c r="X2" s="72" t="s">
        <v>3</v>
      </c>
      <c r="Y2" s="72"/>
      <c r="Z2" s="122" t="s">
        <v>338</v>
      </c>
      <c r="AA2" s="122" t="s">
        <v>361</v>
      </c>
      <c r="AB2" s="122" t="s">
        <v>360</v>
      </c>
      <c r="AC2" s="122" t="s">
        <v>2</v>
      </c>
      <c r="AD2" s="122" t="s">
        <v>3</v>
      </c>
      <c r="AE2" s="145" t="s">
        <v>394</v>
      </c>
      <c r="AF2" s="145" t="s">
        <v>396</v>
      </c>
      <c r="AG2" s="145" t="s">
        <v>395</v>
      </c>
      <c r="AH2" s="177"/>
      <c r="AI2" s="177"/>
      <c r="AJ2" s="122" t="s">
        <v>338</v>
      </c>
      <c r="AK2" s="122" t="s">
        <v>361</v>
      </c>
      <c r="AL2" s="122" t="s">
        <v>338</v>
      </c>
      <c r="AM2" s="122" t="s">
        <v>361</v>
      </c>
      <c r="AN2" s="122" t="s">
        <v>338</v>
      </c>
      <c r="AO2" s="122" t="s">
        <v>361</v>
      </c>
      <c r="AP2" s="122" t="s">
        <v>338</v>
      </c>
      <c r="AQ2" s="122" t="s">
        <v>361</v>
      </c>
      <c r="AR2" s="122" t="s">
        <v>338</v>
      </c>
      <c r="AS2" s="122" t="s">
        <v>361</v>
      </c>
      <c r="AT2" s="122" t="s">
        <v>338</v>
      </c>
      <c r="AU2" s="122" t="s">
        <v>361</v>
      </c>
      <c r="AV2" s="122" t="s">
        <v>338</v>
      </c>
      <c r="AW2" s="122" t="s">
        <v>361</v>
      </c>
      <c r="AX2" s="122" t="s">
        <v>338</v>
      </c>
      <c r="AY2" s="122" t="s">
        <v>361</v>
      </c>
      <c r="AZ2" s="122" t="s">
        <v>338</v>
      </c>
      <c r="BA2" s="122" t="s">
        <v>361</v>
      </c>
      <c r="BB2" s="122" t="s">
        <v>338</v>
      </c>
      <c r="BC2" s="122" t="s">
        <v>361</v>
      </c>
      <c r="BD2" s="122" t="s">
        <v>338</v>
      </c>
      <c r="BE2" s="122" t="s">
        <v>361</v>
      </c>
      <c r="BF2" s="122" t="s">
        <v>338</v>
      </c>
      <c r="BG2" s="122" t="s">
        <v>361</v>
      </c>
      <c r="BH2" s="122" t="s">
        <v>338</v>
      </c>
      <c r="BI2" s="122" t="s">
        <v>361</v>
      </c>
      <c r="BJ2" s="122" t="s">
        <v>338</v>
      </c>
      <c r="BK2" s="122" t="s">
        <v>361</v>
      </c>
    </row>
    <row r="3" spans="1:63" s="25" customFormat="1" ht="29.25" customHeight="1" thickBot="1">
      <c r="A3" s="362" t="s">
        <v>21</v>
      </c>
      <c r="B3" s="27" t="s">
        <v>4</v>
      </c>
      <c r="C3" s="3" t="s">
        <v>5</v>
      </c>
      <c r="D3" s="5" t="s">
        <v>6</v>
      </c>
      <c r="E3" s="5" t="s">
        <v>7</v>
      </c>
      <c r="F3" s="5" t="s">
        <v>8</v>
      </c>
      <c r="G3" s="5" t="s">
        <v>9</v>
      </c>
      <c r="H3" s="3" t="s">
        <v>10</v>
      </c>
      <c r="I3" s="5" t="s">
        <v>11</v>
      </c>
      <c r="J3" s="5" t="s">
        <v>12</v>
      </c>
      <c r="K3" s="5" t="s">
        <v>13</v>
      </c>
      <c r="L3" s="5" t="s">
        <v>20</v>
      </c>
      <c r="M3" s="32" t="s">
        <v>136</v>
      </c>
      <c r="N3" s="32" t="s">
        <v>137</v>
      </c>
      <c r="O3" s="32" t="s">
        <v>138</v>
      </c>
      <c r="P3" s="32" t="s">
        <v>139</v>
      </c>
      <c r="Q3" s="32" t="s">
        <v>140</v>
      </c>
      <c r="R3" s="32" t="s">
        <v>141</v>
      </c>
      <c r="S3" s="32" t="s">
        <v>142</v>
      </c>
      <c r="T3" s="32" t="s">
        <v>143</v>
      </c>
      <c r="U3" s="32" t="s">
        <v>144</v>
      </c>
      <c r="V3" s="32" t="s">
        <v>145</v>
      </c>
      <c r="W3" s="32" t="s">
        <v>146</v>
      </c>
      <c r="X3" s="32" t="s">
        <v>147</v>
      </c>
      <c r="Y3" s="32" t="s">
        <v>151</v>
      </c>
      <c r="Z3" s="20" t="s">
        <v>53</v>
      </c>
      <c r="AA3" s="20" t="s">
        <v>164</v>
      </c>
      <c r="AB3" s="20" t="s">
        <v>246</v>
      </c>
      <c r="AC3" s="20" t="s">
        <v>54</v>
      </c>
      <c r="AD3" s="20" t="s">
        <v>55</v>
      </c>
      <c r="AE3" s="20"/>
      <c r="AF3" s="20"/>
      <c r="AG3" s="20"/>
      <c r="AH3" s="186"/>
      <c r="AI3" s="186"/>
      <c r="AJ3" s="20" t="s">
        <v>53</v>
      </c>
      <c r="AK3" s="20" t="s">
        <v>164</v>
      </c>
      <c r="AL3" s="20" t="s">
        <v>53</v>
      </c>
      <c r="AM3" s="20" t="s">
        <v>164</v>
      </c>
      <c r="AN3" s="20" t="s">
        <v>53</v>
      </c>
      <c r="AO3" s="20" t="s">
        <v>164</v>
      </c>
      <c r="AP3" s="20" t="s">
        <v>53</v>
      </c>
      <c r="AQ3" s="20" t="s">
        <v>164</v>
      </c>
      <c r="AR3" s="20" t="s">
        <v>53</v>
      </c>
      <c r="AS3" s="20" t="s">
        <v>164</v>
      </c>
      <c r="AT3" s="20" t="s">
        <v>53</v>
      </c>
      <c r="AU3" s="20" t="s">
        <v>164</v>
      </c>
      <c r="AV3" s="20" t="s">
        <v>53</v>
      </c>
      <c r="AW3" s="20" t="s">
        <v>164</v>
      </c>
      <c r="AX3" s="20" t="s">
        <v>53</v>
      </c>
      <c r="AY3" s="20" t="s">
        <v>164</v>
      </c>
      <c r="AZ3" s="20" t="s">
        <v>53</v>
      </c>
      <c r="BA3" s="20" t="s">
        <v>164</v>
      </c>
      <c r="BB3" s="20" t="s">
        <v>53</v>
      </c>
      <c r="BC3" s="20" t="s">
        <v>164</v>
      </c>
      <c r="BD3" s="20" t="s">
        <v>53</v>
      </c>
      <c r="BE3" s="20" t="s">
        <v>164</v>
      </c>
      <c r="BF3" s="20" t="s">
        <v>53</v>
      </c>
      <c r="BG3" s="20" t="s">
        <v>164</v>
      </c>
      <c r="BH3" s="20" t="s">
        <v>53</v>
      </c>
      <c r="BI3" s="20" t="s">
        <v>164</v>
      </c>
      <c r="BJ3" s="20" t="s">
        <v>53</v>
      </c>
      <c r="BK3" s="20" t="s">
        <v>164</v>
      </c>
    </row>
    <row r="4" spans="1:63" s="25" customFormat="1" ht="15" thickBot="1">
      <c r="A4" s="362"/>
      <c r="B4" s="59" t="s">
        <v>173</v>
      </c>
      <c r="C4" s="3">
        <v>9</v>
      </c>
      <c r="D4" s="5">
        <v>1</v>
      </c>
      <c r="E4" s="5">
        <v>0</v>
      </c>
      <c r="F4" s="5">
        <v>1</v>
      </c>
      <c r="G4" s="5">
        <v>1</v>
      </c>
      <c r="H4" s="3">
        <v>9</v>
      </c>
      <c r="I4" s="5">
        <v>1.44444444444444</v>
      </c>
      <c r="J4" s="5">
        <v>1.3333333333333299</v>
      </c>
      <c r="K4" s="5">
        <v>1</v>
      </c>
      <c r="L4" s="5">
        <v>0.11111111111111099</v>
      </c>
      <c r="M4" s="33">
        <v>16</v>
      </c>
      <c r="N4" s="34">
        <v>0.99559859154929597</v>
      </c>
      <c r="O4" s="34">
        <v>1</v>
      </c>
      <c r="P4" s="34">
        <v>0.94278169014084501</v>
      </c>
      <c r="Q4" s="76">
        <v>12</v>
      </c>
      <c r="R4" s="77">
        <v>0.97800718201964632</v>
      </c>
      <c r="S4" s="77">
        <v>1</v>
      </c>
      <c r="T4" s="77">
        <v>0.86487572505514587</v>
      </c>
      <c r="U4" s="76">
        <v>45</v>
      </c>
      <c r="V4" s="77">
        <v>0.97174516447642878</v>
      </c>
      <c r="W4" s="111">
        <v>1.1212437969155282</v>
      </c>
      <c r="X4" s="111">
        <v>0.82224653203732923</v>
      </c>
      <c r="Y4" s="198">
        <f>(Q4*R4+U4*V4)/(Q4+U4)</f>
        <v>0.97306348395921149</v>
      </c>
      <c r="Z4" s="142">
        <f>SUM(AJ4+AL4+AN4+AP4+AR4+AT4+AV4+AX4+AZ4+BB4+BD4+BF4+BH4+BJ4)</f>
        <v>0</v>
      </c>
      <c r="AA4" s="23" t="e">
        <f>(AJ4*AK4+AL4*AM4+AN4*AO4+AP4*AQ4+AR4*AS4+AT4*AU4+AV4*AW4+AX4*AY4+AZ4*BA4+BB4*BC4+BD4*BE4+BF4*BG4+BH4*BI4+BJ4*BK4)/Z4</f>
        <v>#VALUE!</v>
      </c>
      <c r="AB4" s="4" t="str">
        <f>IFERROR(STDEV(AK4,AM4,AO4,AQ4,AS4,AU4,AW4,AY4,BA4,BC4,BE4,BG4,BI4,BK4),"")</f>
        <v/>
      </c>
      <c r="AC4" s="173">
        <v>1</v>
      </c>
      <c r="AD4" s="174">
        <v>0.8649</v>
      </c>
      <c r="AE4" s="23" t="str">
        <f t="shared" ref="AE4" si="0">IFERROR(IF(AA4*1.1&gt;100%,100%,AA4*1.1),"")</f>
        <v/>
      </c>
      <c r="AF4" s="23">
        <f t="shared" ref="AF4:AF15" si="1">AC4*1.1</f>
        <v>1.1000000000000001</v>
      </c>
      <c r="AG4" s="23">
        <f>AD4*1.1</f>
        <v>0.95139000000000007</v>
      </c>
      <c r="AH4" s="23" t="s">
        <v>411</v>
      </c>
      <c r="AI4" s="23" t="e">
        <f>IF(AA4&gt;=Y4,"Up","Down")</f>
        <v>#VALUE!</v>
      </c>
      <c r="AJ4" s="4"/>
      <c r="AK4" s="4"/>
      <c r="AL4" s="4"/>
      <c r="AM4" s="4"/>
      <c r="AN4" s="4"/>
      <c r="AO4" s="4"/>
      <c r="AP4" s="144">
        <f>IFERROR(VLOOKUP($B4,#REF!,2,0),0)</f>
        <v>0</v>
      </c>
      <c r="AQ4" s="189" t="str">
        <f>IFERROR(VLOOKUP($B4,#REF!,3,0),"")</f>
        <v/>
      </c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144"/>
      <c r="BI4" s="144"/>
      <c r="BJ4" s="4"/>
      <c r="BK4" s="4"/>
    </row>
    <row r="5" spans="1:63" s="25" customFormat="1" ht="15" thickBot="1">
      <c r="A5" s="362" t="s">
        <v>22</v>
      </c>
      <c r="B5" s="2" t="s">
        <v>174</v>
      </c>
      <c r="C5" s="3">
        <v>8</v>
      </c>
      <c r="D5" s="11">
        <v>0.58192474906629299</v>
      </c>
      <c r="E5" s="11">
        <v>0.100757974668131</v>
      </c>
      <c r="F5" s="11">
        <v>0.884198673070686</v>
      </c>
      <c r="G5" s="11">
        <v>0.27965082506190098</v>
      </c>
      <c r="H5" s="3">
        <v>8</v>
      </c>
      <c r="I5" s="11">
        <v>2.835</v>
      </c>
      <c r="J5" s="11">
        <v>4.9652823254502403</v>
      </c>
      <c r="K5" s="11">
        <v>7.8002823254502403</v>
      </c>
      <c r="L5" s="11">
        <v>0</v>
      </c>
      <c r="M5" s="15">
        <v>16</v>
      </c>
      <c r="N5" s="6">
        <v>3.1520220303961701</v>
      </c>
      <c r="O5" s="6">
        <v>6.3138061663227703</v>
      </c>
      <c r="P5" s="6">
        <v>0</v>
      </c>
      <c r="Q5" s="76">
        <v>12</v>
      </c>
      <c r="R5" s="78">
        <v>1.0822735473897929</v>
      </c>
      <c r="S5" s="78">
        <v>1.262700457741976</v>
      </c>
      <c r="T5" s="78">
        <v>0.9018466370376097</v>
      </c>
      <c r="U5" s="78">
        <v>40</v>
      </c>
      <c r="V5" s="78">
        <v>0.6</v>
      </c>
      <c r="W5" s="78">
        <v>0.7</v>
      </c>
      <c r="X5" s="78">
        <v>0.5</v>
      </c>
      <c r="Y5" s="197">
        <f t="shared" ref="Y5:Y15" si="2">(Q5*R5+U5*V5)/(Q5+U5)</f>
        <v>0.7112938955514907</v>
      </c>
      <c r="Z5" s="142">
        <f t="shared" ref="Z5:Z15" si="3">SUM(AJ5+AL5+AN5+AP5+AR5+AT5+AV5+AX5+AZ5+BB5+BD5+BF5+BH5+BJ5)</f>
        <v>0</v>
      </c>
      <c r="AA5" s="132" t="e">
        <f t="shared" ref="AA5:AA15" si="4">(AJ5*AK5+AL5*AM5+AN5*AO5+AP5*AQ5+AR5*AS5+AT5*AU5+AV5*AW5+AX5*AY5+AZ5*BA5+BB5*BC5+BD5*BE5+BF5*BG5+BH5*BI5+BJ5*BK5)/Z5</f>
        <v>#VALUE!</v>
      </c>
      <c r="AB5" s="4" t="str">
        <f t="shared" ref="AB5:AB15" si="5">IFERROR(STDEV(AK5,AM5,AO5,AQ5,AS5,AU5,AW5,AY5,BA5,BC5,BE5,BG5,BI5,BK5),"")</f>
        <v/>
      </c>
      <c r="AC5" s="236">
        <v>1.26</v>
      </c>
      <c r="AD5" s="237">
        <v>0.9</v>
      </c>
      <c r="AE5" s="132" t="e">
        <f>AA5*0.9</f>
        <v>#VALUE!</v>
      </c>
      <c r="AF5" s="132">
        <f>AC5*0.9</f>
        <v>1.1340000000000001</v>
      </c>
      <c r="AG5" s="132">
        <f>AD5*0.9</f>
        <v>0.81</v>
      </c>
      <c r="AH5" s="4" t="s">
        <v>411</v>
      </c>
      <c r="AI5" s="23" t="e">
        <f>IF(AA5&lt;=Y5,"Good","Bad")</f>
        <v>#VALUE!</v>
      </c>
      <c r="AJ5" s="4"/>
      <c r="AK5" s="4"/>
      <c r="AL5" s="4"/>
      <c r="AM5" s="4"/>
      <c r="AN5" s="4"/>
      <c r="AO5" s="4"/>
      <c r="AP5" s="144">
        <f>IFERROR(VLOOKUP($B5,#REF!,2,0),0)</f>
        <v>0</v>
      </c>
      <c r="AQ5" s="144" t="str">
        <f>IFERROR(VLOOKUP($B5,#REF!,3,0),"")</f>
        <v/>
      </c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144"/>
      <c r="BI5" s="144"/>
      <c r="BJ5" s="4"/>
      <c r="BK5" s="4"/>
    </row>
    <row r="6" spans="1:63" s="25" customFormat="1">
      <c r="A6" s="362"/>
      <c r="B6" s="21" t="s">
        <v>192</v>
      </c>
      <c r="C6" s="3"/>
      <c r="D6" s="11"/>
      <c r="E6" s="11"/>
      <c r="F6" s="11"/>
      <c r="G6" s="11"/>
      <c r="H6" s="3"/>
      <c r="I6" s="11"/>
      <c r="J6" s="11"/>
      <c r="K6" s="11"/>
      <c r="L6" s="11"/>
      <c r="M6" s="15"/>
      <c r="N6" s="6"/>
      <c r="O6" s="6"/>
      <c r="P6" s="6"/>
      <c r="Q6" s="76">
        <v>12</v>
      </c>
      <c r="R6" s="78">
        <v>1.6666666666666667</v>
      </c>
      <c r="S6" s="78">
        <v>4.8097205762883073</v>
      </c>
      <c r="T6" s="78">
        <v>0</v>
      </c>
      <c r="U6" s="76">
        <v>45</v>
      </c>
      <c r="V6" s="112">
        <v>2.4444444444444446</v>
      </c>
      <c r="W6" s="112">
        <v>7.3040906883763643</v>
      </c>
      <c r="X6" s="112">
        <v>0</v>
      </c>
      <c r="Y6" s="197">
        <f t="shared" si="2"/>
        <v>2.2807017543859649</v>
      </c>
      <c r="Z6" s="142">
        <f t="shared" si="3"/>
        <v>0</v>
      </c>
      <c r="AA6" s="4" t="e">
        <f t="shared" si="4"/>
        <v>#VALUE!</v>
      </c>
      <c r="AB6" s="4" t="str">
        <f t="shared" si="5"/>
        <v/>
      </c>
      <c r="AC6" s="4" t="str">
        <f t="shared" ref="AC6:AC15" si="6">IFERROR(IF(AB6&lt;AA6*0.1,AA6+3*AB6,AA6+AB6),"")</f>
        <v/>
      </c>
      <c r="AD6" s="143" t="str">
        <f t="shared" ref="AD6:AD15" si="7">IFERROR(IF(AB6&lt;AA6*0.1,MAX(AA6-3*AB6,0),MAX(AA6-AB6,0)),"")</f>
        <v/>
      </c>
      <c r="AE6" s="4" t="e">
        <f>AA6*0.9</f>
        <v>#VALUE!</v>
      </c>
      <c r="AF6" s="4" t="e">
        <f t="shared" si="1"/>
        <v>#VALUE!</v>
      </c>
      <c r="AG6" s="4" t="e">
        <f t="shared" ref="AG6:AG15" si="8">AD6*1.1</f>
        <v>#VALUE!</v>
      </c>
      <c r="AH6" s="4"/>
      <c r="AI6" s="4"/>
      <c r="AJ6" s="4"/>
      <c r="AK6" s="4"/>
      <c r="AL6" s="4"/>
      <c r="AM6" s="4"/>
      <c r="AN6" s="4"/>
      <c r="AO6" s="4"/>
      <c r="AP6" s="144">
        <f>IFERROR(VLOOKUP($B6,#REF!,2,0),0)</f>
        <v>0</v>
      </c>
      <c r="AQ6" s="144" t="str">
        <f>IFERROR(VLOOKUP($B6,#REF!,3,0),"")</f>
        <v/>
      </c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144"/>
      <c r="BI6" s="144"/>
      <c r="BJ6" s="4"/>
      <c r="BK6" s="4"/>
    </row>
    <row r="7" spans="1:63" s="25" customFormat="1">
      <c r="A7" s="362"/>
      <c r="B7" s="21" t="s">
        <v>193</v>
      </c>
      <c r="C7" s="3"/>
      <c r="D7" s="11"/>
      <c r="E7" s="11"/>
      <c r="F7" s="11"/>
      <c r="G7" s="11"/>
      <c r="H7" s="3"/>
      <c r="I7" s="11"/>
      <c r="J7" s="11"/>
      <c r="K7" s="11"/>
      <c r="L7" s="11"/>
      <c r="M7" s="15"/>
      <c r="N7" s="6"/>
      <c r="O7" s="6"/>
      <c r="P7" s="6"/>
      <c r="Q7" s="76">
        <v>12</v>
      </c>
      <c r="R7" s="77">
        <v>0.94639227115268942</v>
      </c>
      <c r="S7" s="77">
        <v>1</v>
      </c>
      <c r="T7" s="77">
        <v>0.84558825500218826</v>
      </c>
      <c r="U7" s="76">
        <v>52</v>
      </c>
      <c r="V7" s="111">
        <v>0.97877016830114161</v>
      </c>
      <c r="W7" s="111">
        <v>1.1048017124835607</v>
      </c>
      <c r="X7" s="111">
        <v>0.85273862411872248</v>
      </c>
      <c r="Y7" s="198">
        <f t="shared" si="2"/>
        <v>0.97269931258580677</v>
      </c>
      <c r="Z7" s="142">
        <f t="shared" si="3"/>
        <v>0</v>
      </c>
      <c r="AA7" s="23" t="e">
        <f t="shared" si="4"/>
        <v>#VALUE!</v>
      </c>
      <c r="AB7" s="4" t="str">
        <f t="shared" si="5"/>
        <v/>
      </c>
      <c r="AC7" s="4" t="str">
        <f t="shared" si="6"/>
        <v/>
      </c>
      <c r="AD7" s="143" t="str">
        <f t="shared" si="7"/>
        <v/>
      </c>
      <c r="AE7" s="23" t="str">
        <f t="shared" ref="AE7" si="9">IFERROR(IF(AA7*1.1&gt;100%,100%,AA7*1.1),"")</f>
        <v/>
      </c>
      <c r="AF7" s="4" t="e">
        <f t="shared" si="1"/>
        <v>#VALUE!</v>
      </c>
      <c r="AG7" s="4" t="e">
        <f t="shared" si="8"/>
        <v>#VALUE!</v>
      </c>
      <c r="AH7" s="4"/>
      <c r="AI7" s="4"/>
      <c r="AJ7" s="4"/>
      <c r="AK7" s="4"/>
      <c r="AL7" s="4"/>
      <c r="AM7" s="4"/>
      <c r="AN7" s="4"/>
      <c r="AO7" s="4"/>
      <c r="AP7" s="144">
        <f>IFERROR(VLOOKUP($B7,#REF!,2,0),0)</f>
        <v>0</v>
      </c>
      <c r="AQ7" s="144" t="str">
        <f>IFERROR(VLOOKUP($B7,#REF!,3,0),"")</f>
        <v/>
      </c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144"/>
      <c r="BI7" s="144"/>
      <c r="BJ7" s="4"/>
      <c r="BK7" s="4"/>
    </row>
    <row r="8" spans="1:63" s="25" customFormat="1">
      <c r="A8" s="362"/>
      <c r="B8" s="21" t="s">
        <v>194</v>
      </c>
      <c r="C8" s="3"/>
      <c r="D8" s="11"/>
      <c r="E8" s="11"/>
      <c r="F8" s="11"/>
      <c r="G8" s="11"/>
      <c r="H8" s="3"/>
      <c r="I8" s="11"/>
      <c r="J8" s="11"/>
      <c r="K8" s="11"/>
      <c r="L8" s="11"/>
      <c r="M8" s="15"/>
      <c r="N8" s="6"/>
      <c r="O8" s="6"/>
      <c r="P8" s="6"/>
      <c r="Q8" s="76">
        <v>12</v>
      </c>
      <c r="R8" s="78">
        <v>1.0557069363230835</v>
      </c>
      <c r="S8" s="78">
        <v>1.4046390737042356</v>
      </c>
      <c r="T8" s="78">
        <v>0.70677479894193163</v>
      </c>
      <c r="U8" s="76">
        <v>51</v>
      </c>
      <c r="V8" s="112">
        <v>1.5113130366406244</v>
      </c>
      <c r="W8" s="112">
        <v>3.0087822540844864</v>
      </c>
      <c r="X8" s="112">
        <v>1.3843819196762475E-2</v>
      </c>
      <c r="Y8" s="197">
        <f t="shared" si="2"/>
        <v>1.4245309222944262</v>
      </c>
      <c r="Z8" s="142">
        <f t="shared" si="3"/>
        <v>0</v>
      </c>
      <c r="AA8" s="4" t="e">
        <f t="shared" si="4"/>
        <v>#VALUE!</v>
      </c>
      <c r="AB8" s="4" t="str">
        <f t="shared" si="5"/>
        <v/>
      </c>
      <c r="AC8" s="4" t="str">
        <f t="shared" si="6"/>
        <v/>
      </c>
      <c r="AD8" s="143" t="str">
        <f t="shared" si="7"/>
        <v/>
      </c>
      <c r="AE8" s="4" t="e">
        <f>AA8*0.9</f>
        <v>#VALUE!</v>
      </c>
      <c r="AF8" s="4" t="e">
        <f t="shared" si="1"/>
        <v>#VALUE!</v>
      </c>
      <c r="AG8" s="4" t="e">
        <f t="shared" si="8"/>
        <v>#VALUE!</v>
      </c>
      <c r="AH8" s="4"/>
      <c r="AI8" s="4"/>
      <c r="AJ8" s="4"/>
      <c r="AK8" s="4"/>
      <c r="AL8" s="4"/>
      <c r="AM8" s="4"/>
      <c r="AN8" s="4"/>
      <c r="AO8" s="4"/>
      <c r="AP8" s="144">
        <f>IFERROR(VLOOKUP($B8,#REF!,2,0),0)</f>
        <v>0</v>
      </c>
      <c r="AQ8" s="144" t="str">
        <f>IFERROR(VLOOKUP($B8,#REF!,3,0),"")</f>
        <v/>
      </c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144"/>
      <c r="BI8" s="144"/>
      <c r="BJ8" s="4"/>
      <c r="BK8" s="4"/>
    </row>
    <row r="9" spans="1:63" s="25" customFormat="1">
      <c r="A9" s="362"/>
      <c r="B9" s="21" t="s">
        <v>195</v>
      </c>
      <c r="C9" s="3"/>
      <c r="D9" s="11"/>
      <c r="E9" s="11"/>
      <c r="F9" s="11"/>
      <c r="G9" s="11"/>
      <c r="H9" s="3"/>
      <c r="I9" s="11"/>
      <c r="J9" s="11"/>
      <c r="K9" s="11"/>
      <c r="L9" s="11"/>
      <c r="M9" s="15"/>
      <c r="N9" s="6"/>
      <c r="O9" s="6"/>
      <c r="P9" s="6"/>
      <c r="Q9" s="76">
        <v>12</v>
      </c>
      <c r="R9" s="78">
        <v>1.0455210898121476</v>
      </c>
      <c r="S9" s="78">
        <v>1.893970816755409</v>
      </c>
      <c r="T9" s="78">
        <v>0.19707136286888616</v>
      </c>
      <c r="U9" s="76">
        <v>39</v>
      </c>
      <c r="V9" s="112">
        <v>1.3796518577763364</v>
      </c>
      <c r="W9" s="112">
        <v>2.7741621431276782</v>
      </c>
      <c r="X9" s="112">
        <v>0</v>
      </c>
      <c r="Y9" s="197">
        <f t="shared" si="2"/>
        <v>1.3010328535494682</v>
      </c>
      <c r="Z9" s="142">
        <f t="shared" si="3"/>
        <v>0</v>
      </c>
      <c r="AA9" s="4" t="e">
        <f t="shared" si="4"/>
        <v>#VALUE!</v>
      </c>
      <c r="AB9" s="4" t="str">
        <f t="shared" si="5"/>
        <v/>
      </c>
      <c r="AC9" s="4" t="str">
        <f t="shared" si="6"/>
        <v/>
      </c>
      <c r="AD9" s="143" t="str">
        <f t="shared" si="7"/>
        <v/>
      </c>
      <c r="AE9" s="4" t="e">
        <f>AA9*0.9</f>
        <v>#VALUE!</v>
      </c>
      <c r="AF9" s="4" t="e">
        <f t="shared" si="1"/>
        <v>#VALUE!</v>
      </c>
      <c r="AG9" s="4" t="e">
        <f t="shared" si="8"/>
        <v>#VALUE!</v>
      </c>
      <c r="AH9" s="4"/>
      <c r="AI9" s="4"/>
      <c r="AJ9" s="4"/>
      <c r="AK9" s="4"/>
      <c r="AL9" s="4"/>
      <c r="AM9" s="4"/>
      <c r="AN9" s="4"/>
      <c r="AO9" s="4"/>
      <c r="AP9" s="144">
        <f>IFERROR(VLOOKUP($B9,#REF!,2,0),0)</f>
        <v>0</v>
      </c>
      <c r="AQ9" s="144" t="str">
        <f>IFERROR(VLOOKUP($B9,#REF!,3,0),"")</f>
        <v/>
      </c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144"/>
      <c r="BI9" s="144"/>
      <c r="BJ9" s="4"/>
      <c r="BK9" s="4"/>
    </row>
    <row r="10" spans="1:63" s="25" customFormat="1">
      <c r="A10" s="362"/>
      <c r="B10" s="21" t="s">
        <v>162</v>
      </c>
      <c r="C10" s="3"/>
      <c r="D10" s="11"/>
      <c r="E10" s="11"/>
      <c r="F10" s="11"/>
      <c r="G10" s="11"/>
      <c r="H10" s="3"/>
      <c r="I10" s="11"/>
      <c r="J10" s="11"/>
      <c r="K10" s="11"/>
      <c r="L10" s="11"/>
      <c r="M10" s="15"/>
      <c r="N10" s="6"/>
      <c r="O10" s="6"/>
      <c r="P10" s="6"/>
      <c r="Q10" s="76">
        <v>12</v>
      </c>
      <c r="R10" s="78">
        <v>0</v>
      </c>
      <c r="S10" s="78">
        <v>0</v>
      </c>
      <c r="T10" s="78">
        <v>0</v>
      </c>
      <c r="U10" s="78"/>
      <c r="V10" s="78"/>
      <c r="W10" s="78"/>
      <c r="X10" s="78"/>
      <c r="Y10" s="197">
        <f t="shared" si="2"/>
        <v>0</v>
      </c>
      <c r="Z10" s="142">
        <f t="shared" si="3"/>
        <v>0</v>
      </c>
      <c r="AA10" s="4" t="e">
        <f t="shared" si="4"/>
        <v>#VALUE!</v>
      </c>
      <c r="AB10" s="4" t="str">
        <f t="shared" si="5"/>
        <v/>
      </c>
      <c r="AC10" s="4" t="str">
        <f t="shared" si="6"/>
        <v/>
      </c>
      <c r="AD10" s="143" t="str">
        <f t="shared" si="7"/>
        <v/>
      </c>
      <c r="AE10" s="4" t="e">
        <f>AA10*0.9</f>
        <v>#VALUE!</v>
      </c>
      <c r="AF10" s="4" t="e">
        <f t="shared" si="1"/>
        <v>#VALUE!</v>
      </c>
      <c r="AG10" s="4" t="e">
        <f t="shared" si="8"/>
        <v>#VALUE!</v>
      </c>
      <c r="AH10" s="4"/>
      <c r="AI10" s="4"/>
      <c r="AJ10" s="4"/>
      <c r="AK10" s="4"/>
      <c r="AL10" s="4"/>
      <c r="AM10" s="4"/>
      <c r="AN10" s="4"/>
      <c r="AO10" s="4"/>
      <c r="AP10" s="144">
        <f>IFERROR(VLOOKUP($B10,#REF!,2,0),0)</f>
        <v>0</v>
      </c>
      <c r="AQ10" s="144" t="str">
        <f>IFERROR(VLOOKUP($B10,#REF!,3,0),"")</f>
        <v/>
      </c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144"/>
      <c r="BI10" s="144"/>
      <c r="BJ10" s="4"/>
      <c r="BK10" s="4"/>
    </row>
    <row r="11" spans="1:63" s="25" customFormat="1">
      <c r="A11" s="362"/>
      <c r="B11" s="21" t="s">
        <v>196</v>
      </c>
      <c r="C11" s="3"/>
      <c r="D11" s="11"/>
      <c r="E11" s="11"/>
      <c r="F11" s="11"/>
      <c r="G11" s="11"/>
      <c r="H11" s="3"/>
      <c r="I11" s="11"/>
      <c r="J11" s="11"/>
      <c r="K11" s="11"/>
      <c r="L11" s="11"/>
      <c r="M11" s="15"/>
      <c r="N11" s="6"/>
      <c r="O11" s="6"/>
      <c r="P11" s="6"/>
      <c r="Q11" s="76">
        <v>12</v>
      </c>
      <c r="R11" s="78">
        <v>0.9</v>
      </c>
      <c r="S11" s="78">
        <v>1.8657780659795877</v>
      </c>
      <c r="T11" s="78">
        <v>0</v>
      </c>
      <c r="U11" s="78"/>
      <c r="V11" s="78"/>
      <c r="W11" s="78"/>
      <c r="X11" s="78"/>
      <c r="Y11" s="197">
        <f t="shared" si="2"/>
        <v>0.9</v>
      </c>
      <c r="Z11" s="142">
        <f t="shared" si="3"/>
        <v>0</v>
      </c>
      <c r="AA11" s="4" t="e">
        <f t="shared" si="4"/>
        <v>#VALUE!</v>
      </c>
      <c r="AB11" s="4" t="str">
        <f t="shared" si="5"/>
        <v/>
      </c>
      <c r="AC11" s="4" t="str">
        <f t="shared" si="6"/>
        <v/>
      </c>
      <c r="AD11" s="143" t="str">
        <f t="shared" si="7"/>
        <v/>
      </c>
      <c r="AE11" s="4" t="e">
        <f t="shared" ref="AE11:AE14" si="10">AA11*0.9</f>
        <v>#VALUE!</v>
      </c>
      <c r="AF11" s="4" t="e">
        <f t="shared" si="1"/>
        <v>#VALUE!</v>
      </c>
      <c r="AG11" s="4" t="e">
        <f t="shared" si="8"/>
        <v>#VALUE!</v>
      </c>
      <c r="AH11" s="4"/>
      <c r="AI11" s="4"/>
      <c r="AJ11" s="4"/>
      <c r="AK11" s="4"/>
      <c r="AL11" s="4"/>
      <c r="AM11" s="4"/>
      <c r="AN11" s="4"/>
      <c r="AO11" s="4"/>
      <c r="AP11" s="144">
        <f>IFERROR(VLOOKUP($B11,#REF!,2,0),0)</f>
        <v>0</v>
      </c>
      <c r="AQ11" s="144" t="str">
        <f>IFERROR(VLOOKUP($B11,#REF!,3,0),"")</f>
        <v/>
      </c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144"/>
      <c r="BI11" s="144"/>
      <c r="BJ11" s="4"/>
      <c r="BK11" s="4"/>
    </row>
    <row r="12" spans="1:63" s="25" customFormat="1">
      <c r="A12" s="362"/>
      <c r="B12" s="21" t="s">
        <v>197</v>
      </c>
      <c r="C12" s="3"/>
      <c r="D12" s="11"/>
      <c r="E12" s="11"/>
      <c r="F12" s="11"/>
      <c r="G12" s="11"/>
      <c r="H12" s="3"/>
      <c r="I12" s="11"/>
      <c r="J12" s="11"/>
      <c r="K12" s="11"/>
      <c r="L12" s="11"/>
      <c r="M12" s="15"/>
      <c r="N12" s="6"/>
      <c r="O12" s="6"/>
      <c r="P12" s="6"/>
      <c r="Q12" s="76">
        <v>12</v>
      </c>
      <c r="R12" s="78">
        <v>0.62750000000000006</v>
      </c>
      <c r="S12" s="78">
        <v>1.1081458722858801</v>
      </c>
      <c r="T12" s="78">
        <v>0.14685412771411993</v>
      </c>
      <c r="U12" s="78"/>
      <c r="V12" s="78"/>
      <c r="W12" s="78"/>
      <c r="X12" s="78"/>
      <c r="Y12" s="197">
        <f t="shared" si="2"/>
        <v>0.62750000000000006</v>
      </c>
      <c r="Z12" s="142">
        <f t="shared" si="3"/>
        <v>0</v>
      </c>
      <c r="AA12" s="4" t="e">
        <f t="shared" si="4"/>
        <v>#VALUE!</v>
      </c>
      <c r="AB12" s="4" t="str">
        <f t="shared" si="5"/>
        <v/>
      </c>
      <c r="AC12" s="4" t="str">
        <f t="shared" si="6"/>
        <v/>
      </c>
      <c r="AD12" s="143" t="str">
        <f t="shared" si="7"/>
        <v/>
      </c>
      <c r="AE12" s="4" t="e">
        <f t="shared" si="10"/>
        <v>#VALUE!</v>
      </c>
      <c r="AF12" s="4" t="e">
        <f t="shared" si="1"/>
        <v>#VALUE!</v>
      </c>
      <c r="AG12" s="4" t="e">
        <f t="shared" si="8"/>
        <v>#VALUE!</v>
      </c>
      <c r="AH12" s="4"/>
      <c r="AI12" s="4"/>
      <c r="AJ12" s="4"/>
      <c r="AK12" s="4"/>
      <c r="AL12" s="4"/>
      <c r="AM12" s="4"/>
      <c r="AN12" s="4"/>
      <c r="AO12" s="4"/>
      <c r="AP12" s="144">
        <f>IFERROR(VLOOKUP($B12,#REF!,2,0),0)</f>
        <v>0</v>
      </c>
      <c r="AQ12" s="144" t="str">
        <f>IFERROR(VLOOKUP($B12,#REF!,3,0),"")</f>
        <v/>
      </c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144"/>
      <c r="BI12" s="144"/>
      <c r="BJ12" s="4"/>
      <c r="BK12" s="4"/>
    </row>
    <row r="13" spans="1:63" s="25" customFormat="1">
      <c r="A13" s="362"/>
      <c r="B13" s="21" t="s">
        <v>198</v>
      </c>
      <c r="C13" s="3"/>
      <c r="D13" s="11"/>
      <c r="E13" s="11"/>
      <c r="F13" s="11"/>
      <c r="G13" s="11"/>
      <c r="H13" s="3"/>
      <c r="I13" s="11"/>
      <c r="J13" s="11"/>
      <c r="K13" s="11"/>
      <c r="L13" s="11"/>
      <c r="M13" s="15"/>
      <c r="N13" s="6"/>
      <c r="O13" s="6"/>
      <c r="P13" s="6"/>
      <c r="Q13" s="76">
        <v>12</v>
      </c>
      <c r="R13" s="78">
        <v>0</v>
      </c>
      <c r="S13" s="78">
        <v>0</v>
      </c>
      <c r="T13" s="78">
        <v>0</v>
      </c>
      <c r="U13" s="78"/>
      <c r="V13" s="78"/>
      <c r="W13" s="78"/>
      <c r="X13" s="78"/>
      <c r="Y13" s="197">
        <f t="shared" si="2"/>
        <v>0</v>
      </c>
      <c r="Z13" s="142">
        <f t="shared" si="3"/>
        <v>0</v>
      </c>
      <c r="AA13" s="4" t="e">
        <f t="shared" si="4"/>
        <v>#VALUE!</v>
      </c>
      <c r="AB13" s="4" t="str">
        <f t="shared" si="5"/>
        <v/>
      </c>
      <c r="AC13" s="4" t="str">
        <f t="shared" si="6"/>
        <v/>
      </c>
      <c r="AD13" s="143" t="str">
        <f t="shared" si="7"/>
        <v/>
      </c>
      <c r="AE13" s="4" t="e">
        <f t="shared" si="10"/>
        <v>#VALUE!</v>
      </c>
      <c r="AF13" s="4" t="e">
        <f t="shared" si="1"/>
        <v>#VALUE!</v>
      </c>
      <c r="AG13" s="4" t="e">
        <f t="shared" si="8"/>
        <v>#VALUE!</v>
      </c>
      <c r="AH13" s="4"/>
      <c r="AI13" s="4"/>
      <c r="AJ13" s="4"/>
      <c r="AK13" s="4"/>
      <c r="AL13" s="4"/>
      <c r="AM13" s="4"/>
      <c r="AN13" s="4"/>
      <c r="AO13" s="4"/>
      <c r="AP13" s="144">
        <f>IFERROR(VLOOKUP($B13,#REF!,2,0),0)</f>
        <v>0</v>
      </c>
      <c r="AQ13" s="144" t="str">
        <f>IFERROR(VLOOKUP($B13,#REF!,3,0),"")</f>
        <v/>
      </c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144"/>
      <c r="BI13" s="144"/>
      <c r="BJ13" s="4"/>
      <c r="BK13" s="4"/>
    </row>
    <row r="14" spans="1:63" s="25" customFormat="1">
      <c r="A14" s="362"/>
      <c r="B14" s="21" t="s">
        <v>199</v>
      </c>
      <c r="C14" s="3"/>
      <c r="D14" s="11"/>
      <c r="E14" s="11"/>
      <c r="F14" s="11"/>
      <c r="G14" s="11"/>
      <c r="H14" s="3"/>
      <c r="I14" s="11"/>
      <c r="J14" s="11"/>
      <c r="K14" s="11"/>
      <c r="L14" s="11"/>
      <c r="M14" s="15"/>
      <c r="N14" s="6"/>
      <c r="O14" s="6"/>
      <c r="P14" s="6"/>
      <c r="Q14" s="76">
        <v>12</v>
      </c>
      <c r="R14" s="78">
        <v>0</v>
      </c>
      <c r="S14" s="78">
        <v>0</v>
      </c>
      <c r="T14" s="78">
        <v>0</v>
      </c>
      <c r="U14" s="76">
        <v>8</v>
      </c>
      <c r="V14" s="112">
        <v>7.5750000000000002</v>
      </c>
      <c r="W14" s="112">
        <v>18.883751352066113</v>
      </c>
      <c r="X14" s="112">
        <v>0</v>
      </c>
      <c r="Y14" s="197">
        <f t="shared" si="2"/>
        <v>3.0300000000000002</v>
      </c>
      <c r="Z14" s="142"/>
      <c r="AA14" s="4"/>
      <c r="AB14" s="4" t="str">
        <f t="shared" si="5"/>
        <v/>
      </c>
      <c r="AC14" s="4" t="str">
        <f t="shared" si="6"/>
        <v/>
      </c>
      <c r="AD14" s="143" t="str">
        <f t="shared" si="7"/>
        <v/>
      </c>
      <c r="AE14" s="4">
        <f t="shared" si="10"/>
        <v>0</v>
      </c>
      <c r="AF14" s="4" t="e">
        <f t="shared" si="1"/>
        <v>#VALUE!</v>
      </c>
      <c r="AG14" s="4" t="e">
        <f t="shared" si="8"/>
        <v>#VALUE!</v>
      </c>
      <c r="AH14" s="4"/>
      <c r="AI14" s="4"/>
      <c r="AJ14" s="4"/>
      <c r="AK14" s="4"/>
      <c r="AL14" s="4"/>
      <c r="AM14" s="4"/>
      <c r="AN14" s="4"/>
      <c r="AO14" s="4"/>
      <c r="AP14" s="144"/>
      <c r="AQ14" s="14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144"/>
      <c r="BI14" s="144"/>
      <c r="BJ14" s="4"/>
      <c r="BK14" s="4"/>
    </row>
    <row r="15" spans="1:63">
      <c r="A15" s="130"/>
      <c r="B15" s="21" t="s">
        <v>163</v>
      </c>
      <c r="C15" s="30"/>
      <c r="D15" s="29"/>
      <c r="E15" s="29"/>
      <c r="F15" s="29"/>
      <c r="G15" s="29"/>
      <c r="H15" s="30"/>
      <c r="I15" s="35"/>
      <c r="J15" s="35"/>
      <c r="K15" s="35"/>
      <c r="L15" s="35"/>
      <c r="M15" s="15">
        <v>16</v>
      </c>
      <c r="N15" s="23">
        <v>4.0639863443707999E-2</v>
      </c>
      <c r="O15" s="23">
        <v>0.12599285170365501</v>
      </c>
      <c r="P15" s="23">
        <v>0</v>
      </c>
      <c r="Q15" s="79">
        <v>12</v>
      </c>
      <c r="R15" s="80">
        <v>2.9588383897462742E-2</v>
      </c>
      <c r="S15" s="80">
        <v>6.0245904306374873E-2</v>
      </c>
      <c r="T15" s="80">
        <v>0</v>
      </c>
      <c r="U15" s="113">
        <v>37</v>
      </c>
      <c r="V15" s="114">
        <v>0.35135135135135137</v>
      </c>
      <c r="W15" s="114">
        <v>2.0545544810164249</v>
      </c>
      <c r="X15" s="114">
        <v>0</v>
      </c>
      <c r="Y15" s="198">
        <f t="shared" si="2"/>
        <v>0.27255225728101129</v>
      </c>
      <c r="Z15" s="142">
        <f t="shared" si="3"/>
        <v>0</v>
      </c>
      <c r="AA15" s="23" t="e">
        <f t="shared" si="4"/>
        <v>#VALUE!</v>
      </c>
      <c r="AB15" s="4" t="str">
        <f t="shared" si="5"/>
        <v/>
      </c>
      <c r="AC15" s="4" t="str">
        <f t="shared" si="6"/>
        <v/>
      </c>
      <c r="AD15" s="143" t="str">
        <f t="shared" si="7"/>
        <v/>
      </c>
      <c r="AE15" s="23" t="str">
        <f t="shared" ref="AE15" si="11">IFERROR(IF(AA15*1.1&gt;100%,100%,AA15*1.1),"")</f>
        <v/>
      </c>
      <c r="AF15" s="4" t="e">
        <f t="shared" si="1"/>
        <v>#VALUE!</v>
      </c>
      <c r="AG15" s="4" t="e">
        <f t="shared" si="8"/>
        <v>#VALUE!</v>
      </c>
      <c r="AH15" s="4"/>
      <c r="AI15" s="4"/>
      <c r="AJ15" s="5"/>
      <c r="AK15" s="5"/>
      <c r="AL15" s="5"/>
      <c r="AM15" s="5"/>
      <c r="AN15" s="5"/>
      <c r="AO15" s="5"/>
      <c r="AP15" s="144">
        <f>IFERROR(VLOOKUP($B15,#REF!,2,0),0)</f>
        <v>0</v>
      </c>
      <c r="AQ15" s="144" t="str">
        <f>IFERROR(VLOOKUP($B15,#REF!,3,0),"")</f>
        <v/>
      </c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144"/>
      <c r="BI15" s="144"/>
      <c r="BJ15" s="5"/>
      <c r="BK15" s="5"/>
    </row>
  </sheetData>
  <autoFilter ref="AH1:AH15"/>
  <mergeCells count="24">
    <mergeCell ref="M1:P1"/>
    <mergeCell ref="Q1:T1"/>
    <mergeCell ref="U1:X1"/>
    <mergeCell ref="A3:A4"/>
    <mergeCell ref="A5:A14"/>
    <mergeCell ref="A1:B2"/>
    <mergeCell ref="C1:G1"/>
    <mergeCell ref="H1:L1"/>
    <mergeCell ref="Z1:AD1"/>
    <mergeCell ref="AJ1:AK1"/>
    <mergeCell ref="AL1:AM1"/>
    <mergeCell ref="AN1:AO1"/>
    <mergeCell ref="AP1:AQ1"/>
    <mergeCell ref="AE1:AG1"/>
    <mergeCell ref="AR1:AS1"/>
    <mergeCell ref="AT1:AU1"/>
    <mergeCell ref="AV1:AW1"/>
    <mergeCell ref="AX1:AY1"/>
    <mergeCell ref="AZ1:BA1"/>
    <mergeCell ref="BB1:BC1"/>
    <mergeCell ref="BD1:BE1"/>
    <mergeCell ref="BF1:BG1"/>
    <mergeCell ref="BH1:BI1"/>
    <mergeCell ref="BJ1:BK1"/>
  </mergeCells>
  <phoneticPr fontId="26" type="noConversion"/>
  <pageMargins left="0.74791666666666701" right="0.74791666666666701" top="0.98402777777777795" bottom="0.98402777777777795" header="0.51180555555555596" footer="0.51180555555555596"/>
  <pageSetup paperSize="9" orientation="portrait"/>
  <headerFooter alignWithMargins="0">
    <oddHeader>&amp;L&amp;G&amp;C&amp;F&amp;R文档密级</oddHeader>
    <oddFooter>&amp;L&amp;D&amp;C华为保密信息,未经授权禁止扩散&amp;R第&amp;P页，共&amp;N页</oddFooter>
  </headerFooter>
  <legacyDrawingHF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rgb="FF0070C0"/>
  </sheetPr>
  <dimension ref="A1:AI43"/>
  <sheetViews>
    <sheetView tabSelected="1" workbookViewId="0">
      <pane xSplit="7" ySplit="2" topLeftCell="H3" activePane="bottomRight" state="frozen"/>
      <selection pane="topRight" activeCell="H1" sqref="H1"/>
      <selection pane="bottomLeft" activeCell="A3" sqref="A3"/>
      <selection pane="bottomRight" activeCell="C1" sqref="C1:G1"/>
    </sheetView>
  </sheetViews>
  <sheetFormatPr defaultColWidth="9" defaultRowHeight="14.25"/>
  <cols>
    <col min="1" max="1" width="13.375" style="26" customWidth="1"/>
    <col min="2" max="2" width="35.125" style="26" customWidth="1"/>
    <col min="3" max="3" width="9" style="26"/>
    <col min="4" max="4" width="13.125" style="26" bestFit="1" customWidth="1"/>
    <col min="5" max="16384" width="9" style="26"/>
  </cols>
  <sheetData>
    <row r="1" spans="1:35" ht="34.5" customHeight="1">
      <c r="A1" s="370" t="s">
        <v>232</v>
      </c>
      <c r="B1" s="371"/>
      <c r="C1" s="372" t="s">
        <v>491</v>
      </c>
      <c r="D1" s="373"/>
      <c r="E1" s="373"/>
      <c r="F1" s="373"/>
      <c r="G1" s="374"/>
      <c r="H1" s="375">
        <v>2012</v>
      </c>
      <c r="I1" s="363"/>
      <c r="J1" s="363" t="s">
        <v>363</v>
      </c>
      <c r="K1" s="363"/>
      <c r="L1" s="363" t="s">
        <v>364</v>
      </c>
      <c r="M1" s="363"/>
      <c r="N1" s="363" t="s">
        <v>365</v>
      </c>
      <c r="O1" s="363"/>
      <c r="P1" s="363" t="s">
        <v>366</v>
      </c>
      <c r="Q1" s="363"/>
      <c r="R1" s="363" t="s">
        <v>367</v>
      </c>
      <c r="S1" s="363"/>
      <c r="T1" s="363" t="s">
        <v>368</v>
      </c>
      <c r="U1" s="363"/>
      <c r="V1" s="363" t="s">
        <v>369</v>
      </c>
      <c r="W1" s="363"/>
      <c r="X1" s="363" t="s">
        <v>370</v>
      </c>
      <c r="Y1" s="363"/>
      <c r="Z1" s="363" t="s">
        <v>371</v>
      </c>
      <c r="AA1" s="363"/>
      <c r="AB1" s="363" t="s">
        <v>372</v>
      </c>
      <c r="AC1" s="363"/>
      <c r="AD1" s="363" t="s">
        <v>373</v>
      </c>
      <c r="AE1" s="363"/>
      <c r="AF1" s="363" t="s">
        <v>374</v>
      </c>
      <c r="AG1" s="363"/>
      <c r="AH1" s="363" t="s">
        <v>375</v>
      </c>
      <c r="AI1" s="363"/>
    </row>
    <row r="2" spans="1:35" s="85" customFormat="1" ht="14.25" customHeight="1">
      <c r="A2" s="370"/>
      <c r="B2" s="371"/>
      <c r="C2" s="140" t="s">
        <v>338</v>
      </c>
      <c r="D2" s="122" t="s">
        <v>361</v>
      </c>
      <c r="E2" s="122" t="s">
        <v>360</v>
      </c>
      <c r="F2" s="122" t="s">
        <v>2</v>
      </c>
      <c r="G2" s="141" t="s">
        <v>3</v>
      </c>
      <c r="H2" s="146" t="s">
        <v>338</v>
      </c>
      <c r="I2" s="147" t="s">
        <v>361</v>
      </c>
      <c r="J2" s="147" t="s">
        <v>338</v>
      </c>
      <c r="K2" s="147" t="s">
        <v>361</v>
      </c>
      <c r="L2" s="147" t="s">
        <v>338</v>
      </c>
      <c r="M2" s="147" t="s">
        <v>361</v>
      </c>
      <c r="N2" s="147" t="s">
        <v>338</v>
      </c>
      <c r="O2" s="147" t="s">
        <v>361</v>
      </c>
      <c r="P2" s="147" t="s">
        <v>338</v>
      </c>
      <c r="Q2" s="147" t="s">
        <v>361</v>
      </c>
      <c r="R2" s="147" t="s">
        <v>338</v>
      </c>
      <c r="S2" s="147" t="s">
        <v>361</v>
      </c>
      <c r="T2" s="147" t="s">
        <v>338</v>
      </c>
      <c r="U2" s="147" t="s">
        <v>361</v>
      </c>
      <c r="V2" s="147" t="s">
        <v>338</v>
      </c>
      <c r="W2" s="147" t="s">
        <v>361</v>
      </c>
      <c r="X2" s="147" t="s">
        <v>338</v>
      </c>
      <c r="Y2" s="147" t="s">
        <v>361</v>
      </c>
      <c r="Z2" s="147" t="s">
        <v>338</v>
      </c>
      <c r="AA2" s="147" t="s">
        <v>361</v>
      </c>
      <c r="AB2" s="147" t="s">
        <v>338</v>
      </c>
      <c r="AC2" s="147" t="s">
        <v>361</v>
      </c>
      <c r="AD2" s="147" t="s">
        <v>338</v>
      </c>
      <c r="AE2" s="147" t="s">
        <v>361</v>
      </c>
      <c r="AF2" s="147" t="s">
        <v>338</v>
      </c>
      <c r="AG2" s="147" t="s">
        <v>361</v>
      </c>
      <c r="AH2" s="147" t="s">
        <v>338</v>
      </c>
      <c r="AI2" s="147" t="s">
        <v>361</v>
      </c>
    </row>
    <row r="3" spans="1:35" s="85" customFormat="1" ht="21.75" customHeight="1">
      <c r="A3" s="368" t="s">
        <v>212</v>
      </c>
      <c r="B3" s="137" t="s">
        <v>378</v>
      </c>
      <c r="C3" s="232">
        <f>SUM(H3+J3+L3+N3+P3+R3+T3+V3+X3+Z3+AB3+AD3+AF3+AH3)</f>
        <v>125</v>
      </c>
      <c r="D3" s="132" t="e">
        <f>(H3*I3+J3*K3+L3*M3+N3*O3+P3*Q3+R3*S3+T3*U3+V3*W3+X3*Y3+Z3*AA3+AB3*AC3+AD3*AE3+AF3*AG3+AH3*AI3)/C3</f>
        <v>#VALUE!</v>
      </c>
      <c r="E3" s="132">
        <f>IFERROR(STDEV(I3,K3,M3,O3,Q3,S3,U3,W3,Y3,AA3,AC3,AE3,AG3,AI3),"")</f>
        <v>3.5497758367459151</v>
      </c>
      <c r="F3" s="132" t="str">
        <f>IFERROR(IF(E3&lt;D3*0.1,D3+3*E3,D3+E3),"")</f>
        <v/>
      </c>
      <c r="G3" s="231" t="str">
        <f>IFERROR(IF(E3&lt;D3*0.1,MAX(D3-3*E3,0),MAX(D3-E3,0)),"")</f>
        <v/>
      </c>
      <c r="H3" s="144">
        <f>IFERROR(VLOOKUP($B3,'2012'!$B:$Q,12,0),0)</f>
        <v>32</v>
      </c>
      <c r="I3" s="144">
        <f>IFERROR(VLOOKUP($B3,'2012'!$B:$Q,13,0),"")</f>
        <v>28.966415868289623</v>
      </c>
      <c r="J3" s="144">
        <f>IFERROR(VLOOKUP($B3,#REF!,2,0),0)</f>
        <v>0</v>
      </c>
      <c r="K3" s="144" t="str">
        <f>IFERROR(VLOOKUP($B3,#REF!,3,0),"")</f>
        <v/>
      </c>
      <c r="L3" s="144">
        <f>IFERROR(VLOOKUP($B3,#REF!,2,0),0)</f>
        <v>0</v>
      </c>
      <c r="M3" s="144" t="str">
        <f>IFERROR(VLOOKUP($B3,#REF!,3,0),"")</f>
        <v/>
      </c>
      <c r="N3" s="144">
        <f>IFERROR(VLOOKUP($B3,#REF!,2,0),0)</f>
        <v>0</v>
      </c>
      <c r="O3" s="144" t="str">
        <f>IFERROR(VLOOKUP($B3,#REF!,3,0),"")</f>
        <v/>
      </c>
      <c r="P3" s="144"/>
      <c r="Q3" s="144"/>
      <c r="R3" s="144"/>
      <c r="S3" s="144"/>
      <c r="T3" s="144">
        <f>IFERROR(VLOOKUP($B3,#REF!,2,0),0)</f>
        <v>0</v>
      </c>
      <c r="U3" s="144" t="str">
        <f>IFERROR(VLOOKUP($B3,#REF!,3,0),"")</f>
        <v/>
      </c>
      <c r="V3" s="144">
        <f>IFERROR(VLOOKUP($B3,#REF!,12,0),0)</f>
        <v>0</v>
      </c>
      <c r="W3" s="144" t="str">
        <f>IFERROR(VLOOKUP($B3,#REF!,13,0),"")</f>
        <v/>
      </c>
      <c r="X3" s="144">
        <f>IFERROR(VLOOKUP($B3,#REF!,12,0),0)</f>
        <v>0</v>
      </c>
      <c r="Y3" s="144" t="str">
        <f>IFERROR(VLOOKUP($B3,#REF!,13,0),"")</f>
        <v/>
      </c>
      <c r="Z3" s="144">
        <f>IFERROR(VLOOKUP($B3,#REF!,12,0),0)</f>
        <v>0</v>
      </c>
      <c r="AA3" s="144" t="str">
        <f>IFERROR(VLOOKUP($B3,#REF!,13,0),"")</f>
        <v/>
      </c>
      <c r="AB3" s="144"/>
      <c r="AC3" s="144"/>
      <c r="AD3" s="144">
        <f>IFERROR(VLOOKUP($B3,#REF!,12,0),0)</f>
        <v>0</v>
      </c>
      <c r="AE3" s="144" t="str">
        <f>IFERROR(VLOOKUP($B3,#REF!,13,0),"")</f>
        <v/>
      </c>
      <c r="AF3" s="229">
        <v>93</v>
      </c>
      <c r="AG3" s="229">
        <v>33.986556999999998</v>
      </c>
      <c r="AH3" s="144">
        <f>IFERROR(VLOOKUP($B3,#REF!,12,0),0)</f>
        <v>0</v>
      </c>
      <c r="AI3" s="144" t="str">
        <f>IFERROR(VLOOKUP($B3,#REF!,13,0),"")</f>
        <v/>
      </c>
    </row>
    <row r="4" spans="1:35" s="85" customFormat="1" ht="15.75" customHeight="1">
      <c r="A4" s="368"/>
      <c r="B4" s="138" t="s">
        <v>376</v>
      </c>
      <c r="C4" s="232">
        <f t="shared" ref="C4:C43" si="0">SUM(H4+J4+L4+N4+P4+R4+T4+V4+X4+Z4+AB4+AD4+AF4+AH4)</f>
        <v>81</v>
      </c>
      <c r="D4" s="4" t="e">
        <f t="shared" ref="D4:D43" si="1">(H4*I4+J4*K4+L4*M4+N4*O4+P4*Q4+R4*S4+T4*U4+V4*W4+X4*Y4+Z4*AA4+AB4*AC4+AD4*AE4+AF4*AG4+AH4*AI4)/C4</f>
        <v>#VALUE!</v>
      </c>
      <c r="E4" s="4">
        <f t="shared" ref="E4:E43" si="2">IFERROR(STDEV(I4,K4,M4,O4,Q4,S4,U4,W4,Y4,AA4,AC4,AE4,AG4,AI4),"")</f>
        <v>7.2213847543684935</v>
      </c>
      <c r="F4" s="4" t="str">
        <f>IFERROR(IF(E4&lt;D4*0.1,D4+3*E4,D4+E4),"")</f>
        <v/>
      </c>
      <c r="G4" s="143" t="str">
        <f>IFERROR(IF(E4&lt;D4*0.1,MAX(D4-3*E4,0),MAX(D4-E4,0)),"")</f>
        <v/>
      </c>
      <c r="H4" s="144">
        <f>IFERROR(VLOOKUP($B4,'2012'!$B:$Q,12,0),0)</f>
        <v>23</v>
      </c>
      <c r="I4" s="144">
        <f>IFERROR(VLOOKUP($B4,'2012'!$B:$Q,13,0),"")</f>
        <v>53.832492258742221</v>
      </c>
      <c r="J4" s="144">
        <f>IFERROR(VLOOKUP($B4,#REF!,2,0),0)</f>
        <v>0</v>
      </c>
      <c r="K4" s="144" t="str">
        <f>IFERROR(VLOOKUP($B4,#REF!,3,0),"")</f>
        <v/>
      </c>
      <c r="L4" s="144"/>
      <c r="M4" s="144"/>
      <c r="N4" s="144">
        <f>IFERROR(VLOOKUP($B4,#REF!,2,0),0)</f>
        <v>0</v>
      </c>
      <c r="O4" s="144" t="str">
        <f>IFERROR(VLOOKUP($B4,#REF!,3,0),"")</f>
        <v/>
      </c>
      <c r="P4" s="144"/>
      <c r="Q4" s="144"/>
      <c r="R4" s="144"/>
      <c r="S4" s="144"/>
      <c r="T4" s="144"/>
      <c r="U4" s="144"/>
      <c r="V4" s="144">
        <f>IFERROR(VLOOKUP($B4,#REF!,12,0),0)</f>
        <v>0</v>
      </c>
      <c r="W4" s="144" t="str">
        <f>IFERROR(VLOOKUP($B4,#REF!,13,0),"")</f>
        <v/>
      </c>
      <c r="X4" s="144"/>
      <c r="Y4" s="144"/>
      <c r="Z4" s="144">
        <f>IFERROR(VLOOKUP($B4,#REF!,12,0),0)</f>
        <v>0</v>
      </c>
      <c r="AA4" s="144" t="str">
        <f>IFERROR(VLOOKUP($B4,#REF!,13,0),"")</f>
        <v/>
      </c>
      <c r="AB4" s="4"/>
      <c r="AC4" s="144"/>
      <c r="AD4" s="144">
        <f>IFERROR(VLOOKUP($B4,#REF!,12,0),0)</f>
        <v>0</v>
      </c>
      <c r="AE4" s="144" t="str">
        <f>IFERROR(VLOOKUP($B4,#REF!,13,0),"")</f>
        <v/>
      </c>
      <c r="AF4" s="229">
        <v>58</v>
      </c>
      <c r="AG4" s="229">
        <v>43.619911999999999</v>
      </c>
      <c r="AH4" s="144"/>
      <c r="AI4" s="144"/>
    </row>
    <row r="5" spans="1:35" s="85" customFormat="1" ht="29.25" customHeight="1">
      <c r="A5" s="368"/>
      <c r="B5" s="138" t="s">
        <v>379</v>
      </c>
      <c r="C5" s="232">
        <f t="shared" si="0"/>
        <v>40</v>
      </c>
      <c r="D5" s="4" t="e">
        <f t="shared" si="1"/>
        <v>#VALUE!</v>
      </c>
      <c r="E5" s="4">
        <f t="shared" si="2"/>
        <v>1.0739347521038851</v>
      </c>
      <c r="F5" s="4" t="str">
        <f t="shared" ref="F5:F43" si="3">IFERROR(IF(E5&lt;D5*0.1,D5+3*E5,D5+E5),"")</f>
        <v/>
      </c>
      <c r="G5" s="143" t="str">
        <f t="shared" ref="G5:G43" si="4">IFERROR(IF(E5&lt;D5*0.1,MAX(D5-3*E5,0),MAX(D5-E5,0)),"")</f>
        <v/>
      </c>
      <c r="H5" s="144">
        <f>IFERROR(VLOOKUP($B5,'2012'!$B:$Q,12,0),0)</f>
        <v>25</v>
      </c>
      <c r="I5" s="144">
        <f>IFERROR(VLOOKUP($B5,'2012'!$B:$Q,13,0),"")</f>
        <v>1.6087730915291019</v>
      </c>
      <c r="J5" s="144">
        <f>IFERROR(VLOOKUP($B5,#REF!,2,0),0)</f>
        <v>0</v>
      </c>
      <c r="K5" s="144" t="str">
        <f>IFERROR(VLOOKUP($B5,#REF!,3,0),"")</f>
        <v/>
      </c>
      <c r="L5" s="144"/>
      <c r="M5" s="144"/>
      <c r="N5" s="144"/>
      <c r="O5" s="144"/>
      <c r="P5" s="144"/>
      <c r="Q5" s="144"/>
      <c r="R5" s="144"/>
      <c r="S5" s="144"/>
      <c r="T5" s="144"/>
      <c r="U5" s="144"/>
      <c r="V5" s="144"/>
      <c r="W5" s="144"/>
      <c r="X5" s="144"/>
      <c r="Y5" s="144"/>
      <c r="Z5" s="144">
        <f>IFERROR(VLOOKUP($B5,#REF!,12,0),0)</f>
        <v>0</v>
      </c>
      <c r="AA5" s="144" t="str">
        <f>IFERROR(VLOOKUP($B5,#REF!,13,0),"")</f>
        <v/>
      </c>
      <c r="AB5" s="4"/>
      <c r="AC5" s="144"/>
      <c r="AD5" s="144"/>
      <c r="AE5" s="144"/>
      <c r="AF5" s="229">
        <v>15</v>
      </c>
      <c r="AG5" s="230">
        <v>0.09</v>
      </c>
      <c r="AH5" s="144"/>
      <c r="AI5" s="144"/>
    </row>
    <row r="6" spans="1:35" s="85" customFormat="1" ht="25.5" customHeight="1">
      <c r="A6" s="368"/>
      <c r="B6" s="138" t="s">
        <v>233</v>
      </c>
      <c r="C6" s="232">
        <f t="shared" si="0"/>
        <v>11</v>
      </c>
      <c r="D6" s="4" t="e">
        <f t="shared" si="1"/>
        <v>#VALUE!</v>
      </c>
      <c r="E6" s="4" t="str">
        <f t="shared" si="2"/>
        <v/>
      </c>
      <c r="F6" s="4" t="str">
        <f t="shared" si="3"/>
        <v/>
      </c>
      <c r="G6" s="143" t="str">
        <f t="shared" si="4"/>
        <v/>
      </c>
      <c r="H6" s="144"/>
      <c r="I6" s="144"/>
      <c r="J6" s="144">
        <f>IFERROR(VLOOKUP($B6,#REF!,2,0),0)</f>
        <v>0</v>
      </c>
      <c r="K6" s="144" t="str">
        <f>IFERROR(VLOOKUP($B6,#REF!,3,0),"")</f>
        <v/>
      </c>
      <c r="L6" s="144"/>
      <c r="M6" s="144"/>
      <c r="N6" s="144"/>
      <c r="O6" s="144"/>
      <c r="P6" s="144"/>
      <c r="Q6" s="144"/>
      <c r="R6" s="144"/>
      <c r="S6" s="144"/>
      <c r="T6" s="144"/>
      <c r="U6" s="144"/>
      <c r="V6" s="144"/>
      <c r="W6" s="144"/>
      <c r="X6" s="144"/>
      <c r="Y6" s="144"/>
      <c r="Z6" s="144">
        <f>IFERROR(VLOOKUP($B6,#REF!,12,0),0)</f>
        <v>0</v>
      </c>
      <c r="AA6" s="144" t="str">
        <f>IFERROR(VLOOKUP($B6,#REF!,13,0),"")</f>
        <v/>
      </c>
      <c r="AB6" s="4"/>
      <c r="AC6" s="144"/>
      <c r="AD6" s="144"/>
      <c r="AE6" s="144"/>
      <c r="AF6" s="229">
        <v>11</v>
      </c>
      <c r="AG6" s="230">
        <v>0.15678710000000001</v>
      </c>
      <c r="AH6" s="144"/>
      <c r="AI6" s="144"/>
    </row>
    <row r="7" spans="1:35" s="85" customFormat="1" ht="19.5" customHeight="1">
      <c r="A7" s="368"/>
      <c r="B7" s="138" t="s">
        <v>203</v>
      </c>
      <c r="C7" s="232">
        <f t="shared" si="0"/>
        <v>23</v>
      </c>
      <c r="D7" s="4" t="e">
        <f t="shared" si="1"/>
        <v>#VALUE!</v>
      </c>
      <c r="E7" s="4" t="str">
        <f t="shared" si="2"/>
        <v/>
      </c>
      <c r="F7" s="4" t="str">
        <f t="shared" si="3"/>
        <v/>
      </c>
      <c r="G7" s="143" t="str">
        <f t="shared" si="4"/>
        <v/>
      </c>
      <c r="H7" s="144">
        <f>IFERROR(VLOOKUP($B7,'2012'!$B:$Q,12,0),0)</f>
        <v>23</v>
      </c>
      <c r="I7" s="144">
        <f>IFERROR(VLOOKUP($B7,'2012'!$B:$Q,13,0),"")</f>
        <v>19.810823799014152</v>
      </c>
      <c r="J7" s="144">
        <f>IFERROR(VLOOKUP($B7,#REF!,2,0),0)</f>
        <v>0</v>
      </c>
      <c r="K7" s="144" t="str">
        <f>IFERROR(VLOOKUP($B7,#REF!,3,0),"")</f>
        <v/>
      </c>
      <c r="L7" s="144"/>
      <c r="M7" s="144"/>
      <c r="N7" s="144">
        <f>IFERROR(VLOOKUP($B7,#REF!,2,0),0)</f>
        <v>0</v>
      </c>
      <c r="O7" s="144" t="str">
        <f>IFERROR(VLOOKUP($B7,#REF!,3,0),"")</f>
        <v/>
      </c>
      <c r="P7" s="144"/>
      <c r="Q7" s="144"/>
      <c r="R7" s="144"/>
      <c r="S7" s="144"/>
      <c r="T7" s="144"/>
      <c r="U7" s="144"/>
      <c r="V7" s="144"/>
      <c r="W7" s="144"/>
      <c r="X7" s="144"/>
      <c r="Y7" s="144"/>
      <c r="Z7" s="144"/>
      <c r="AA7" s="144"/>
      <c r="AB7" s="4"/>
      <c r="AC7" s="144"/>
      <c r="AD7" s="144">
        <f>IFERROR(VLOOKUP($B7,#REF!,12,0),0)</f>
        <v>0</v>
      </c>
      <c r="AE7" s="144" t="str">
        <f>IFERROR(VLOOKUP($B7,#REF!,13,0),"")</f>
        <v/>
      </c>
      <c r="AF7" s="229"/>
      <c r="AG7" s="229"/>
      <c r="AH7" s="144">
        <f>IFERROR(VLOOKUP($B7,#REF!,12,0),0)</f>
        <v>0</v>
      </c>
      <c r="AI7" s="144" t="str">
        <f>IFERROR(VLOOKUP($B7,#REF!,13,0),"")</f>
        <v/>
      </c>
    </row>
    <row r="8" spans="1:35" s="85" customFormat="1" ht="19.5" customHeight="1">
      <c r="A8" s="368"/>
      <c r="B8" s="138" t="s">
        <v>205</v>
      </c>
      <c r="C8" s="232">
        <f t="shared" si="0"/>
        <v>26</v>
      </c>
      <c r="D8" s="4" t="e">
        <f t="shared" si="1"/>
        <v>#VALUE!</v>
      </c>
      <c r="E8" s="4" t="str">
        <f t="shared" si="2"/>
        <v/>
      </c>
      <c r="F8" s="4" t="str">
        <f t="shared" si="3"/>
        <v/>
      </c>
      <c r="G8" s="143" t="str">
        <f t="shared" si="4"/>
        <v/>
      </c>
      <c r="H8" s="144">
        <f>IFERROR(VLOOKUP($B8,'2012'!$B:$Q,12,0),0)</f>
        <v>26</v>
      </c>
      <c r="I8" s="144">
        <f>IFERROR(VLOOKUP($B8,'2012'!$B:$Q,13,0),"")</f>
        <v>24.466148883016611</v>
      </c>
      <c r="J8" s="144">
        <f>IFERROR(VLOOKUP($B8,#REF!,2,0),0)</f>
        <v>0</v>
      </c>
      <c r="K8" s="144" t="str">
        <f>IFERROR(VLOOKUP($B8,#REF!,3,0),"")</f>
        <v/>
      </c>
      <c r="L8" s="144"/>
      <c r="M8" s="144"/>
      <c r="N8" s="144">
        <f>IFERROR(VLOOKUP($B8,#REF!,2,0),0)</f>
        <v>0</v>
      </c>
      <c r="O8" s="144" t="str">
        <f>IFERROR(VLOOKUP($B8,#REF!,3,0),"")</f>
        <v/>
      </c>
      <c r="P8" s="144"/>
      <c r="Q8" s="144"/>
      <c r="R8" s="144"/>
      <c r="S8" s="144"/>
      <c r="T8" s="144"/>
      <c r="U8" s="144"/>
      <c r="V8" s="144"/>
      <c r="W8" s="144"/>
      <c r="X8" s="144"/>
      <c r="Y8" s="144"/>
      <c r="Z8" s="144"/>
      <c r="AA8" s="144"/>
      <c r="AB8" s="4"/>
      <c r="AC8" s="144"/>
      <c r="AD8" s="144">
        <f>IFERROR(VLOOKUP($B8,#REF!,12,0),0)</f>
        <v>0</v>
      </c>
      <c r="AE8" s="144" t="str">
        <f>IFERROR(VLOOKUP($B8,#REF!,13,0),"")</f>
        <v/>
      </c>
      <c r="AF8" s="229"/>
      <c r="AG8" s="229"/>
      <c r="AH8" s="144">
        <f>IFERROR(VLOOKUP($B8,#REF!,12,0),0)</f>
        <v>0</v>
      </c>
      <c r="AI8" s="144" t="str">
        <f>IFERROR(VLOOKUP($B8,#REF!,13,0),"")</f>
        <v/>
      </c>
    </row>
    <row r="9" spans="1:35" s="85" customFormat="1" ht="19.5" customHeight="1">
      <c r="A9" s="368"/>
      <c r="B9" s="138" t="s">
        <v>224</v>
      </c>
      <c r="C9" s="232">
        <f t="shared" si="0"/>
        <v>23</v>
      </c>
      <c r="D9" s="4" t="e">
        <f t="shared" si="1"/>
        <v>#VALUE!</v>
      </c>
      <c r="E9" s="4" t="str">
        <f t="shared" si="2"/>
        <v/>
      </c>
      <c r="F9" s="4" t="str">
        <f t="shared" si="3"/>
        <v/>
      </c>
      <c r="G9" s="143" t="str">
        <f t="shared" si="4"/>
        <v/>
      </c>
      <c r="H9" s="144">
        <f>IFERROR(VLOOKUP($B9,'2012'!$B:$Q,12,0),0)</f>
        <v>23</v>
      </c>
      <c r="I9" s="144">
        <f>IFERROR(VLOOKUP($B9,'2012'!$B:$Q,13,0),"")</f>
        <v>108.72056159420291</v>
      </c>
      <c r="J9" s="144">
        <f>IFERROR(VLOOKUP($B9,#REF!,2,0),0)</f>
        <v>0</v>
      </c>
      <c r="K9" s="144" t="str">
        <f>IFERROR(VLOOKUP($B9,#REF!,3,0),"")</f>
        <v/>
      </c>
      <c r="L9" s="144"/>
      <c r="M9" s="144"/>
      <c r="N9" s="144">
        <f>IFERROR(VLOOKUP($B9,#REF!,2,0),0)</f>
        <v>0</v>
      </c>
      <c r="O9" s="144" t="str">
        <f>IFERROR(VLOOKUP($B9,#REF!,3,0),"")</f>
        <v/>
      </c>
      <c r="P9" s="144"/>
      <c r="Q9" s="144"/>
      <c r="R9" s="144"/>
      <c r="S9" s="144"/>
      <c r="T9" s="144"/>
      <c r="U9" s="144"/>
      <c r="V9" s="144"/>
      <c r="W9" s="144"/>
      <c r="X9" s="144"/>
      <c r="Y9" s="144"/>
      <c r="Z9" s="144">
        <f>IFERROR(VLOOKUP($B9,#REF!,12,0),0)</f>
        <v>0</v>
      </c>
      <c r="AA9" s="144" t="str">
        <f>IFERROR(VLOOKUP($B9,#REF!,13,0),"")</f>
        <v/>
      </c>
      <c r="AB9" s="4"/>
      <c r="AC9" s="144"/>
      <c r="AD9" s="144">
        <f>IFERROR(VLOOKUP($B9,#REF!,12,0),0)</f>
        <v>0</v>
      </c>
      <c r="AE9" s="144" t="str">
        <f>IFERROR(VLOOKUP($B9,#REF!,13,0),"")</f>
        <v/>
      </c>
      <c r="AF9" s="229"/>
      <c r="AG9" s="229"/>
      <c r="AH9" s="144"/>
      <c r="AI9" s="144"/>
    </row>
    <row r="10" spans="1:35" s="85" customFormat="1" ht="19.5" customHeight="1">
      <c r="A10" s="368"/>
      <c r="B10" s="138" t="s">
        <v>234</v>
      </c>
      <c r="C10" s="232">
        <f t="shared" si="0"/>
        <v>38</v>
      </c>
      <c r="D10" s="4" t="e">
        <f t="shared" si="1"/>
        <v>#VALUE!</v>
      </c>
      <c r="E10" s="4">
        <f t="shared" si="2"/>
        <v>12.0289366495244</v>
      </c>
      <c r="F10" s="4" t="str">
        <f t="shared" si="3"/>
        <v/>
      </c>
      <c r="G10" s="143" t="str">
        <f t="shared" si="4"/>
        <v/>
      </c>
      <c r="H10" s="144">
        <f>IFERROR(VLOOKUP($B10,'2012'!$B:$Q,12,0),0)</f>
        <v>12</v>
      </c>
      <c r="I10" s="144">
        <f>IFERROR(VLOOKUP($B10,'2012'!$B:$Q,13,0),"")</f>
        <v>19.776546250684181</v>
      </c>
      <c r="J10" s="144">
        <f>IFERROR(VLOOKUP($B10,#REF!,2,0),0)</f>
        <v>0</v>
      </c>
      <c r="K10" s="144" t="str">
        <f>IFERROR(VLOOKUP($B10,#REF!,3,0),"")</f>
        <v/>
      </c>
      <c r="L10" s="144"/>
      <c r="M10" s="144"/>
      <c r="N10" s="144">
        <f>IFERROR(VLOOKUP($B10,#REF!,2,0),0)</f>
        <v>0</v>
      </c>
      <c r="O10" s="144" t="str">
        <f>IFERROR(VLOOKUP($B10,#REF!,3,0),"")</f>
        <v/>
      </c>
      <c r="P10" s="144"/>
      <c r="Q10" s="144"/>
      <c r="R10" s="144"/>
      <c r="S10" s="144"/>
      <c r="T10" s="144"/>
      <c r="U10" s="144"/>
      <c r="V10" s="144"/>
      <c r="W10" s="144"/>
      <c r="X10" s="144"/>
      <c r="Y10" s="144"/>
      <c r="Z10" s="144">
        <f>IFERROR(VLOOKUP($B10,#REF!,12,0),0)</f>
        <v>0</v>
      </c>
      <c r="AA10" s="144" t="str">
        <f>IFERROR(VLOOKUP($B10,#REF!,13,0),"")</f>
        <v/>
      </c>
      <c r="AB10" s="4"/>
      <c r="AC10" s="144"/>
      <c r="AD10" s="144"/>
      <c r="AE10" s="144"/>
      <c r="AF10" s="229">
        <v>26</v>
      </c>
      <c r="AG10" s="229">
        <v>2.7650608999999999</v>
      </c>
      <c r="AH10" s="144"/>
      <c r="AI10" s="144"/>
    </row>
    <row r="11" spans="1:35" s="86" customFormat="1" ht="19.5" customHeight="1">
      <c r="A11" s="368"/>
      <c r="B11" s="138" t="s">
        <v>226</v>
      </c>
      <c r="C11" s="232">
        <f t="shared" si="0"/>
        <v>27</v>
      </c>
      <c r="D11" s="23" t="e">
        <f t="shared" si="1"/>
        <v>#VALUE!</v>
      </c>
      <c r="E11" s="23">
        <f t="shared" si="2"/>
        <v>5.0647172293565551E-2</v>
      </c>
      <c r="F11" s="23" t="str">
        <f t="shared" si="3"/>
        <v/>
      </c>
      <c r="G11" s="159" t="str">
        <f t="shared" si="4"/>
        <v/>
      </c>
      <c r="H11" s="144">
        <f>IFERROR(VLOOKUP($B11,'2012'!$B:$Q,12,0),0)</f>
        <v>22</v>
      </c>
      <c r="I11" s="144">
        <f>IFERROR(VLOOKUP($B11,'2012'!$B:$Q,13,0),"")</f>
        <v>8.0542582046592731E-2</v>
      </c>
      <c r="J11" s="144">
        <f>IFERROR(VLOOKUP($B11,#REF!,2,0),0)</f>
        <v>0</v>
      </c>
      <c r="K11" s="144" t="str">
        <f>IFERROR(VLOOKUP($B11,#REF!,3,0),"")</f>
        <v/>
      </c>
      <c r="L11" s="144"/>
      <c r="M11" s="144"/>
      <c r="N11" s="144">
        <f>IFERROR(VLOOKUP($B11,#REF!,2,0),0)</f>
        <v>0</v>
      </c>
      <c r="O11" s="144" t="str">
        <f>IFERROR(VLOOKUP($B11,#REF!,3,0),"")</f>
        <v/>
      </c>
      <c r="P11" s="144"/>
      <c r="Q11" s="144"/>
      <c r="R11" s="144"/>
      <c r="S11" s="144"/>
      <c r="T11" s="144">
        <f>IFERROR(VLOOKUP($B11,#REF!,2,0),0)</f>
        <v>0</v>
      </c>
      <c r="U11" s="144" t="str">
        <f>IFERROR(VLOOKUP($B11,#REF!,3,0),"")</f>
        <v/>
      </c>
      <c r="V11" s="144">
        <f>IFERROR(VLOOKUP($B11,#REF!,12,0),0)</f>
        <v>0</v>
      </c>
      <c r="W11" s="144" t="str">
        <f>IFERROR(VLOOKUP($B11,#REF!,13,0),"")</f>
        <v/>
      </c>
      <c r="X11" s="144"/>
      <c r="Y11" s="144"/>
      <c r="Z11" s="144">
        <f>IFERROR(VLOOKUP($B11,#REF!,12,0),0)</f>
        <v>0</v>
      </c>
      <c r="AA11" s="144" t="str">
        <f>IFERROR(VLOOKUP($B11,#REF!,13,0),"")</f>
        <v/>
      </c>
      <c r="AB11" s="4"/>
      <c r="AC11" s="144"/>
      <c r="AD11" s="144">
        <f>IFERROR(VLOOKUP($B11,#REF!,12,0),0)</f>
        <v>0</v>
      </c>
      <c r="AE11" s="144" t="str">
        <f>IFERROR(VLOOKUP($B11,#REF!,13,0),"")</f>
        <v/>
      </c>
      <c r="AF11" s="229">
        <v>5</v>
      </c>
      <c r="AG11" s="230">
        <v>0.15216850000000001</v>
      </c>
      <c r="AH11" s="144"/>
      <c r="AI11" s="144"/>
    </row>
    <row r="12" spans="1:35" s="87" customFormat="1" ht="19.5" customHeight="1">
      <c r="A12" s="368"/>
      <c r="B12" s="138" t="s">
        <v>204</v>
      </c>
      <c r="C12" s="232">
        <f t="shared" si="0"/>
        <v>108</v>
      </c>
      <c r="D12" s="23" t="e">
        <f t="shared" si="1"/>
        <v>#VALUE!</v>
      </c>
      <c r="E12" s="23">
        <f t="shared" si="2"/>
        <v>7.9910137341891729E-4</v>
      </c>
      <c r="F12" s="23" t="str">
        <f t="shared" si="3"/>
        <v/>
      </c>
      <c r="G12" s="159" t="str">
        <f t="shared" si="4"/>
        <v/>
      </c>
      <c r="H12" s="144">
        <f>IFERROR(VLOOKUP($B12,'2012'!$B:$Q,12,0),0)</f>
        <v>41</v>
      </c>
      <c r="I12" s="144">
        <f>IFERROR(VLOOKUP($B12,'2012'!$B:$Q,13,0),"")</f>
        <v>0</v>
      </c>
      <c r="J12" s="144">
        <f>IFERROR(VLOOKUP($B12,#REF!,2,0),0)</f>
        <v>0</v>
      </c>
      <c r="K12" s="144" t="str">
        <f>IFERROR(VLOOKUP($B12,#REF!,3,0),"")</f>
        <v/>
      </c>
      <c r="L12" s="144">
        <f>IFERROR(VLOOKUP($B12,#REF!,2,0),0)</f>
        <v>0</v>
      </c>
      <c r="M12" s="144" t="str">
        <f>IFERROR(VLOOKUP($B12,#REF!,3,0),"")</f>
        <v/>
      </c>
      <c r="N12" s="144">
        <f>IFERROR(VLOOKUP($B12,#REF!,2,0),0)</f>
        <v>0</v>
      </c>
      <c r="O12" s="144" t="str">
        <f>IFERROR(VLOOKUP($B12,#REF!,3,0),"")</f>
        <v/>
      </c>
      <c r="P12" s="144"/>
      <c r="Q12" s="144"/>
      <c r="R12" s="144"/>
      <c r="S12" s="144"/>
      <c r="T12" s="144">
        <f>IFERROR(VLOOKUP($B12,#REF!,2,0),0)</f>
        <v>0</v>
      </c>
      <c r="U12" s="144" t="str">
        <f>IFERROR(VLOOKUP($B12,#REF!,3,0),"")</f>
        <v/>
      </c>
      <c r="V12" s="144">
        <f>IFERROR(VLOOKUP($B12,#REF!,12,0),0)</f>
        <v>0</v>
      </c>
      <c r="W12" s="144" t="str">
        <f>IFERROR(VLOOKUP($B12,#REF!,13,0),"")</f>
        <v/>
      </c>
      <c r="X12" s="144"/>
      <c r="Y12" s="144"/>
      <c r="Z12" s="144">
        <f>IFERROR(VLOOKUP($B12,#REF!,12,0),0)</f>
        <v>0</v>
      </c>
      <c r="AA12" s="144" t="str">
        <f>IFERROR(VLOOKUP($B12,#REF!,13,0),"")</f>
        <v/>
      </c>
      <c r="AB12" s="4"/>
      <c r="AC12" s="144"/>
      <c r="AD12" s="144">
        <f>IFERROR(VLOOKUP($B12,#REF!,12,0),0)</f>
        <v>0</v>
      </c>
      <c r="AE12" s="144" t="str">
        <f>IFERROR(VLOOKUP($B12,#REF!,13,0),"")</f>
        <v/>
      </c>
      <c r="AF12" s="229">
        <v>67</v>
      </c>
      <c r="AG12" s="229">
        <v>1.1301E-3</v>
      </c>
      <c r="AH12" s="144">
        <f>IFERROR(VLOOKUP($B12,#REF!,12,0),0)</f>
        <v>0</v>
      </c>
      <c r="AI12" s="144" t="str">
        <f>IFERROR(VLOOKUP($B12,#REF!,13,0),"")</f>
        <v/>
      </c>
    </row>
    <row r="13" spans="1:35" s="85" customFormat="1" ht="19.5" customHeight="1">
      <c r="A13" s="368"/>
      <c r="B13" s="138" t="s">
        <v>206</v>
      </c>
      <c r="C13" s="232">
        <f t="shared" si="0"/>
        <v>34</v>
      </c>
      <c r="D13" s="23" t="e">
        <f t="shared" si="1"/>
        <v>#VALUE!</v>
      </c>
      <c r="E13" s="23" t="str">
        <f t="shared" si="2"/>
        <v/>
      </c>
      <c r="F13" s="23" t="str">
        <f t="shared" si="3"/>
        <v/>
      </c>
      <c r="G13" s="159" t="str">
        <f t="shared" si="4"/>
        <v/>
      </c>
      <c r="H13" s="144">
        <f>IFERROR(VLOOKUP($B13,'2012'!$B:$Q,12,0),0)</f>
        <v>34</v>
      </c>
      <c r="I13" s="144">
        <f>IFERROR(VLOOKUP($B13,'2012'!$B:$Q,13,0),"")</f>
        <v>0</v>
      </c>
      <c r="J13" s="144">
        <f>IFERROR(VLOOKUP($B13,#REF!,2,0),0)</f>
        <v>0</v>
      </c>
      <c r="K13" s="144" t="str">
        <f>IFERROR(VLOOKUP($B13,#REF!,3,0),"")</f>
        <v/>
      </c>
      <c r="L13" s="144">
        <f>IFERROR(VLOOKUP($B13,#REF!,2,0),0)</f>
        <v>0</v>
      </c>
      <c r="M13" s="144" t="str">
        <f>IFERROR(VLOOKUP($B13,#REF!,3,0),"")</f>
        <v/>
      </c>
      <c r="N13" s="144">
        <f>IFERROR(VLOOKUP($B13,#REF!,2,0),0)</f>
        <v>0</v>
      </c>
      <c r="O13" s="144" t="str">
        <f>IFERROR(VLOOKUP($B13,#REF!,3,0),"")</f>
        <v/>
      </c>
      <c r="P13" s="144"/>
      <c r="Q13" s="144"/>
      <c r="R13" s="144"/>
      <c r="S13" s="144"/>
      <c r="T13" s="144"/>
      <c r="U13" s="144"/>
      <c r="V13" s="144">
        <f>IFERROR(VLOOKUP($B13,#REF!,12,0),0)</f>
        <v>0</v>
      </c>
      <c r="W13" s="144" t="str">
        <f>IFERROR(VLOOKUP($B13,#REF!,13,0),"")</f>
        <v/>
      </c>
      <c r="X13" s="144"/>
      <c r="Y13" s="144"/>
      <c r="Z13" s="144"/>
      <c r="AA13" s="144"/>
      <c r="AB13" s="4"/>
      <c r="AC13" s="144"/>
      <c r="AD13" s="144"/>
      <c r="AE13" s="144"/>
      <c r="AF13" s="229"/>
      <c r="AG13" s="229"/>
      <c r="AH13" s="144"/>
      <c r="AI13" s="144"/>
    </row>
    <row r="14" spans="1:35" s="86" customFormat="1" ht="19.5" customHeight="1">
      <c r="A14" s="369" t="s">
        <v>201</v>
      </c>
      <c r="B14" s="138" t="s">
        <v>207</v>
      </c>
      <c r="C14" s="232">
        <f t="shared" si="0"/>
        <v>90</v>
      </c>
      <c r="D14" s="23" t="e">
        <f t="shared" si="1"/>
        <v>#VALUE!</v>
      </c>
      <c r="E14" s="23">
        <f t="shared" si="2"/>
        <v>8.722355228423774E-2</v>
      </c>
      <c r="F14" s="23" t="str">
        <f t="shared" si="3"/>
        <v/>
      </c>
      <c r="G14" s="159" t="str">
        <f t="shared" si="4"/>
        <v/>
      </c>
      <c r="H14" s="144">
        <f>IFERROR(VLOOKUP($B14,'2012'!$B:$Q,12,0),0)</f>
        <v>34</v>
      </c>
      <c r="I14" s="144">
        <f>IFERROR(VLOOKUP($B14,'2012'!$B:$Q,13,0),"")</f>
        <v>0.85263336940127221</v>
      </c>
      <c r="J14" s="144">
        <f>IFERROR(VLOOKUP($B14,#REF!,2,0),0)</f>
        <v>0</v>
      </c>
      <c r="K14" s="144" t="str">
        <f>IFERROR(VLOOKUP($B14,#REF!,3,0),"")</f>
        <v/>
      </c>
      <c r="L14" s="144"/>
      <c r="M14" s="144"/>
      <c r="N14" s="144">
        <f>IFERROR(VLOOKUP($B14,#REF!,2,0),0)</f>
        <v>0</v>
      </c>
      <c r="O14" s="144" t="str">
        <f>IFERROR(VLOOKUP($B14,#REF!,3,0),"")</f>
        <v/>
      </c>
      <c r="P14" s="144"/>
      <c r="Q14" s="144"/>
      <c r="R14" s="144"/>
      <c r="S14" s="144"/>
      <c r="T14" s="144">
        <f>IFERROR(VLOOKUP($B14,#REF!,2,0),0)</f>
        <v>0</v>
      </c>
      <c r="U14" s="144" t="str">
        <f>IFERROR(VLOOKUP($B14,#REF!,3,0),"")</f>
        <v/>
      </c>
      <c r="V14" s="144">
        <f>IFERROR(VLOOKUP($B14,#REF!,12,0),0)</f>
        <v>0</v>
      </c>
      <c r="W14" s="144" t="str">
        <f>IFERROR(VLOOKUP($B14,#REF!,13,0),"")</f>
        <v/>
      </c>
      <c r="X14" s="144"/>
      <c r="Y14" s="144"/>
      <c r="Z14" s="144">
        <f>IFERROR(VLOOKUP($B14,#REF!,12,0),0)</f>
        <v>0</v>
      </c>
      <c r="AA14" s="144" t="str">
        <f>IFERROR(VLOOKUP($B14,#REF!,13,0),"")</f>
        <v/>
      </c>
      <c r="AB14" s="5"/>
      <c r="AC14" s="144"/>
      <c r="AD14" s="144">
        <f>IFERROR(VLOOKUP($B14,#REF!,12,0),0)</f>
        <v>0</v>
      </c>
      <c r="AE14" s="144" t="str">
        <f>IFERROR(VLOOKUP($B14,#REF!,13,0),"")</f>
        <v/>
      </c>
      <c r="AF14" s="229">
        <v>56</v>
      </c>
      <c r="AG14" s="229">
        <v>0.97598609999999997</v>
      </c>
      <c r="AH14" s="144"/>
      <c r="AI14" s="144"/>
    </row>
    <row r="15" spans="1:35" s="85" customFormat="1" ht="19.5" customHeight="1">
      <c r="A15" s="369"/>
      <c r="B15" s="138" t="s">
        <v>213</v>
      </c>
      <c r="C15" s="232">
        <f t="shared" si="0"/>
        <v>1</v>
      </c>
      <c r="D15" s="4" t="e">
        <f t="shared" si="1"/>
        <v>#VALUE!</v>
      </c>
      <c r="E15" s="4" t="str">
        <f t="shared" si="2"/>
        <v/>
      </c>
      <c r="F15" s="4" t="str">
        <f t="shared" si="3"/>
        <v/>
      </c>
      <c r="G15" s="143" t="str">
        <f t="shared" si="4"/>
        <v/>
      </c>
      <c r="H15" s="144"/>
      <c r="I15" s="144"/>
      <c r="J15" s="144">
        <f>IFERROR(VLOOKUP($B15,#REF!,2,0),0)</f>
        <v>0</v>
      </c>
      <c r="K15" s="144" t="str">
        <f>IFERROR(VLOOKUP($B15,#REF!,3,0),"")</f>
        <v/>
      </c>
      <c r="L15" s="144"/>
      <c r="M15" s="144"/>
      <c r="N15" s="144">
        <f>IFERROR(VLOOKUP($B15,#REF!,2,0),0)</f>
        <v>0</v>
      </c>
      <c r="O15" s="144" t="str">
        <f>IFERROR(VLOOKUP($B15,#REF!,3,0),"")</f>
        <v/>
      </c>
      <c r="P15" s="144"/>
      <c r="Q15" s="144"/>
      <c r="R15" s="144"/>
      <c r="S15" s="144"/>
      <c r="T15" s="144"/>
      <c r="U15" s="144"/>
      <c r="V15" s="144"/>
      <c r="W15" s="144"/>
      <c r="X15" s="144"/>
      <c r="Y15" s="144"/>
      <c r="Z15" s="144"/>
      <c r="AA15" s="144"/>
      <c r="AB15" s="5"/>
      <c r="AC15" s="144"/>
      <c r="AD15" s="144">
        <f>IFERROR(VLOOKUP($B15,#REF!,12,0),0)</f>
        <v>0</v>
      </c>
      <c r="AE15" s="144" t="str">
        <f>IFERROR(VLOOKUP($B15,#REF!,13,0),"")</f>
        <v/>
      </c>
      <c r="AF15" s="229">
        <v>1</v>
      </c>
      <c r="AG15" s="229">
        <v>0.41176469999999998</v>
      </c>
      <c r="AH15" s="144"/>
      <c r="AI15" s="144"/>
    </row>
    <row r="16" spans="1:35" s="85" customFormat="1" ht="19.5" customHeight="1">
      <c r="A16" s="369"/>
      <c r="B16" s="138" t="s">
        <v>235</v>
      </c>
      <c r="C16" s="232">
        <f t="shared" si="0"/>
        <v>18</v>
      </c>
      <c r="D16" s="4" t="e">
        <f t="shared" si="1"/>
        <v>#VALUE!</v>
      </c>
      <c r="E16" s="4">
        <f t="shared" si="2"/>
        <v>0.31160816988667855</v>
      </c>
      <c r="F16" s="4" t="str">
        <f t="shared" si="3"/>
        <v/>
      </c>
      <c r="G16" s="143" t="str">
        <f t="shared" si="4"/>
        <v/>
      </c>
      <c r="H16" s="144">
        <f>IFERROR(VLOOKUP($B16,'2012'!$B:$Q,12,0),0)</f>
        <v>13</v>
      </c>
      <c r="I16" s="144">
        <f>IFERROR(VLOOKUP($B16,'2012'!$B:$Q,13,0),"")</f>
        <v>0.48000000000000004</v>
      </c>
      <c r="J16" s="144">
        <f>IFERROR(VLOOKUP($B16,#REF!,2,0),0)</f>
        <v>0</v>
      </c>
      <c r="K16" s="144" t="str">
        <f>IFERROR(VLOOKUP($B16,#REF!,3,0),"")</f>
        <v/>
      </c>
      <c r="L16" s="144"/>
      <c r="M16" s="144"/>
      <c r="N16" s="144">
        <f>IFERROR(VLOOKUP($B16,#REF!,2,0),0)</f>
        <v>0</v>
      </c>
      <c r="O16" s="144" t="str">
        <f>IFERROR(VLOOKUP($B16,#REF!,3,0),"")</f>
        <v/>
      </c>
      <c r="P16" s="144"/>
      <c r="Q16" s="144"/>
      <c r="R16" s="144"/>
      <c r="S16" s="144"/>
      <c r="T16" s="144"/>
      <c r="U16" s="144"/>
      <c r="V16" s="144"/>
      <c r="W16" s="144"/>
      <c r="X16" s="144"/>
      <c r="Y16" s="144"/>
      <c r="Z16" s="144"/>
      <c r="AA16" s="144"/>
      <c r="AB16" s="5"/>
      <c r="AC16" s="144"/>
      <c r="AD16" s="144">
        <f>IFERROR(VLOOKUP($B16,#REF!,12,0),0)</f>
        <v>0</v>
      </c>
      <c r="AE16" s="144" t="str">
        <f>IFERROR(VLOOKUP($B16,#REF!,13,0),"")</f>
        <v/>
      </c>
      <c r="AF16" s="229">
        <v>5</v>
      </c>
      <c r="AG16" s="229">
        <v>0.92068050000000001</v>
      </c>
      <c r="AH16" s="144"/>
      <c r="AI16" s="144"/>
    </row>
    <row r="17" spans="1:35" s="85" customFormat="1" ht="19.5" customHeight="1">
      <c r="A17" s="369" t="s">
        <v>202</v>
      </c>
      <c r="B17" s="138" t="s">
        <v>208</v>
      </c>
      <c r="C17" s="232">
        <f t="shared" si="0"/>
        <v>305</v>
      </c>
      <c r="D17" s="4" t="e">
        <f t="shared" si="1"/>
        <v>#VALUE!</v>
      </c>
      <c r="E17" s="4">
        <f t="shared" si="2"/>
        <v>1.7517688434772418</v>
      </c>
      <c r="F17" s="4" t="str">
        <f t="shared" si="3"/>
        <v/>
      </c>
      <c r="G17" s="143" t="str">
        <f t="shared" si="4"/>
        <v/>
      </c>
      <c r="H17" s="144">
        <f>IFERROR(VLOOKUP($B17,'2012'!$B:$Q,12,0),0)</f>
        <v>29</v>
      </c>
      <c r="I17" s="144">
        <f>IFERROR(VLOOKUP($B17,'2012'!$B:$Q,13,0),"")</f>
        <v>9.5992207565881351</v>
      </c>
      <c r="J17" s="144">
        <f>IFERROR(VLOOKUP($B17,#REF!,2,0),0)</f>
        <v>0</v>
      </c>
      <c r="K17" s="144" t="str">
        <f>IFERROR(VLOOKUP($B17,#REF!,3,0),"")</f>
        <v/>
      </c>
      <c r="L17" s="144"/>
      <c r="M17" s="144"/>
      <c r="N17" s="144">
        <f>IFERROR(VLOOKUP($B17,#REF!,2,0),0)</f>
        <v>0</v>
      </c>
      <c r="O17" s="144" t="str">
        <f>IFERROR(VLOOKUP($B17,#REF!,3,0),"")</f>
        <v/>
      </c>
      <c r="P17" s="144"/>
      <c r="Q17" s="144"/>
      <c r="R17" s="144"/>
      <c r="S17" s="144"/>
      <c r="T17" s="144">
        <f>IFERROR(VLOOKUP($B17,#REF!,2,0),0)</f>
        <v>0</v>
      </c>
      <c r="U17" s="144" t="str">
        <f>IFERROR(VLOOKUP($B17,#REF!,3,0),"")</f>
        <v/>
      </c>
      <c r="V17" s="144">
        <f>IFERROR(VLOOKUP($B17,#REF!,12,0),0)</f>
        <v>0</v>
      </c>
      <c r="W17" s="144" t="str">
        <f>IFERROR(VLOOKUP($B17,#REF!,13,0),"")</f>
        <v/>
      </c>
      <c r="X17" s="144"/>
      <c r="Y17" s="144"/>
      <c r="Z17" s="144">
        <f>IFERROR(VLOOKUP($B17,#REF!,12,0),0)</f>
        <v>0</v>
      </c>
      <c r="AA17" s="144" t="str">
        <f>IFERROR(VLOOKUP($B17,#REF!,13,0),"")</f>
        <v/>
      </c>
      <c r="AB17" s="6"/>
      <c r="AC17" s="144"/>
      <c r="AD17" s="144">
        <f>IFERROR(VLOOKUP($B17,#REF!,12,0),0)</f>
        <v>0</v>
      </c>
      <c r="AE17" s="144" t="str">
        <f>IFERROR(VLOOKUP($B17,#REF!,13,0),"")</f>
        <v/>
      </c>
      <c r="AF17" s="229">
        <v>276</v>
      </c>
      <c r="AG17" s="229">
        <v>7.1218455000000001</v>
      </c>
      <c r="AH17" s="144">
        <f>IFERROR(VLOOKUP($B17,#REF!,12,0),0)</f>
        <v>0</v>
      </c>
      <c r="AI17" s="144" t="str">
        <f>IFERROR(VLOOKUP($B17,#REF!,13,0),"")</f>
        <v/>
      </c>
    </row>
    <row r="18" spans="1:35" s="85" customFormat="1" ht="19.5" customHeight="1">
      <c r="A18" s="369"/>
      <c r="B18" s="138" t="s">
        <v>236</v>
      </c>
      <c r="C18" s="232">
        <f t="shared" si="0"/>
        <v>40</v>
      </c>
      <c r="D18" s="4" t="e">
        <f t="shared" si="1"/>
        <v>#VALUE!</v>
      </c>
      <c r="E18" s="4">
        <f t="shared" si="2"/>
        <v>0.18765653395325152</v>
      </c>
      <c r="F18" s="4" t="str">
        <f t="shared" si="3"/>
        <v/>
      </c>
      <c r="G18" s="143" t="str">
        <f t="shared" si="4"/>
        <v/>
      </c>
      <c r="H18" s="144">
        <f>IFERROR(VLOOKUP($B18,'2012'!$B:$Q,12,0),0)</f>
        <v>6</v>
      </c>
      <c r="I18" s="144">
        <f>IFERROR(VLOOKUP($B18,'2012'!$B:$Q,13,0),"")</f>
        <v>2.0146153846153845</v>
      </c>
      <c r="J18" s="144">
        <f>IFERROR(VLOOKUP($B18,#REF!,2,0),0)</f>
        <v>0</v>
      </c>
      <c r="K18" s="144" t="str">
        <f>IFERROR(VLOOKUP($B18,#REF!,3,0),"")</f>
        <v/>
      </c>
      <c r="L18" s="144"/>
      <c r="M18" s="144"/>
      <c r="N18" s="144">
        <f>IFERROR(VLOOKUP($B18,#REF!,2,0),0)</f>
        <v>0</v>
      </c>
      <c r="O18" s="144" t="str">
        <f>IFERROR(VLOOKUP($B18,#REF!,3,0),"")</f>
        <v/>
      </c>
      <c r="P18" s="144"/>
      <c r="Q18" s="144"/>
      <c r="R18" s="144"/>
      <c r="S18" s="144"/>
      <c r="T18" s="144"/>
      <c r="U18" s="144"/>
      <c r="V18" s="144">
        <f>IFERROR(VLOOKUP($B18,#REF!,12,0),0)</f>
        <v>0</v>
      </c>
      <c r="W18" s="144" t="str">
        <f>IFERROR(VLOOKUP($B18,#REF!,13,0),"")</f>
        <v/>
      </c>
      <c r="X18" s="144"/>
      <c r="Y18" s="144"/>
      <c r="Z18" s="144">
        <f>IFERROR(VLOOKUP($B18,#REF!,12,0),0)</f>
        <v>0</v>
      </c>
      <c r="AA18" s="144" t="str">
        <f>IFERROR(VLOOKUP($B18,#REF!,13,0),"")</f>
        <v/>
      </c>
      <c r="AB18" s="6"/>
      <c r="AC18" s="144"/>
      <c r="AD18" s="144">
        <f>IFERROR(VLOOKUP($B18,#REF!,12,0),0)</f>
        <v>0</v>
      </c>
      <c r="AE18" s="144" t="str">
        <f>IFERROR(VLOOKUP($B18,#REF!,13,0),"")</f>
        <v/>
      </c>
      <c r="AF18" s="229">
        <v>34</v>
      </c>
      <c r="AG18" s="229">
        <v>2.2800018</v>
      </c>
      <c r="AH18" s="144"/>
      <c r="AI18" s="144"/>
    </row>
    <row r="19" spans="1:35" ht="19.5" customHeight="1">
      <c r="A19" s="369"/>
      <c r="B19" s="138" t="s">
        <v>237</v>
      </c>
      <c r="C19" s="232">
        <f t="shared" si="0"/>
        <v>347</v>
      </c>
      <c r="D19" s="4" t="e">
        <f t="shared" si="1"/>
        <v>#VALUE!</v>
      </c>
      <c r="E19" s="4">
        <f t="shared" si="2"/>
        <v>0.42089689356342114</v>
      </c>
      <c r="F19" s="4" t="str">
        <f t="shared" si="3"/>
        <v/>
      </c>
      <c r="G19" s="143" t="str">
        <f t="shared" si="4"/>
        <v/>
      </c>
      <c r="H19" s="144">
        <f>IFERROR(VLOOKUP($B19,'2012'!$B:$Q,12,0),0)</f>
        <v>42</v>
      </c>
      <c r="I19" s="144">
        <f>IFERROR(VLOOKUP($B19,'2012'!$B:$Q,13,0),"")</f>
        <v>0.59523809523809523</v>
      </c>
      <c r="J19" s="144">
        <f>IFERROR(VLOOKUP($B19,#REF!,2,0),0)</f>
        <v>0</v>
      </c>
      <c r="K19" s="144" t="str">
        <f>IFERROR(VLOOKUP($B19,#REF!,3,0),"")</f>
        <v/>
      </c>
      <c r="L19" s="144"/>
      <c r="M19" s="144"/>
      <c r="N19" s="144">
        <f>IFERROR(VLOOKUP($B19,#REF!,2,0),0)</f>
        <v>0</v>
      </c>
      <c r="O19" s="144" t="str">
        <f>IFERROR(VLOOKUP($B19,#REF!,3,0),"")</f>
        <v/>
      </c>
      <c r="P19" s="144"/>
      <c r="Q19" s="144"/>
      <c r="R19" s="144"/>
      <c r="S19" s="144"/>
      <c r="T19" s="144">
        <f>IFERROR(VLOOKUP($B19,#REF!,2,0),0)</f>
        <v>0</v>
      </c>
      <c r="U19" s="144" t="str">
        <f>IFERROR(VLOOKUP($B19,#REF!,3,0),"")</f>
        <v/>
      </c>
      <c r="V19" s="144">
        <f>IFERROR(VLOOKUP($B19,#REF!,12,0),0)</f>
        <v>0</v>
      </c>
      <c r="W19" s="144" t="str">
        <f>IFERROR(VLOOKUP($B19,#REF!,13,0),"")</f>
        <v/>
      </c>
      <c r="X19" s="144"/>
      <c r="Y19" s="144"/>
      <c r="Z19" s="144">
        <f>IFERROR(VLOOKUP($B19,#REF!,12,0),0)</f>
        <v>0</v>
      </c>
      <c r="AA19" s="144" t="str">
        <f>IFERROR(VLOOKUP($B19,#REF!,13,0),"")</f>
        <v/>
      </c>
      <c r="AB19" s="6"/>
      <c r="AC19" s="144"/>
      <c r="AD19" s="144">
        <f>IFERROR(VLOOKUP($B19,#REF!,12,0),0)</f>
        <v>0</v>
      </c>
      <c r="AE19" s="144" t="str">
        <f>IFERROR(VLOOKUP($B19,#REF!,13,0),"")</f>
        <v/>
      </c>
      <c r="AF19" s="229">
        <v>305</v>
      </c>
      <c r="AG19" s="229">
        <v>0</v>
      </c>
      <c r="AH19" s="144">
        <f>IFERROR(VLOOKUP($B19,#REF!,12,0),0)</f>
        <v>0</v>
      </c>
      <c r="AI19" s="144" t="str">
        <f>IFERROR(VLOOKUP($B19,#REF!,13,0),"")</f>
        <v/>
      </c>
    </row>
    <row r="20" spans="1:35" ht="19.5" customHeight="1">
      <c r="A20" s="369"/>
      <c r="B20" s="138" t="s">
        <v>238</v>
      </c>
      <c r="C20" s="232">
        <f t="shared" si="0"/>
        <v>340</v>
      </c>
      <c r="D20" s="4" t="e">
        <f t="shared" si="1"/>
        <v>#VALUE!</v>
      </c>
      <c r="E20" s="4">
        <f t="shared" si="2"/>
        <v>2.3808285322551056E-3</v>
      </c>
      <c r="F20" s="4" t="str">
        <f t="shared" si="3"/>
        <v/>
      </c>
      <c r="G20" s="143" t="str">
        <f t="shared" si="4"/>
        <v/>
      </c>
      <c r="H20" s="144">
        <f>IFERROR(VLOOKUP($B20,'2012'!$B:$Q,12,0),0)</f>
        <v>43</v>
      </c>
      <c r="I20" s="144">
        <f>IFERROR(VLOOKUP($B20,'2012'!$B:$Q,13,0),"")</f>
        <v>0</v>
      </c>
      <c r="J20" s="144">
        <f>IFERROR(VLOOKUP($B20,#REF!,2,0),0)</f>
        <v>0</v>
      </c>
      <c r="K20" s="144" t="str">
        <f>IFERROR(VLOOKUP($B20,#REF!,3,0),"")</f>
        <v/>
      </c>
      <c r="L20" s="144"/>
      <c r="M20" s="144"/>
      <c r="N20" s="144">
        <f>IFERROR(VLOOKUP($B20,#REF!,2,0),0)</f>
        <v>0</v>
      </c>
      <c r="O20" s="144" t="str">
        <f>IFERROR(VLOOKUP($B20,#REF!,3,0),"")</f>
        <v/>
      </c>
      <c r="P20" s="144"/>
      <c r="Q20" s="144"/>
      <c r="R20" s="144"/>
      <c r="S20" s="144"/>
      <c r="T20" s="144">
        <f>IFERROR(VLOOKUP($B20,#REF!,2,0),0)</f>
        <v>0</v>
      </c>
      <c r="U20" s="144" t="str">
        <f>IFERROR(VLOOKUP($B20,#REF!,3,0),"")</f>
        <v/>
      </c>
      <c r="V20" s="144">
        <f>IFERROR(VLOOKUP($B20,#REF!,12,0),0)</f>
        <v>0</v>
      </c>
      <c r="W20" s="144" t="str">
        <f>IFERROR(VLOOKUP($B20,#REF!,13,0),"")</f>
        <v/>
      </c>
      <c r="X20" s="144"/>
      <c r="Y20" s="144"/>
      <c r="Z20" s="144">
        <f>IFERROR(VLOOKUP($B20,#REF!,12,0),0)</f>
        <v>0</v>
      </c>
      <c r="AA20" s="144" t="str">
        <f>IFERROR(VLOOKUP($B20,#REF!,13,0),"")</f>
        <v/>
      </c>
      <c r="AB20" s="6"/>
      <c r="AC20" s="144"/>
      <c r="AD20" s="144">
        <f>IFERROR(VLOOKUP($B20,#REF!,12,0),0)</f>
        <v>0</v>
      </c>
      <c r="AE20" s="144" t="str">
        <f>IFERROR(VLOOKUP($B20,#REF!,13,0),"")</f>
        <v/>
      </c>
      <c r="AF20" s="229">
        <v>297</v>
      </c>
      <c r="AG20" s="229">
        <v>3.3670000000000002E-3</v>
      </c>
      <c r="AH20" s="144">
        <f>IFERROR(VLOOKUP($B20,#REF!,12,0),0)</f>
        <v>0</v>
      </c>
      <c r="AI20" s="144" t="str">
        <f>IFERROR(VLOOKUP($B20,#REF!,13,0),"")</f>
        <v/>
      </c>
    </row>
    <row r="21" spans="1:35" s="85" customFormat="1" ht="19.5" customHeight="1">
      <c r="A21" s="369" t="s">
        <v>214</v>
      </c>
      <c r="B21" s="138" t="s">
        <v>215</v>
      </c>
      <c r="C21" s="232">
        <f t="shared" si="0"/>
        <v>6</v>
      </c>
      <c r="D21" s="4" t="e">
        <f t="shared" si="1"/>
        <v>#VALUE!</v>
      </c>
      <c r="E21" s="4" t="str">
        <f t="shared" si="2"/>
        <v/>
      </c>
      <c r="F21" s="4" t="str">
        <f t="shared" si="3"/>
        <v/>
      </c>
      <c r="G21" s="143" t="str">
        <f t="shared" si="4"/>
        <v/>
      </c>
      <c r="H21" s="144"/>
      <c r="I21" s="144"/>
      <c r="J21" s="144">
        <f>IFERROR(VLOOKUP($B21,#REF!,2,0),0)</f>
        <v>0</v>
      </c>
      <c r="K21" s="144" t="str">
        <f>IFERROR(VLOOKUP($B21,#REF!,3,0),"")</f>
        <v/>
      </c>
      <c r="L21" s="144"/>
      <c r="M21" s="144"/>
      <c r="N21" s="144">
        <f>IFERROR(VLOOKUP($B21,#REF!,2,0),0)</f>
        <v>0</v>
      </c>
      <c r="O21" s="144" t="str">
        <f>IFERROR(VLOOKUP($B21,#REF!,3,0),"")</f>
        <v/>
      </c>
      <c r="P21" s="144"/>
      <c r="Q21" s="144"/>
      <c r="R21" s="144"/>
      <c r="S21" s="144"/>
      <c r="T21" s="144"/>
      <c r="U21" s="144"/>
      <c r="V21" s="144">
        <f>IFERROR(VLOOKUP($B21,#REF!,12,0),0)</f>
        <v>0</v>
      </c>
      <c r="W21" s="144" t="str">
        <f>IFERROR(VLOOKUP($B21,#REF!,13,0),"")</f>
        <v/>
      </c>
      <c r="X21" s="144"/>
      <c r="Y21" s="144"/>
      <c r="Z21" s="144"/>
      <c r="AA21" s="144"/>
      <c r="AB21" s="6"/>
      <c r="AC21" s="144"/>
      <c r="AD21" s="144"/>
      <c r="AE21" s="144"/>
      <c r="AF21" s="229">
        <v>6</v>
      </c>
      <c r="AG21" s="230">
        <v>1.5827294999999999</v>
      </c>
      <c r="AH21" s="144"/>
      <c r="AI21" s="144"/>
    </row>
    <row r="22" spans="1:35" s="85" customFormat="1" ht="19.5" customHeight="1">
      <c r="A22" s="369"/>
      <c r="B22" s="138" t="s">
        <v>216</v>
      </c>
      <c r="C22" s="232">
        <f t="shared" si="0"/>
        <v>6</v>
      </c>
      <c r="D22" s="4" t="e">
        <f t="shared" si="1"/>
        <v>#VALUE!</v>
      </c>
      <c r="E22" s="4" t="str">
        <f t="shared" si="2"/>
        <v/>
      </c>
      <c r="F22" s="4" t="str">
        <f t="shared" si="3"/>
        <v/>
      </c>
      <c r="G22" s="143" t="str">
        <f t="shared" si="4"/>
        <v/>
      </c>
      <c r="H22" s="144"/>
      <c r="I22" s="144"/>
      <c r="J22" s="144">
        <f>IFERROR(VLOOKUP($B22,#REF!,2,0),0)</f>
        <v>0</v>
      </c>
      <c r="K22" s="144" t="str">
        <f>IFERROR(VLOOKUP($B22,#REF!,3,0),"")</f>
        <v/>
      </c>
      <c r="L22" s="144"/>
      <c r="M22" s="144"/>
      <c r="N22" s="144">
        <f>IFERROR(VLOOKUP($B22,#REF!,2,0),0)</f>
        <v>0</v>
      </c>
      <c r="O22" s="144" t="str">
        <f>IFERROR(VLOOKUP($B22,#REF!,3,0),"")</f>
        <v/>
      </c>
      <c r="P22" s="144"/>
      <c r="Q22" s="144"/>
      <c r="R22" s="144"/>
      <c r="S22" s="144"/>
      <c r="T22" s="144">
        <f>IFERROR(VLOOKUP($B22,#REF!,2,0),0)</f>
        <v>0</v>
      </c>
      <c r="U22" s="144" t="str">
        <f>IFERROR(VLOOKUP($B22,#REF!,3,0),"")</f>
        <v/>
      </c>
      <c r="V22" s="144">
        <f>IFERROR(VLOOKUP($B22,#REF!,12,0),0)</f>
        <v>0</v>
      </c>
      <c r="W22" s="144" t="str">
        <f>IFERROR(VLOOKUP($B22,#REF!,13,0),"")</f>
        <v/>
      </c>
      <c r="X22" s="144"/>
      <c r="Y22" s="144"/>
      <c r="Z22" s="144">
        <f>IFERROR(VLOOKUP($B22,#REF!,12,0),0)</f>
        <v>0</v>
      </c>
      <c r="AA22" s="144" t="str">
        <f>IFERROR(VLOOKUP($B22,#REF!,13,0),"")</f>
        <v/>
      </c>
      <c r="AB22" s="6"/>
      <c r="AC22" s="144"/>
      <c r="AD22" s="144">
        <f>IFERROR(VLOOKUP($B22,#REF!,12,0),0)</f>
        <v>0</v>
      </c>
      <c r="AE22" s="144" t="str">
        <f>IFERROR(VLOOKUP($B22,#REF!,13,0),"")</f>
        <v/>
      </c>
      <c r="AF22" s="229">
        <v>6</v>
      </c>
      <c r="AG22" s="230">
        <v>2.1185200000000001E-2</v>
      </c>
      <c r="AH22" s="144"/>
      <c r="AI22" s="144"/>
    </row>
    <row r="23" spans="1:35" s="85" customFormat="1" ht="19.5" customHeight="1">
      <c r="A23" s="369"/>
      <c r="B23" s="138" t="s">
        <v>227</v>
      </c>
      <c r="C23" s="232">
        <f t="shared" si="0"/>
        <v>56</v>
      </c>
      <c r="D23" s="4" t="e">
        <f t="shared" si="1"/>
        <v>#VALUE!</v>
      </c>
      <c r="E23" s="4">
        <f t="shared" si="2"/>
        <v>53.483251794152864</v>
      </c>
      <c r="F23" s="4" t="str">
        <f t="shared" si="3"/>
        <v/>
      </c>
      <c r="G23" s="143" t="str">
        <f t="shared" si="4"/>
        <v/>
      </c>
      <c r="H23" s="144">
        <f>IFERROR(VLOOKUP($B23,'2012'!$B:$Q,12,0),0)</f>
        <v>28</v>
      </c>
      <c r="I23" s="144">
        <f>IFERROR(VLOOKUP($B23,'2012'!$B:$Q,13,0),"")</f>
        <v>19.498907952893866</v>
      </c>
      <c r="J23" s="144">
        <f>IFERROR(VLOOKUP($B23,#REF!,2,0),0)</f>
        <v>0</v>
      </c>
      <c r="K23" s="144" t="str">
        <f>IFERROR(VLOOKUP($B23,#REF!,3,0),"")</f>
        <v/>
      </c>
      <c r="L23" s="144"/>
      <c r="M23" s="144"/>
      <c r="N23" s="144">
        <f>IFERROR(VLOOKUP($B23,#REF!,2,0),0)</f>
        <v>0</v>
      </c>
      <c r="O23" s="144" t="str">
        <f>IFERROR(VLOOKUP($B23,#REF!,3,0),"")</f>
        <v/>
      </c>
      <c r="P23" s="144"/>
      <c r="Q23" s="144"/>
      <c r="R23" s="144"/>
      <c r="S23" s="144"/>
      <c r="T23" s="144"/>
      <c r="U23" s="144"/>
      <c r="V23" s="144">
        <f>IFERROR(VLOOKUP($B23,#REF!,12,0),0)</f>
        <v>0</v>
      </c>
      <c r="W23" s="144" t="str">
        <f>IFERROR(VLOOKUP($B23,#REF!,13,0),"")</f>
        <v/>
      </c>
      <c r="X23" s="144"/>
      <c r="Y23" s="144"/>
      <c r="Z23" s="144">
        <f>IFERROR(VLOOKUP($B23,#REF!,12,0),0)</f>
        <v>0</v>
      </c>
      <c r="AA23" s="144" t="str">
        <f>IFERROR(VLOOKUP($B23,#REF!,13,0),"")</f>
        <v/>
      </c>
      <c r="AB23" s="6"/>
      <c r="AC23" s="144"/>
      <c r="AD23" s="144">
        <f>IFERROR(VLOOKUP($B23,#REF!,12,0),0)</f>
        <v>0</v>
      </c>
      <c r="AE23" s="144" t="str">
        <f>IFERROR(VLOOKUP($B23,#REF!,13,0),"")</f>
        <v/>
      </c>
      <c r="AF23" s="229">
        <v>28</v>
      </c>
      <c r="AG23" s="230">
        <v>95.135648000000003</v>
      </c>
      <c r="AH23" s="144">
        <f>IFERROR(VLOOKUP($B23,#REF!,12,0),0)</f>
        <v>0</v>
      </c>
      <c r="AI23" s="144" t="str">
        <f>IFERROR(VLOOKUP($B23,#REF!,13,0),"")</f>
        <v/>
      </c>
    </row>
    <row r="24" spans="1:35" s="85" customFormat="1" ht="19.5" customHeight="1">
      <c r="A24" s="369"/>
      <c r="B24" s="138" t="s">
        <v>239</v>
      </c>
      <c r="C24" s="232">
        <f t="shared" si="0"/>
        <v>224</v>
      </c>
      <c r="D24" s="23" t="e">
        <f t="shared" si="1"/>
        <v>#VALUE!</v>
      </c>
      <c r="E24" s="23">
        <f t="shared" si="2"/>
        <v>8.6838899914043352E-2</v>
      </c>
      <c r="F24" s="23" t="str">
        <f t="shared" si="3"/>
        <v/>
      </c>
      <c r="G24" s="159" t="str">
        <f t="shared" si="4"/>
        <v/>
      </c>
      <c r="H24" s="144">
        <f>IFERROR(VLOOKUP($B24,'2012'!$B:$Q,12,0),0)</f>
        <v>16</v>
      </c>
      <c r="I24" s="144">
        <f>IFERROR(VLOOKUP($B24,'2012'!$B:$Q,13,0),"")</f>
        <v>0.72015625000000005</v>
      </c>
      <c r="J24" s="144">
        <f>IFERROR(VLOOKUP($B24,#REF!,2,0),0)</f>
        <v>0</v>
      </c>
      <c r="K24" s="144" t="str">
        <f>IFERROR(VLOOKUP($B24,#REF!,3,0),"")</f>
        <v/>
      </c>
      <c r="L24" s="144"/>
      <c r="M24" s="144"/>
      <c r="N24" s="144">
        <f>IFERROR(VLOOKUP($B24,#REF!,2,0),0)</f>
        <v>0</v>
      </c>
      <c r="O24" s="144" t="str">
        <f>IFERROR(VLOOKUP($B24,#REF!,3,0),"")</f>
        <v/>
      </c>
      <c r="P24" s="144"/>
      <c r="Q24" s="144"/>
      <c r="R24" s="144"/>
      <c r="S24" s="144"/>
      <c r="T24" s="144">
        <f>IFERROR(VLOOKUP($B24,#REF!,2,0),0)</f>
        <v>0</v>
      </c>
      <c r="U24" s="144" t="str">
        <f>IFERROR(VLOOKUP($B24,#REF!,3,0),"")</f>
        <v/>
      </c>
      <c r="V24" s="144">
        <f>IFERROR(VLOOKUP($B24,#REF!,12,0),0)</f>
        <v>0</v>
      </c>
      <c r="W24" s="144" t="str">
        <f>IFERROR(VLOOKUP($B24,#REF!,13,0),"")</f>
        <v/>
      </c>
      <c r="X24" s="144"/>
      <c r="Y24" s="144"/>
      <c r="Z24" s="144"/>
      <c r="AA24" s="144"/>
      <c r="AB24" s="6"/>
      <c r="AC24" s="144"/>
      <c r="AD24" s="144">
        <f>IFERROR(VLOOKUP($B24,#REF!,12,0),0)</f>
        <v>0</v>
      </c>
      <c r="AE24" s="144" t="str">
        <f>IFERROR(VLOOKUP($B24,#REF!,13,0),"")</f>
        <v/>
      </c>
      <c r="AF24" s="229">
        <v>208</v>
      </c>
      <c r="AG24" s="229">
        <v>0.84296499999999996</v>
      </c>
      <c r="AH24" s="144">
        <f>IFERROR(VLOOKUP($B24,#REF!,12,0),0)</f>
        <v>0</v>
      </c>
      <c r="AI24" s="144" t="str">
        <f>IFERROR(VLOOKUP($B24,#REF!,13,0),"")</f>
        <v/>
      </c>
    </row>
    <row r="25" spans="1:35" s="86" customFormat="1" ht="19.5" customHeight="1">
      <c r="A25" s="369"/>
      <c r="B25" s="138" t="s">
        <v>228</v>
      </c>
      <c r="C25" s="232">
        <f t="shared" si="0"/>
        <v>39</v>
      </c>
      <c r="D25" s="4" t="e">
        <f t="shared" si="1"/>
        <v>#VALUE!</v>
      </c>
      <c r="E25" s="4">
        <f t="shared" si="2"/>
        <v>0.58742295237034947</v>
      </c>
      <c r="F25" s="4" t="str">
        <f t="shared" si="3"/>
        <v/>
      </c>
      <c r="G25" s="143" t="str">
        <f t="shared" si="4"/>
        <v/>
      </c>
      <c r="H25" s="144">
        <f>IFERROR(VLOOKUP($B25,'2012'!$B:$Q,12,0),0)</f>
        <v>27</v>
      </c>
      <c r="I25" s="144">
        <f>IFERROR(VLOOKUP($B25,'2012'!$B:$Q,13,0),"")</f>
        <v>3.9505140060913937</v>
      </c>
      <c r="J25" s="144">
        <f>IFERROR(VLOOKUP($B25,#REF!,2,0),0)</f>
        <v>0</v>
      </c>
      <c r="K25" s="144" t="str">
        <f>IFERROR(VLOOKUP($B25,#REF!,3,0),"")</f>
        <v/>
      </c>
      <c r="L25" s="144"/>
      <c r="M25" s="144"/>
      <c r="N25" s="144">
        <f>IFERROR(VLOOKUP($B25,#REF!,2,0),0)</f>
        <v>0</v>
      </c>
      <c r="O25" s="144" t="str">
        <f>IFERROR(VLOOKUP($B25,#REF!,3,0),"")</f>
        <v/>
      </c>
      <c r="P25" s="144"/>
      <c r="Q25" s="144"/>
      <c r="R25" s="144"/>
      <c r="S25" s="144"/>
      <c r="T25" s="144">
        <f>IFERROR(VLOOKUP($B25,#REF!,2,0),0)</f>
        <v>0</v>
      </c>
      <c r="U25" s="144" t="str">
        <f>IFERROR(VLOOKUP($B25,#REF!,3,0),"")</f>
        <v/>
      </c>
      <c r="V25" s="144">
        <f>IFERROR(VLOOKUP($B25,#REF!,12,0),0)</f>
        <v>0</v>
      </c>
      <c r="W25" s="144" t="str">
        <f>IFERROR(VLOOKUP($B25,#REF!,13,0),"")</f>
        <v/>
      </c>
      <c r="X25" s="144"/>
      <c r="Y25" s="144"/>
      <c r="Z25" s="144">
        <f>IFERROR(VLOOKUP($B25,#REF!,12,0),0)</f>
        <v>0</v>
      </c>
      <c r="AA25" s="144" t="str">
        <f>IFERROR(VLOOKUP($B25,#REF!,13,0),"")</f>
        <v/>
      </c>
      <c r="AB25" s="4"/>
      <c r="AC25" s="144"/>
      <c r="AD25" s="144">
        <f>IFERROR(VLOOKUP($B25,#REF!,12,0),0)</f>
        <v>0</v>
      </c>
      <c r="AE25" s="144" t="str">
        <f>IFERROR(VLOOKUP($B25,#REF!,13,0),"")</f>
        <v/>
      </c>
      <c r="AF25" s="229">
        <v>12</v>
      </c>
      <c r="AG25" s="229">
        <v>3.1197724999999998</v>
      </c>
      <c r="AH25" s="144"/>
      <c r="AI25" s="144"/>
    </row>
    <row r="26" spans="1:35" s="85" customFormat="1" ht="19.5" customHeight="1">
      <c r="A26" s="88" t="s">
        <v>217</v>
      </c>
      <c r="B26" s="138" t="s">
        <v>240</v>
      </c>
      <c r="C26" s="232">
        <f t="shared" si="0"/>
        <v>13</v>
      </c>
      <c r="D26" s="4" t="e">
        <f t="shared" si="1"/>
        <v>#VALUE!</v>
      </c>
      <c r="E26" s="4">
        <f t="shared" si="2"/>
        <v>2.8262117900353888E-2</v>
      </c>
      <c r="F26" s="4" t="str">
        <f t="shared" si="3"/>
        <v/>
      </c>
      <c r="G26" s="143" t="str">
        <f t="shared" si="4"/>
        <v/>
      </c>
      <c r="H26" s="144">
        <f>IFERROR(VLOOKUP($B26,'2012'!$B:$Q,12,0),0)</f>
        <v>11</v>
      </c>
      <c r="I26" s="144">
        <f>IFERROR(VLOOKUP($B26,'2012'!$B:$Q,13,0),"")</f>
        <v>0.61067997043606792</v>
      </c>
      <c r="J26" s="144">
        <f>IFERROR(VLOOKUP($B26,#REF!,2,0),0)</f>
        <v>0</v>
      </c>
      <c r="K26" s="144" t="str">
        <f>IFERROR(VLOOKUP($B26,#REF!,3,0),"")</f>
        <v/>
      </c>
      <c r="L26" s="144"/>
      <c r="M26" s="144"/>
      <c r="N26" s="144">
        <f>IFERROR(VLOOKUP($B26,#REF!,2,0),0)</f>
        <v>0</v>
      </c>
      <c r="O26" s="144" t="str">
        <f>IFERROR(VLOOKUP($B26,#REF!,3,0),"")</f>
        <v/>
      </c>
      <c r="P26" s="144"/>
      <c r="Q26" s="144"/>
      <c r="R26" s="144"/>
      <c r="S26" s="144"/>
      <c r="T26" s="144"/>
      <c r="U26" s="144"/>
      <c r="V26" s="144"/>
      <c r="W26" s="144"/>
      <c r="X26" s="144"/>
      <c r="Y26" s="144"/>
      <c r="Z26" s="144"/>
      <c r="AA26" s="144"/>
      <c r="AB26" s="4"/>
      <c r="AC26" s="144"/>
      <c r="AD26" s="144"/>
      <c r="AE26" s="144"/>
      <c r="AF26" s="229">
        <v>2</v>
      </c>
      <c r="AG26" s="230">
        <v>0.57071130000000003</v>
      </c>
      <c r="AH26" s="144"/>
      <c r="AI26" s="144"/>
    </row>
    <row r="27" spans="1:35" s="85" customFormat="1" ht="19.5" customHeight="1">
      <c r="A27" s="369" t="s">
        <v>209</v>
      </c>
      <c r="B27" s="138" t="s">
        <v>225</v>
      </c>
      <c r="C27" s="232">
        <f t="shared" si="0"/>
        <v>1</v>
      </c>
      <c r="D27" s="4" t="e">
        <f t="shared" si="1"/>
        <v>#VALUE!</v>
      </c>
      <c r="E27" s="4" t="str">
        <f t="shared" si="2"/>
        <v/>
      </c>
      <c r="F27" s="4" t="str">
        <f t="shared" si="3"/>
        <v/>
      </c>
      <c r="G27" s="143" t="str">
        <f t="shared" si="4"/>
        <v/>
      </c>
      <c r="H27" s="144"/>
      <c r="I27" s="144"/>
      <c r="J27" s="144">
        <f>IFERROR(VLOOKUP($B27,#REF!,2,0),0)</f>
        <v>0</v>
      </c>
      <c r="K27" s="144" t="str">
        <f>IFERROR(VLOOKUP($B27,#REF!,3,0),"")</f>
        <v/>
      </c>
      <c r="L27" s="144"/>
      <c r="M27" s="144"/>
      <c r="N27" s="144"/>
      <c r="O27" s="144"/>
      <c r="P27" s="144"/>
      <c r="Q27" s="144"/>
      <c r="R27" s="144"/>
      <c r="S27" s="144"/>
      <c r="T27" s="144"/>
      <c r="U27" s="144"/>
      <c r="V27" s="144">
        <f>IFERROR(VLOOKUP($B27,#REF!,12,0),0)</f>
        <v>0</v>
      </c>
      <c r="W27" s="144" t="str">
        <f>IFERROR(VLOOKUP($B27,#REF!,13,0),"")</f>
        <v/>
      </c>
      <c r="X27" s="144"/>
      <c r="Y27" s="144"/>
      <c r="Z27" s="144"/>
      <c r="AA27" s="144"/>
      <c r="AB27" s="6"/>
      <c r="AC27" s="144"/>
      <c r="AD27" s="144"/>
      <c r="AE27" s="144"/>
      <c r="AF27" s="229">
        <v>1</v>
      </c>
      <c r="AG27" s="230">
        <v>0</v>
      </c>
      <c r="AH27" s="144"/>
      <c r="AI27" s="144"/>
    </row>
    <row r="28" spans="1:35" s="85" customFormat="1" ht="19.5" customHeight="1">
      <c r="A28" s="369"/>
      <c r="B28" s="138" t="s">
        <v>218</v>
      </c>
      <c r="C28" s="232">
        <f t="shared" si="0"/>
        <v>20</v>
      </c>
      <c r="D28" s="132" t="e">
        <f t="shared" si="1"/>
        <v>#VALUE!</v>
      </c>
      <c r="E28" s="4" t="str">
        <f t="shared" si="2"/>
        <v/>
      </c>
      <c r="F28" s="4" t="str">
        <f t="shared" si="3"/>
        <v/>
      </c>
      <c r="G28" s="143" t="str">
        <f t="shared" si="4"/>
        <v/>
      </c>
      <c r="H28" s="144"/>
      <c r="I28" s="144"/>
      <c r="J28" s="144">
        <f>IFERROR(VLOOKUP($B28,#REF!,2,0),0)</f>
        <v>0</v>
      </c>
      <c r="K28" s="144" t="str">
        <f>IFERROR(VLOOKUP($B28,#REF!,3,0),"")</f>
        <v/>
      </c>
      <c r="L28" s="144"/>
      <c r="M28" s="144"/>
      <c r="N28" s="144">
        <f>IFERROR(VLOOKUP($B28,#REF!,2,0),0)</f>
        <v>0</v>
      </c>
      <c r="O28" s="144" t="str">
        <f>IFERROR(VLOOKUP($B28,#REF!,3,0),"")</f>
        <v/>
      </c>
      <c r="P28" s="144"/>
      <c r="Q28" s="144"/>
      <c r="R28" s="144"/>
      <c r="S28" s="144"/>
      <c r="T28" s="144">
        <f>IFERROR(VLOOKUP($B28,#REF!,2,0),0)</f>
        <v>0</v>
      </c>
      <c r="U28" s="144" t="str">
        <f>IFERROR(VLOOKUP($B28,#REF!,3,0),"")</f>
        <v/>
      </c>
      <c r="V28" s="144">
        <f>IFERROR(VLOOKUP($B28,#REF!,12,0),0)</f>
        <v>0</v>
      </c>
      <c r="W28" s="144" t="str">
        <f>IFERROR(VLOOKUP($B28,#REF!,13,0),"")</f>
        <v/>
      </c>
      <c r="X28" s="144"/>
      <c r="Y28" s="144"/>
      <c r="Z28" s="144">
        <f>IFERROR(VLOOKUP($B28,#REF!,12,0),0)</f>
        <v>0</v>
      </c>
      <c r="AA28" s="144" t="str">
        <f>IFERROR(VLOOKUP($B28,#REF!,13,0),"")</f>
        <v/>
      </c>
      <c r="AB28" s="6"/>
      <c r="AC28" s="144"/>
      <c r="AD28" s="144">
        <f>IFERROR(VLOOKUP($B28,#REF!,12,0),0)</f>
        <v>0</v>
      </c>
      <c r="AE28" s="144" t="str">
        <f>IFERROR(VLOOKUP($B28,#REF!,13,0),"")</f>
        <v/>
      </c>
      <c r="AF28" s="229">
        <v>20</v>
      </c>
      <c r="AG28" s="229">
        <v>0</v>
      </c>
      <c r="AH28" s="144"/>
      <c r="AI28" s="144"/>
    </row>
    <row r="29" spans="1:35" ht="19.5" customHeight="1">
      <c r="A29" s="369" t="s">
        <v>210</v>
      </c>
      <c r="B29" s="138" t="s">
        <v>241</v>
      </c>
      <c r="C29" s="232">
        <f t="shared" si="0"/>
        <v>69</v>
      </c>
      <c r="D29" s="132" t="e">
        <f t="shared" si="1"/>
        <v>#VALUE!</v>
      </c>
      <c r="E29" s="4">
        <f t="shared" si="2"/>
        <v>2.7021580768802145</v>
      </c>
      <c r="F29" s="4" t="str">
        <f t="shared" si="3"/>
        <v/>
      </c>
      <c r="G29" s="143" t="str">
        <f t="shared" si="4"/>
        <v/>
      </c>
      <c r="H29" s="144">
        <f>IFERROR(VLOOKUP($B29,'2012'!$B:$Q,12,0),0)</f>
        <v>41</v>
      </c>
      <c r="I29" s="144">
        <f>IFERROR(VLOOKUP($B29,'2012'!$B:$Q,13,0),"")</f>
        <v>0.19999999999999998</v>
      </c>
      <c r="J29" s="144">
        <f>IFERROR(VLOOKUP($B29,#REF!,2,0),0)</f>
        <v>0</v>
      </c>
      <c r="K29" s="144" t="str">
        <f>IFERROR(VLOOKUP($B29,#REF!,3,0),"")</f>
        <v/>
      </c>
      <c r="L29" s="144">
        <f>IFERROR(VLOOKUP($B29,#REF!,2,0),0)</f>
        <v>0</v>
      </c>
      <c r="M29" s="144" t="str">
        <f>IFERROR(VLOOKUP($B29,#REF!,3,0),"")</f>
        <v/>
      </c>
      <c r="N29" s="144">
        <f>IFERROR(VLOOKUP($B29,#REF!,2,0),0)</f>
        <v>0</v>
      </c>
      <c r="O29" s="144" t="str">
        <f>IFERROR(VLOOKUP($B29,#REF!,3,0),"")</f>
        <v/>
      </c>
      <c r="P29" s="144"/>
      <c r="Q29" s="144"/>
      <c r="R29" s="144"/>
      <c r="S29" s="144"/>
      <c r="T29" s="144">
        <f>IFERROR(VLOOKUP($B29,#REF!,2,0),0)</f>
        <v>0</v>
      </c>
      <c r="U29" s="144" t="str">
        <f>IFERROR(VLOOKUP($B29,#REF!,3,0),"")</f>
        <v/>
      </c>
      <c r="V29" s="144">
        <f>IFERROR(VLOOKUP($B29,#REF!,12,0),0)</f>
        <v>0</v>
      </c>
      <c r="W29" s="144" t="str">
        <f>IFERROR(VLOOKUP($B29,#REF!,13,0),"")</f>
        <v/>
      </c>
      <c r="X29" s="144"/>
      <c r="Y29" s="144"/>
      <c r="Z29" s="144">
        <f>IFERROR(VLOOKUP($B29,#REF!,12,0),0)</f>
        <v>0</v>
      </c>
      <c r="AA29" s="144" t="str">
        <f>IFERROR(VLOOKUP($B29,#REF!,13,0),"")</f>
        <v/>
      </c>
      <c r="AB29" s="4"/>
      <c r="AC29" s="144"/>
      <c r="AD29" s="144">
        <f>IFERROR(VLOOKUP($B29,#REF!,12,0),0)</f>
        <v>0</v>
      </c>
      <c r="AE29" s="144" t="str">
        <f>IFERROR(VLOOKUP($B29,#REF!,13,0),"")</f>
        <v/>
      </c>
      <c r="AF29" s="229">
        <v>28</v>
      </c>
      <c r="AG29" s="230">
        <v>4.0214286000000001</v>
      </c>
      <c r="AH29" s="144">
        <f>IFERROR(VLOOKUP($B29,#REF!,12,0),0)</f>
        <v>0</v>
      </c>
      <c r="AI29" s="144" t="str">
        <f>IFERROR(VLOOKUP($B29,#REF!,13,0),"")</f>
        <v/>
      </c>
    </row>
    <row r="30" spans="1:35" ht="19.5" customHeight="1">
      <c r="A30" s="369"/>
      <c r="B30" s="138" t="s">
        <v>231</v>
      </c>
      <c r="C30" s="232">
        <f t="shared" si="0"/>
        <v>223</v>
      </c>
      <c r="D30" s="132" t="e">
        <f t="shared" si="1"/>
        <v>#VALUE!</v>
      </c>
      <c r="E30" s="4">
        <f t="shared" si="2"/>
        <v>0</v>
      </c>
      <c r="F30" s="4" t="str">
        <f t="shared" si="3"/>
        <v/>
      </c>
      <c r="G30" s="143" t="str">
        <f t="shared" si="4"/>
        <v/>
      </c>
      <c r="H30" s="144">
        <f>IFERROR(VLOOKUP($B30,'2012'!$B:$Q,12,0),0)</f>
        <v>43</v>
      </c>
      <c r="I30" s="144">
        <f>IFERROR(VLOOKUP($B30,'2012'!$B:$Q,13,0),"")</f>
        <v>0</v>
      </c>
      <c r="J30" s="144">
        <f>IFERROR(VLOOKUP($B30,#REF!,2,0),0)</f>
        <v>0</v>
      </c>
      <c r="K30" s="144" t="str">
        <f>IFERROR(VLOOKUP($B30,#REF!,3,0),"")</f>
        <v/>
      </c>
      <c r="L30" s="144"/>
      <c r="M30" s="144"/>
      <c r="N30" s="144">
        <f>IFERROR(VLOOKUP($B30,#REF!,2,0),0)</f>
        <v>0</v>
      </c>
      <c r="O30" s="144" t="str">
        <f>IFERROR(VLOOKUP($B30,#REF!,3,0),"")</f>
        <v/>
      </c>
      <c r="P30" s="144"/>
      <c r="Q30" s="144"/>
      <c r="R30" s="144"/>
      <c r="S30" s="144"/>
      <c r="T30" s="144"/>
      <c r="U30" s="144"/>
      <c r="V30" s="144">
        <f>IFERROR(VLOOKUP($B30,#REF!,12,0),0)</f>
        <v>0</v>
      </c>
      <c r="W30" s="144" t="str">
        <f>IFERROR(VLOOKUP($B30,#REF!,13,0),"")</f>
        <v/>
      </c>
      <c r="X30" s="144"/>
      <c r="Y30" s="144"/>
      <c r="Z30" s="144"/>
      <c r="AA30" s="144"/>
      <c r="AB30" s="4"/>
      <c r="AC30" s="144"/>
      <c r="AD30" s="144">
        <f>IFERROR(VLOOKUP($B30,#REF!,12,0),0)</f>
        <v>0</v>
      </c>
      <c r="AE30" s="144" t="str">
        <f>IFERROR(VLOOKUP($B30,#REF!,13,0),"")</f>
        <v/>
      </c>
      <c r="AF30" s="229">
        <v>180</v>
      </c>
      <c r="AG30" s="229">
        <v>0</v>
      </c>
      <c r="AH30" s="144">
        <f>IFERROR(VLOOKUP($B30,#REF!,12,0),0)</f>
        <v>0</v>
      </c>
      <c r="AI30" s="144" t="str">
        <f>IFERROR(VLOOKUP($B30,#REF!,13,0),"")</f>
        <v/>
      </c>
    </row>
    <row r="31" spans="1:35" ht="19.5" customHeight="1">
      <c r="A31" s="365" t="s">
        <v>242</v>
      </c>
      <c r="B31" s="138" t="s">
        <v>219</v>
      </c>
      <c r="C31" s="232">
        <f t="shared" si="0"/>
        <v>265</v>
      </c>
      <c r="D31" s="23" t="e">
        <f t="shared" si="1"/>
        <v>#VALUE!</v>
      </c>
      <c r="E31" s="23">
        <f t="shared" si="2"/>
        <v>1.3882933847974005E-2</v>
      </c>
      <c r="F31" s="23" t="str">
        <f t="shared" si="3"/>
        <v/>
      </c>
      <c r="G31" s="159" t="str">
        <f t="shared" si="4"/>
        <v/>
      </c>
      <c r="H31" s="144">
        <f>IFERROR(VLOOKUP($B31,'2012'!$B:$Q,12,0),0)</f>
        <v>30</v>
      </c>
      <c r="I31" s="144">
        <f>IFERROR(VLOOKUP($B31,'2012'!$B:$Q,13,0),"")</f>
        <v>0.95526666666666671</v>
      </c>
      <c r="J31" s="144">
        <f>IFERROR(VLOOKUP($B31,#REF!,2,0),0)</f>
        <v>0</v>
      </c>
      <c r="K31" s="144" t="str">
        <f>IFERROR(VLOOKUP($B31,#REF!,3,0),"")</f>
        <v/>
      </c>
      <c r="L31" s="144"/>
      <c r="M31" s="144"/>
      <c r="N31" s="144">
        <f>IFERROR(VLOOKUP($B31,#REF!,2,0),0)</f>
        <v>0</v>
      </c>
      <c r="O31" s="144" t="str">
        <f>IFERROR(VLOOKUP($B31,#REF!,3,0),"")</f>
        <v/>
      </c>
      <c r="P31" s="144"/>
      <c r="Q31" s="144"/>
      <c r="R31" s="144"/>
      <c r="S31" s="144"/>
      <c r="T31" s="144"/>
      <c r="U31" s="144"/>
      <c r="V31" s="144">
        <f>IFERROR(VLOOKUP($B31,#REF!,12,0),0)</f>
        <v>0</v>
      </c>
      <c r="W31" s="144" t="str">
        <f>IFERROR(VLOOKUP($B31,#REF!,13,0),"")</f>
        <v/>
      </c>
      <c r="X31" s="144"/>
      <c r="Y31" s="144"/>
      <c r="Z31" s="144">
        <f>IFERROR(VLOOKUP($B31,#REF!,12,0),0)</f>
        <v>0</v>
      </c>
      <c r="AA31" s="144" t="str">
        <f>IFERROR(VLOOKUP($B31,#REF!,13,0),"")</f>
        <v/>
      </c>
      <c r="AB31" s="4"/>
      <c r="AC31" s="144"/>
      <c r="AD31" s="144"/>
      <c r="AE31" s="144"/>
      <c r="AF31" s="229">
        <v>235</v>
      </c>
      <c r="AG31" s="229">
        <v>0.97490010000000005</v>
      </c>
      <c r="AH31" s="144"/>
      <c r="AI31" s="144"/>
    </row>
    <row r="32" spans="1:35" ht="19.5" customHeight="1">
      <c r="A32" s="366"/>
      <c r="B32" s="138" t="s">
        <v>380</v>
      </c>
      <c r="C32" s="232">
        <f t="shared" si="0"/>
        <v>237</v>
      </c>
      <c r="D32" s="132" t="e">
        <f t="shared" si="1"/>
        <v>#VALUE!</v>
      </c>
      <c r="E32" s="4">
        <f t="shared" si="2"/>
        <v>5.5118311484414394E-2</v>
      </c>
      <c r="F32" s="4" t="str">
        <f t="shared" si="3"/>
        <v/>
      </c>
      <c r="G32" s="143" t="str">
        <f t="shared" si="4"/>
        <v/>
      </c>
      <c r="H32" s="144">
        <f>IFERROR(VLOOKUP($B32,'2012'!$B:$Q,12,0),0)</f>
        <v>11</v>
      </c>
      <c r="I32" s="144">
        <f>IFERROR(VLOOKUP($B32,'2012'!$B:$Q,13,0),"")</f>
        <v>3.9136363636363636</v>
      </c>
      <c r="J32" s="144">
        <f>IFERROR(VLOOKUP($B32,#REF!,2,0),0)</f>
        <v>0</v>
      </c>
      <c r="K32" s="144" t="str">
        <f>IFERROR(VLOOKUP($B32,#REF!,3,0),"")</f>
        <v/>
      </c>
      <c r="L32" s="144"/>
      <c r="M32" s="144"/>
      <c r="N32" s="144">
        <f>IFERROR(VLOOKUP($B32,#REF!,2,0),0)</f>
        <v>0</v>
      </c>
      <c r="O32" s="144" t="str">
        <f>IFERROR(VLOOKUP($B32,#REF!,3,0),"")</f>
        <v/>
      </c>
      <c r="P32" s="144"/>
      <c r="Q32" s="144"/>
      <c r="R32" s="144"/>
      <c r="S32" s="144"/>
      <c r="T32" s="144">
        <f>IFERROR(VLOOKUP($B32,#REF!,2,0),0)</f>
        <v>0</v>
      </c>
      <c r="U32" s="144" t="str">
        <f>IFERROR(VLOOKUP($B32,#REF!,3,0),"")</f>
        <v/>
      </c>
      <c r="V32" s="144">
        <f>IFERROR(VLOOKUP($B32,#REF!,12,0),0)</f>
        <v>0</v>
      </c>
      <c r="W32" s="144" t="str">
        <f>IFERROR(VLOOKUP($B32,#REF!,13,0),"")</f>
        <v/>
      </c>
      <c r="X32" s="144"/>
      <c r="Y32" s="144"/>
      <c r="Z32" s="144">
        <f>IFERROR(VLOOKUP($B32,#REF!,12,0),0)</f>
        <v>0</v>
      </c>
      <c r="AA32" s="144" t="str">
        <f>IFERROR(VLOOKUP($B32,#REF!,13,0),"")</f>
        <v/>
      </c>
      <c r="AB32" s="4"/>
      <c r="AC32" s="144"/>
      <c r="AD32" s="144"/>
      <c r="AE32" s="144"/>
      <c r="AF32" s="229">
        <v>226</v>
      </c>
      <c r="AG32" s="229">
        <v>3.8356873</v>
      </c>
      <c r="AH32" s="144"/>
      <c r="AI32" s="144"/>
    </row>
    <row r="33" spans="1:35" ht="19.5" customHeight="1">
      <c r="A33" s="366"/>
      <c r="B33" s="138" t="s">
        <v>381</v>
      </c>
      <c r="C33" s="232">
        <f t="shared" si="0"/>
        <v>235</v>
      </c>
      <c r="D33" s="132" t="e">
        <f t="shared" si="1"/>
        <v>#VALUE!</v>
      </c>
      <c r="E33" s="4">
        <f t="shared" si="2"/>
        <v>10.367296239731886</v>
      </c>
      <c r="F33" s="4" t="str">
        <f t="shared" si="3"/>
        <v/>
      </c>
      <c r="G33" s="143" t="str">
        <f t="shared" si="4"/>
        <v/>
      </c>
      <c r="H33" s="144">
        <f>IFERROR(VLOOKUP($B33,'2012'!$B:$Q,12,0),0)</f>
        <v>19</v>
      </c>
      <c r="I33" s="144">
        <f>IFERROR(VLOOKUP($B33,'2012'!$B:$Q,13,0),"")</f>
        <v>30.251578947368419</v>
      </c>
      <c r="J33" s="144">
        <f>IFERROR(VLOOKUP($B33,#REF!,2,0),0)</f>
        <v>0</v>
      </c>
      <c r="K33" s="144" t="str">
        <f>IFERROR(VLOOKUP($B33,#REF!,3,0),"")</f>
        <v/>
      </c>
      <c r="L33" s="144"/>
      <c r="M33" s="144"/>
      <c r="N33" s="144">
        <f>IFERROR(VLOOKUP($B33,#REF!,2,0),0)</f>
        <v>0</v>
      </c>
      <c r="O33" s="144" t="str">
        <f>IFERROR(VLOOKUP($B33,#REF!,3,0),"")</f>
        <v/>
      </c>
      <c r="P33" s="144"/>
      <c r="Q33" s="144"/>
      <c r="R33" s="144"/>
      <c r="S33" s="144"/>
      <c r="T33" s="144"/>
      <c r="U33" s="144"/>
      <c r="V33" s="144">
        <f>IFERROR(VLOOKUP($B33,#REF!,12,0),0)</f>
        <v>0</v>
      </c>
      <c r="W33" s="144" t="str">
        <f>IFERROR(VLOOKUP($B33,#REF!,13,0),"")</f>
        <v/>
      </c>
      <c r="X33" s="144"/>
      <c r="Y33" s="144"/>
      <c r="Z33" s="144">
        <f>IFERROR(VLOOKUP($B33,#REF!,12,0),0)</f>
        <v>0</v>
      </c>
      <c r="AA33" s="144" t="str">
        <f>IFERROR(VLOOKUP($B33,#REF!,13,0),"")</f>
        <v/>
      </c>
      <c r="AB33" s="3"/>
      <c r="AC33" s="144"/>
      <c r="AD33" s="144"/>
      <c r="AE33" s="144"/>
      <c r="AF33" s="229">
        <v>216</v>
      </c>
      <c r="AG33" s="229">
        <v>15.590007999999999</v>
      </c>
      <c r="AH33" s="144"/>
      <c r="AI33" s="144"/>
    </row>
    <row r="34" spans="1:35" ht="19.5" customHeight="1">
      <c r="A34" s="366"/>
      <c r="B34" s="138" t="s">
        <v>382</v>
      </c>
      <c r="C34" s="232">
        <f t="shared" si="0"/>
        <v>218</v>
      </c>
      <c r="D34" s="132" t="e">
        <f t="shared" si="1"/>
        <v>#VALUE!</v>
      </c>
      <c r="E34" s="4">
        <f t="shared" si="2"/>
        <v>7.0132288341870172E-2</v>
      </c>
      <c r="F34" s="4" t="str">
        <f t="shared" si="3"/>
        <v/>
      </c>
      <c r="G34" s="143" t="str">
        <f t="shared" si="4"/>
        <v/>
      </c>
      <c r="H34" s="144">
        <f>IFERROR(VLOOKUP($B34,'2012'!$B:$Q,12,0),0)</f>
        <v>3</v>
      </c>
      <c r="I34" s="144">
        <f>IFERROR(VLOOKUP($B34,'2012'!$B:$Q,13,0),"")</f>
        <v>1.6666666666666667</v>
      </c>
      <c r="J34" s="144">
        <f>IFERROR(VLOOKUP($B34,#REF!,2,0),0)</f>
        <v>0</v>
      </c>
      <c r="K34" s="144" t="str">
        <f>IFERROR(VLOOKUP($B34,#REF!,3,0),"")</f>
        <v/>
      </c>
      <c r="L34" s="144"/>
      <c r="M34" s="144"/>
      <c r="N34" s="144">
        <f>IFERROR(VLOOKUP($B34,#REF!,2,0),0)</f>
        <v>0</v>
      </c>
      <c r="O34" s="144" t="str">
        <f>IFERROR(VLOOKUP($B34,#REF!,3,0),"")</f>
        <v/>
      </c>
      <c r="P34" s="144"/>
      <c r="Q34" s="144"/>
      <c r="R34" s="144"/>
      <c r="S34" s="144"/>
      <c r="T34" s="144"/>
      <c r="U34" s="144"/>
      <c r="V34" s="144">
        <f>IFERROR(VLOOKUP($B34,#REF!,12,0),0)</f>
        <v>0</v>
      </c>
      <c r="W34" s="144" t="str">
        <f>IFERROR(VLOOKUP($B34,#REF!,13,0),"")</f>
        <v/>
      </c>
      <c r="X34" s="144"/>
      <c r="Y34" s="144"/>
      <c r="Z34" s="144">
        <f>IFERROR(VLOOKUP($B34,#REF!,12,0),0)</f>
        <v>0</v>
      </c>
      <c r="AA34" s="144" t="str">
        <f>IFERROR(VLOOKUP($B34,#REF!,13,0),"")</f>
        <v/>
      </c>
      <c r="AB34" s="4"/>
      <c r="AC34" s="144"/>
      <c r="AD34" s="144"/>
      <c r="AE34" s="144"/>
      <c r="AF34" s="229">
        <v>215</v>
      </c>
      <c r="AG34" s="229">
        <v>1.7658487</v>
      </c>
      <c r="AH34" s="144"/>
      <c r="AI34" s="144"/>
    </row>
    <row r="35" spans="1:35" ht="19.5" customHeight="1">
      <c r="A35" s="366"/>
      <c r="B35" s="138" t="s">
        <v>243</v>
      </c>
      <c r="C35" s="232">
        <f t="shared" si="0"/>
        <v>174</v>
      </c>
      <c r="D35" s="132" t="e">
        <f t="shared" si="1"/>
        <v>#VALUE!</v>
      </c>
      <c r="E35" s="4">
        <f t="shared" si="2"/>
        <v>8.5374718379013545E-2</v>
      </c>
      <c r="F35" s="4" t="str">
        <f t="shared" si="3"/>
        <v/>
      </c>
      <c r="G35" s="143" t="str">
        <f t="shared" si="4"/>
        <v/>
      </c>
      <c r="H35" s="144">
        <f>IFERROR(VLOOKUP($B35,'2012'!$B:$Q,12,0),0)</f>
        <v>13</v>
      </c>
      <c r="I35" s="144">
        <f>IFERROR(VLOOKUP($B35,'2012'!$B:$Q,13,0),"")</f>
        <v>1.8846153846153846</v>
      </c>
      <c r="J35" s="144">
        <f>IFERROR(VLOOKUP($B35,#REF!,2,0),0)</f>
        <v>0</v>
      </c>
      <c r="K35" s="144" t="str">
        <f>IFERROR(VLOOKUP($B35,#REF!,3,0),"")</f>
        <v/>
      </c>
      <c r="L35" s="144"/>
      <c r="M35" s="144"/>
      <c r="N35" s="144">
        <f>IFERROR(VLOOKUP($B35,#REF!,2,0),0)</f>
        <v>0</v>
      </c>
      <c r="O35" s="144" t="str">
        <f>IFERROR(VLOOKUP($B35,#REF!,3,0),"")</f>
        <v/>
      </c>
      <c r="P35" s="144"/>
      <c r="Q35" s="144"/>
      <c r="R35" s="144"/>
      <c r="S35" s="144"/>
      <c r="T35" s="144"/>
      <c r="U35" s="144"/>
      <c r="V35" s="144">
        <f>IFERROR(VLOOKUP($B35,#REF!,12,0),0)</f>
        <v>0</v>
      </c>
      <c r="W35" s="144" t="str">
        <f>IFERROR(VLOOKUP($B35,#REF!,13,0),"")</f>
        <v/>
      </c>
      <c r="X35" s="144"/>
      <c r="Y35" s="144"/>
      <c r="Z35" s="144"/>
      <c r="AA35" s="144"/>
      <c r="AB35" s="5"/>
      <c r="AC35" s="144"/>
      <c r="AD35" s="144"/>
      <c r="AE35" s="144"/>
      <c r="AF35" s="229">
        <v>161</v>
      </c>
      <c r="AG35" s="229">
        <v>1.7638773000000001</v>
      </c>
      <c r="AH35" s="144"/>
      <c r="AI35" s="144"/>
    </row>
    <row r="36" spans="1:35" ht="19.5" customHeight="1">
      <c r="A36" s="366"/>
      <c r="B36" s="138" t="s">
        <v>220</v>
      </c>
      <c r="C36" s="232">
        <f t="shared" si="0"/>
        <v>0</v>
      </c>
      <c r="D36" s="132" t="e">
        <f t="shared" si="1"/>
        <v>#VALUE!</v>
      </c>
      <c r="E36" s="4" t="str">
        <f t="shared" si="2"/>
        <v/>
      </c>
      <c r="F36" s="4" t="str">
        <f t="shared" si="3"/>
        <v/>
      </c>
      <c r="G36" s="143" t="str">
        <f t="shared" si="4"/>
        <v/>
      </c>
      <c r="H36" s="144"/>
      <c r="I36" s="144"/>
      <c r="J36" s="144">
        <f>IFERROR(VLOOKUP($B36,#REF!,2,0),0)</f>
        <v>0</v>
      </c>
      <c r="K36" s="144" t="str">
        <f>IFERROR(VLOOKUP($B36,#REF!,3,0),"")</f>
        <v/>
      </c>
      <c r="L36" s="144"/>
      <c r="M36" s="144"/>
      <c r="N36" s="144">
        <f>IFERROR(VLOOKUP($B36,#REF!,2,0),0)</f>
        <v>0</v>
      </c>
      <c r="O36" s="144" t="str">
        <f>IFERROR(VLOOKUP($B36,#REF!,3,0),"")</f>
        <v/>
      </c>
      <c r="P36" s="144"/>
      <c r="Q36" s="144"/>
      <c r="R36" s="144"/>
      <c r="S36" s="144"/>
      <c r="T36" s="144"/>
      <c r="U36" s="144"/>
      <c r="V36" s="144">
        <f>IFERROR(VLOOKUP($B36,#REF!,12,0),0)</f>
        <v>0</v>
      </c>
      <c r="W36" s="144" t="str">
        <f>IFERROR(VLOOKUP($B36,#REF!,13,0),"")</f>
        <v/>
      </c>
      <c r="X36" s="144"/>
      <c r="Y36" s="144"/>
      <c r="Z36" s="144"/>
      <c r="AA36" s="144"/>
      <c r="AB36" s="10"/>
      <c r="AC36" s="144"/>
      <c r="AD36" s="144"/>
      <c r="AE36" s="144"/>
      <c r="AF36" s="229"/>
      <c r="AG36" s="229"/>
      <c r="AH36" s="144"/>
      <c r="AI36" s="144"/>
    </row>
    <row r="37" spans="1:35" ht="19.5" customHeight="1">
      <c r="A37" s="367"/>
      <c r="B37" s="138" t="s">
        <v>244</v>
      </c>
      <c r="C37" s="232">
        <f t="shared" si="0"/>
        <v>192</v>
      </c>
      <c r="D37" s="132" t="e">
        <f t="shared" si="1"/>
        <v>#VALUE!</v>
      </c>
      <c r="E37" s="4">
        <f t="shared" si="2"/>
        <v>1.1188714647487987</v>
      </c>
      <c r="F37" s="4" t="str">
        <f t="shared" si="3"/>
        <v/>
      </c>
      <c r="G37" s="143" t="str">
        <f t="shared" si="4"/>
        <v/>
      </c>
      <c r="H37" s="144">
        <f>IFERROR(VLOOKUP($B37,'2012'!$B:$Q,12,0),0)</f>
        <v>5</v>
      </c>
      <c r="I37" s="144">
        <f>IFERROR(VLOOKUP($B37,'2012'!$B:$Q,13,0),"")</f>
        <v>2.9</v>
      </c>
      <c r="J37" s="144">
        <f>IFERROR(VLOOKUP($B37,#REF!,2,0),0)</f>
        <v>0</v>
      </c>
      <c r="K37" s="144" t="str">
        <f>IFERROR(VLOOKUP($B37,#REF!,3,0),"")</f>
        <v/>
      </c>
      <c r="L37" s="144"/>
      <c r="M37" s="144"/>
      <c r="N37" s="144">
        <f>IFERROR(VLOOKUP($B37,#REF!,2,0),0)</f>
        <v>0</v>
      </c>
      <c r="O37" s="144" t="str">
        <f>IFERROR(VLOOKUP($B37,#REF!,3,0),"")</f>
        <v/>
      </c>
      <c r="P37" s="144"/>
      <c r="Q37" s="144"/>
      <c r="R37" s="144"/>
      <c r="S37" s="144"/>
      <c r="T37" s="144"/>
      <c r="U37" s="144"/>
      <c r="V37" s="144">
        <f>IFERROR(VLOOKUP($B37,#REF!,12,0),0)</f>
        <v>0</v>
      </c>
      <c r="W37" s="144" t="str">
        <f>IFERROR(VLOOKUP($B37,#REF!,13,0),"")</f>
        <v/>
      </c>
      <c r="X37" s="144"/>
      <c r="Y37" s="144"/>
      <c r="Z37" s="144"/>
      <c r="AA37" s="144"/>
      <c r="AB37" s="10"/>
      <c r="AC37" s="144"/>
      <c r="AD37" s="144"/>
      <c r="AE37" s="144"/>
      <c r="AF37" s="229">
        <v>187</v>
      </c>
      <c r="AG37" s="229">
        <v>1.3176768000000001</v>
      </c>
      <c r="AH37" s="144"/>
      <c r="AI37" s="144"/>
    </row>
    <row r="38" spans="1:35" ht="19.5" customHeight="1">
      <c r="A38" s="364" t="s">
        <v>221</v>
      </c>
      <c r="B38" s="138" t="s">
        <v>384</v>
      </c>
      <c r="C38" s="232">
        <f t="shared" si="0"/>
        <v>332</v>
      </c>
      <c r="D38" s="132" t="e">
        <f t="shared" si="1"/>
        <v>#VALUE!</v>
      </c>
      <c r="E38" s="4">
        <f t="shared" si="2"/>
        <v>0.69692423140542681</v>
      </c>
      <c r="F38" s="4" t="str">
        <f t="shared" si="3"/>
        <v/>
      </c>
      <c r="G38" s="143" t="str">
        <f t="shared" si="4"/>
        <v/>
      </c>
      <c r="H38" s="144">
        <f>IFERROR(VLOOKUP($B38,'2012'!$B:$Q,12,0),0)</f>
        <v>41</v>
      </c>
      <c r="I38" s="144">
        <f>IFERROR(VLOOKUP($B38,'2012'!$B:$Q,13,0),"")</f>
        <v>0</v>
      </c>
      <c r="J38" s="144">
        <f>IFERROR(VLOOKUP($B38,#REF!,2,0),0)</f>
        <v>0</v>
      </c>
      <c r="K38" s="144" t="str">
        <f>IFERROR(VLOOKUP($B38,#REF!,3,0),"")</f>
        <v/>
      </c>
      <c r="L38" s="144"/>
      <c r="M38" s="144"/>
      <c r="N38" s="144">
        <f>IFERROR(VLOOKUP($B38,#REF!,2,0),0)</f>
        <v>0</v>
      </c>
      <c r="O38" s="144" t="str">
        <f>IFERROR(VLOOKUP($B38,#REF!,3,0),"")</f>
        <v/>
      </c>
      <c r="P38" s="144"/>
      <c r="Q38" s="144"/>
      <c r="R38" s="144"/>
      <c r="S38" s="144"/>
      <c r="T38" s="144">
        <f>IFERROR(VLOOKUP($B38,#REF!,2,0),0)</f>
        <v>0</v>
      </c>
      <c r="U38" s="144" t="str">
        <f>IFERROR(VLOOKUP($B38,#REF!,3,0),"")</f>
        <v/>
      </c>
      <c r="V38" s="144">
        <f>IFERROR(VLOOKUP($B38,#REF!,12,0),0)</f>
        <v>0</v>
      </c>
      <c r="W38" s="144" t="str">
        <f>IFERROR(VLOOKUP($B38,#REF!,13,0),"")</f>
        <v/>
      </c>
      <c r="X38" s="144"/>
      <c r="Y38" s="144"/>
      <c r="Z38" s="144">
        <f>IFERROR(VLOOKUP($B38,#REF!,12,0),0)</f>
        <v>0</v>
      </c>
      <c r="AA38" s="144" t="str">
        <f>IFERROR(VLOOKUP($B38,#REF!,13,0),"")</f>
        <v/>
      </c>
      <c r="AB38" s="4"/>
      <c r="AC38" s="144"/>
      <c r="AD38" s="144"/>
      <c r="AE38" s="144"/>
      <c r="AF38" s="229">
        <v>291</v>
      </c>
      <c r="AG38" s="230">
        <v>0.98559969999999997</v>
      </c>
      <c r="AH38" s="144">
        <f>IFERROR(VLOOKUP($B38,#REF!,12,0),0)</f>
        <v>0</v>
      </c>
      <c r="AI38" s="144" t="str">
        <f>IFERROR(VLOOKUP($B38,#REF!,13,0),"")</f>
        <v/>
      </c>
    </row>
    <row r="39" spans="1:35" ht="19.5" customHeight="1">
      <c r="A39" s="364"/>
      <c r="B39" s="138" t="s">
        <v>211</v>
      </c>
      <c r="C39" s="232">
        <f t="shared" si="0"/>
        <v>221</v>
      </c>
      <c r="D39" s="132" t="e">
        <f t="shared" si="1"/>
        <v>#VALUE!</v>
      </c>
      <c r="E39" s="4">
        <f t="shared" si="2"/>
        <v>1.6011360277967048</v>
      </c>
      <c r="F39" s="4" t="str">
        <f t="shared" si="3"/>
        <v/>
      </c>
      <c r="G39" s="143" t="str">
        <f t="shared" si="4"/>
        <v/>
      </c>
      <c r="H39" s="144">
        <f>IFERROR(VLOOKUP($B39,'2012'!$B:$Q,12,0),0)</f>
        <v>28</v>
      </c>
      <c r="I39" s="144">
        <f>IFERROR(VLOOKUP($B39,'2012'!$B:$Q,13,0),"")</f>
        <v>2.6117857142857139</v>
      </c>
      <c r="J39" s="144">
        <f>IFERROR(VLOOKUP($B39,#REF!,2,0),0)</f>
        <v>0</v>
      </c>
      <c r="K39" s="144" t="str">
        <f>IFERROR(VLOOKUP($B39,#REF!,3,0),"")</f>
        <v/>
      </c>
      <c r="L39" s="144"/>
      <c r="M39" s="144"/>
      <c r="N39" s="144">
        <f>IFERROR(VLOOKUP($B39,#REF!,2,0),0)</f>
        <v>0</v>
      </c>
      <c r="O39" s="144" t="str">
        <f>IFERROR(VLOOKUP($B39,#REF!,3,0),"")</f>
        <v/>
      </c>
      <c r="P39" s="144"/>
      <c r="Q39" s="144"/>
      <c r="R39" s="144"/>
      <c r="S39" s="144"/>
      <c r="T39" s="144">
        <f>IFERROR(VLOOKUP($B39,#REF!,2,0),0)</f>
        <v>0</v>
      </c>
      <c r="U39" s="144" t="str">
        <f>IFERROR(VLOOKUP($B39,#REF!,3,0),"")</f>
        <v/>
      </c>
      <c r="V39" s="144">
        <f>IFERROR(VLOOKUP($B39,#REF!,12,0),0)</f>
        <v>0</v>
      </c>
      <c r="W39" s="144" t="str">
        <f>IFERROR(VLOOKUP($B39,#REF!,13,0),"")</f>
        <v/>
      </c>
      <c r="X39" s="144"/>
      <c r="Y39" s="144"/>
      <c r="Z39" s="144">
        <f>IFERROR(VLOOKUP($B39,#REF!,12,0),0)</f>
        <v>0</v>
      </c>
      <c r="AA39" s="144" t="str">
        <f>IFERROR(VLOOKUP($B39,#REF!,13,0),"")</f>
        <v/>
      </c>
      <c r="AB39" s="5"/>
      <c r="AC39" s="144"/>
      <c r="AD39" s="144"/>
      <c r="AE39" s="144"/>
      <c r="AF39" s="229">
        <v>193</v>
      </c>
      <c r="AG39" s="229">
        <v>4.8761340000000004</v>
      </c>
      <c r="AH39" s="144">
        <f>IFERROR(VLOOKUP($B39,#REF!,12,0),0)</f>
        <v>0</v>
      </c>
      <c r="AI39" s="144" t="str">
        <f>IFERROR(VLOOKUP($B39,#REF!,13,0),"")</f>
        <v/>
      </c>
    </row>
    <row r="40" spans="1:35" ht="19.5" customHeight="1">
      <c r="A40" s="364"/>
      <c r="B40" s="138" t="s">
        <v>245</v>
      </c>
      <c r="C40" s="232">
        <f t="shared" si="0"/>
        <v>194</v>
      </c>
      <c r="D40" s="23" t="e">
        <f t="shared" si="1"/>
        <v>#VALUE!</v>
      </c>
      <c r="E40" s="23">
        <f t="shared" si="2"/>
        <v>1.2492689248245186E-2</v>
      </c>
      <c r="F40" s="23" t="str">
        <f t="shared" si="3"/>
        <v/>
      </c>
      <c r="G40" s="159" t="str">
        <f t="shared" si="4"/>
        <v/>
      </c>
      <c r="H40" s="144">
        <f>IFERROR(VLOOKUP($B40,'2012'!$B:$Q,12,0),0)</f>
        <v>27</v>
      </c>
      <c r="I40" s="144">
        <f>IFERROR(VLOOKUP($B40,'2012'!$B:$Q,13,0),"")</f>
        <v>4.1822222222222219E-2</v>
      </c>
      <c r="J40" s="144">
        <f>IFERROR(VLOOKUP($B40,#REF!,2,0),0)</f>
        <v>0</v>
      </c>
      <c r="K40" s="144" t="str">
        <f>IFERROR(VLOOKUP($B40,#REF!,3,0),"")</f>
        <v/>
      </c>
      <c r="L40" s="144"/>
      <c r="M40" s="144"/>
      <c r="N40" s="144">
        <f>IFERROR(VLOOKUP($B40,#REF!,2,0),0)</f>
        <v>0</v>
      </c>
      <c r="O40" s="144" t="str">
        <f>IFERROR(VLOOKUP($B40,#REF!,3,0),"")</f>
        <v/>
      </c>
      <c r="P40" s="144"/>
      <c r="Q40" s="144"/>
      <c r="R40" s="144"/>
      <c r="S40" s="144"/>
      <c r="T40" s="144">
        <f>IFERROR(VLOOKUP($B40,#REF!,2,0),0)</f>
        <v>0</v>
      </c>
      <c r="U40" s="144" t="str">
        <f>IFERROR(VLOOKUP($B40,#REF!,3,0),"")</f>
        <v/>
      </c>
      <c r="V40" s="144">
        <f>IFERROR(VLOOKUP($B40,#REF!,12,0),0)</f>
        <v>0</v>
      </c>
      <c r="W40" s="144" t="str">
        <f>IFERROR(VLOOKUP($B40,#REF!,13,0),"")</f>
        <v/>
      </c>
      <c r="X40" s="144"/>
      <c r="Y40" s="144"/>
      <c r="Z40" s="144">
        <f>IFERROR(VLOOKUP($B40,#REF!,12,0),0)</f>
        <v>0</v>
      </c>
      <c r="AA40" s="144" t="str">
        <f>IFERROR(VLOOKUP($B40,#REF!,13,0),"")</f>
        <v/>
      </c>
      <c r="AB40" s="9"/>
      <c r="AC40" s="144"/>
      <c r="AD40" s="144"/>
      <c r="AE40" s="144"/>
      <c r="AF40" s="229">
        <v>167</v>
      </c>
      <c r="AG40" s="229">
        <v>6.2002599999999998E-2</v>
      </c>
      <c r="AH40" s="144">
        <f>IFERROR(VLOOKUP($B40,#REF!,12,0),0)</f>
        <v>0</v>
      </c>
      <c r="AI40" s="144">
        <v>3.9154428569999997E-2</v>
      </c>
    </row>
    <row r="41" spans="1:35" ht="19.5" customHeight="1">
      <c r="A41" s="364"/>
      <c r="B41" s="139" t="s">
        <v>222</v>
      </c>
      <c r="C41" s="232">
        <f t="shared" si="0"/>
        <v>252</v>
      </c>
      <c r="D41" s="132" t="e">
        <f t="shared" si="1"/>
        <v>#VALUE!</v>
      </c>
      <c r="E41" s="4">
        <f t="shared" si="2"/>
        <v>2.3663961292976974</v>
      </c>
      <c r="F41" s="4" t="str">
        <f t="shared" si="3"/>
        <v/>
      </c>
      <c r="G41" s="143" t="str">
        <f t="shared" si="4"/>
        <v/>
      </c>
      <c r="H41" s="144">
        <f>IFERROR(VLOOKUP($B41,'2012'!$B:$Q,12,0),0)</f>
        <v>34</v>
      </c>
      <c r="I41" s="144">
        <f>IFERROR(VLOOKUP($B41,'2012'!$B:$Q,13,0),"")</f>
        <v>0</v>
      </c>
      <c r="J41" s="144">
        <f>IFERROR(VLOOKUP($B41,#REF!,2,0),0)</f>
        <v>0</v>
      </c>
      <c r="K41" s="144" t="str">
        <f>IFERROR(VLOOKUP($B41,#REF!,3,0),"")</f>
        <v/>
      </c>
      <c r="L41" s="144"/>
      <c r="M41" s="144"/>
      <c r="N41" s="144">
        <f>IFERROR(VLOOKUP($B41,#REF!,2,0),0)</f>
        <v>0</v>
      </c>
      <c r="O41" s="144" t="str">
        <f>IFERROR(VLOOKUP($B41,#REF!,3,0),"")</f>
        <v/>
      </c>
      <c r="P41" s="144"/>
      <c r="Q41" s="144"/>
      <c r="R41" s="144"/>
      <c r="S41" s="144"/>
      <c r="T41" s="144">
        <f>IFERROR(VLOOKUP($B41,#REF!,2,0),0)</f>
        <v>0</v>
      </c>
      <c r="U41" s="144" t="str">
        <f>IFERROR(VLOOKUP($B41,#REF!,3,0),"")</f>
        <v/>
      </c>
      <c r="V41" s="144">
        <f>IFERROR(VLOOKUP($B41,#REF!,12,0),0)</f>
        <v>0</v>
      </c>
      <c r="W41" s="144" t="str">
        <f>IFERROR(VLOOKUP($B41,#REF!,13,0),"")</f>
        <v/>
      </c>
      <c r="X41" s="144">
        <f>IFERROR(VLOOKUP($B41,#REF!,12,0),0)</f>
        <v>0</v>
      </c>
      <c r="Y41" s="144" t="str">
        <f>IFERROR(VLOOKUP($B41,#REF!,13,0),"")</f>
        <v/>
      </c>
      <c r="Z41" s="144">
        <f>IFERROR(VLOOKUP($B41,#REF!,12,0),0)</f>
        <v>0</v>
      </c>
      <c r="AA41" s="144" t="str">
        <f>IFERROR(VLOOKUP($B41,#REF!,13,0),"")</f>
        <v/>
      </c>
      <c r="AB41" s="7"/>
      <c r="AC41" s="144"/>
      <c r="AD41" s="144"/>
      <c r="AE41" s="144"/>
      <c r="AF41" s="229">
        <v>218</v>
      </c>
      <c r="AG41" s="230">
        <v>3.3465894999999999</v>
      </c>
      <c r="AH41" s="144">
        <f>IFERROR(VLOOKUP($B41,#REF!,12,0),0)</f>
        <v>0</v>
      </c>
      <c r="AI41" s="144" t="str">
        <f>IFERROR(VLOOKUP($B41,#REF!,13,0),"")</f>
        <v/>
      </c>
    </row>
    <row r="42" spans="1:35" ht="19.5" customHeight="1">
      <c r="A42" s="364"/>
      <c r="B42" s="139" t="s">
        <v>223</v>
      </c>
      <c r="C42" s="232">
        <f t="shared" si="0"/>
        <v>109</v>
      </c>
      <c r="D42" s="132" t="e">
        <f t="shared" si="1"/>
        <v>#VALUE!</v>
      </c>
      <c r="E42" s="4">
        <f t="shared" si="2"/>
        <v>1.0559461030016848</v>
      </c>
      <c r="F42" s="4" t="str">
        <f t="shared" si="3"/>
        <v/>
      </c>
      <c r="G42" s="143" t="str">
        <f t="shared" si="4"/>
        <v/>
      </c>
      <c r="H42" s="144">
        <f>IFERROR(VLOOKUP($B42,'2012'!$B:$Q,12,0),0)</f>
        <v>34</v>
      </c>
      <c r="I42" s="144">
        <f>IFERROR(VLOOKUP($B42,'2012'!$B:$Q,13,0),"")</f>
        <v>0</v>
      </c>
      <c r="J42" s="144">
        <f>IFERROR(VLOOKUP($B42,#REF!,2,0),0)</f>
        <v>0</v>
      </c>
      <c r="K42" s="144" t="str">
        <f>IFERROR(VLOOKUP($B42,#REF!,3,0),"")</f>
        <v/>
      </c>
      <c r="L42" s="144"/>
      <c r="M42" s="144"/>
      <c r="N42" s="144">
        <f>IFERROR(VLOOKUP($B42,#REF!,2,0),0)</f>
        <v>0</v>
      </c>
      <c r="O42" s="144" t="str">
        <f>IFERROR(VLOOKUP($B42,#REF!,3,0),"")</f>
        <v/>
      </c>
      <c r="P42" s="144"/>
      <c r="Q42" s="144"/>
      <c r="R42" s="144"/>
      <c r="S42" s="144"/>
      <c r="T42" s="144">
        <f>IFERROR(VLOOKUP($B42,#REF!,2,0),0)</f>
        <v>0</v>
      </c>
      <c r="U42" s="144" t="str">
        <f>IFERROR(VLOOKUP($B42,#REF!,3,0),"")</f>
        <v/>
      </c>
      <c r="V42" s="144">
        <f>IFERROR(VLOOKUP($B42,#REF!,12,0),0)</f>
        <v>0</v>
      </c>
      <c r="W42" s="144" t="str">
        <f>IFERROR(VLOOKUP($B42,#REF!,13,0),"")</f>
        <v/>
      </c>
      <c r="X42" s="144">
        <f>IFERROR(VLOOKUP($B42,#REF!,12,0),0)</f>
        <v>0</v>
      </c>
      <c r="Y42" s="144" t="str">
        <f>IFERROR(VLOOKUP($B42,#REF!,13,0),"")</f>
        <v/>
      </c>
      <c r="Z42" s="144">
        <f>IFERROR(VLOOKUP($B42,#REF!,12,0),0)</f>
        <v>0</v>
      </c>
      <c r="AA42" s="144" t="str">
        <f>IFERROR(VLOOKUP($B42,#REF!,13,0),"")</f>
        <v/>
      </c>
      <c r="AB42" s="61"/>
      <c r="AC42" s="144"/>
      <c r="AD42" s="144"/>
      <c r="AE42" s="144"/>
      <c r="AF42" s="229">
        <v>75</v>
      </c>
      <c r="AG42" s="229">
        <v>1.4933333</v>
      </c>
      <c r="AH42" s="144">
        <f>IFERROR(VLOOKUP($B42,#REF!,12,0),0)</f>
        <v>0</v>
      </c>
      <c r="AI42" s="144" t="str">
        <f>IFERROR(VLOOKUP($B42,#REF!,13,0),"")</f>
        <v/>
      </c>
    </row>
    <row r="43" spans="1:35" ht="19.5" customHeight="1">
      <c r="A43" s="364"/>
      <c r="B43" s="139" t="s">
        <v>383</v>
      </c>
      <c r="C43" s="232">
        <f t="shared" si="0"/>
        <v>121</v>
      </c>
      <c r="D43" s="132" t="e">
        <f t="shared" si="1"/>
        <v>#VALUE!</v>
      </c>
      <c r="E43" s="4">
        <f t="shared" si="2"/>
        <v>14.614886711535652</v>
      </c>
      <c r="F43" s="4" t="str">
        <f t="shared" si="3"/>
        <v/>
      </c>
      <c r="G43" s="143" t="str">
        <f t="shared" si="4"/>
        <v/>
      </c>
      <c r="H43" s="144">
        <f>IFERROR(VLOOKUP($B43,'2012'!$B:$Q,12,0),0)</f>
        <v>5</v>
      </c>
      <c r="I43" s="144">
        <f>IFERROR(VLOOKUP($B43,'2012'!$B:$Q,13,0),"")</f>
        <v>59.070000000000007</v>
      </c>
      <c r="J43" s="144">
        <f>IFERROR(VLOOKUP($B43,#REF!,2,0),0)</f>
        <v>0</v>
      </c>
      <c r="K43" s="144" t="str">
        <f>IFERROR(VLOOKUP($B43,#REF!,3,0),"")</f>
        <v/>
      </c>
      <c r="L43" s="144"/>
      <c r="M43" s="144"/>
      <c r="N43" s="144">
        <f>IFERROR(VLOOKUP($B43,#REF!,2,0),0)</f>
        <v>0</v>
      </c>
      <c r="O43" s="144" t="str">
        <f>IFERROR(VLOOKUP($B43,#REF!,3,0),"")</f>
        <v/>
      </c>
      <c r="P43" s="144"/>
      <c r="Q43" s="144"/>
      <c r="R43" s="144"/>
      <c r="S43" s="144"/>
      <c r="T43" s="144"/>
      <c r="U43" s="144"/>
      <c r="V43" s="144">
        <f>IFERROR(VLOOKUP($B43,#REF!,12,0),0)</f>
        <v>0</v>
      </c>
      <c r="W43" s="144" t="str">
        <f>IFERROR(VLOOKUP($B43,#REF!,13,0),"")</f>
        <v/>
      </c>
      <c r="X43" s="144"/>
      <c r="Y43" s="144"/>
      <c r="Z43" s="144"/>
      <c r="AA43" s="144"/>
      <c r="AB43" s="9"/>
      <c r="AC43" s="144"/>
      <c r="AD43" s="144"/>
      <c r="AE43" s="144"/>
      <c r="AF43" s="229">
        <v>116</v>
      </c>
      <c r="AG43" s="229">
        <v>79.738570999999993</v>
      </c>
      <c r="AH43" s="144"/>
      <c r="AI43" s="144"/>
    </row>
  </sheetData>
  <mergeCells count="24">
    <mergeCell ref="N1:O1"/>
    <mergeCell ref="A1:B2"/>
    <mergeCell ref="C1:G1"/>
    <mergeCell ref="H1:I1"/>
    <mergeCell ref="J1:K1"/>
    <mergeCell ref="L1:M1"/>
    <mergeCell ref="A38:A43"/>
    <mergeCell ref="A31:A37"/>
    <mergeCell ref="A3:A13"/>
    <mergeCell ref="A14:A16"/>
    <mergeCell ref="A17:A20"/>
    <mergeCell ref="A21:A25"/>
    <mergeCell ref="A27:A28"/>
    <mergeCell ref="A29:A30"/>
    <mergeCell ref="P1:Q1"/>
    <mergeCell ref="R1:S1"/>
    <mergeCell ref="T1:U1"/>
    <mergeCell ref="V1:W1"/>
    <mergeCell ref="X1:Y1"/>
    <mergeCell ref="Z1:AA1"/>
    <mergeCell ref="AB1:AC1"/>
    <mergeCell ref="AD1:AE1"/>
    <mergeCell ref="AF1:AG1"/>
    <mergeCell ref="AH1:AI1"/>
  </mergeCells>
  <phoneticPr fontId="26" type="noConversion"/>
  <conditionalFormatting sqref="I3:I28">
    <cfRule type="containsBlanks" priority="1253" stopIfTrue="1">
      <formula>LEN(TRIM(I3))=0</formula>
    </cfRule>
    <cfRule type="cellIs" dxfId="87" priority="1254" operator="notBetween">
      <formula>$F3</formula>
      <formula>$G3</formula>
    </cfRule>
  </conditionalFormatting>
  <conditionalFormatting sqref="K3">
    <cfRule type="cellIs" dxfId="86" priority="1189" operator="notBetween">
      <formula>$F3</formula>
      <formula>$G3</formula>
    </cfRule>
    <cfRule type="containsBlanks" priority="1190" stopIfTrue="1">
      <formula>LEN(TRIM(K3))=0</formula>
    </cfRule>
  </conditionalFormatting>
  <conditionalFormatting sqref="K4">
    <cfRule type="cellIs" dxfId="85" priority="1187" operator="notBetween">
      <formula>$F4</formula>
      <formula>$G4</formula>
    </cfRule>
    <cfRule type="containsBlanks" priority="1188" stopIfTrue="1">
      <formula>LEN(TRIM(K4))=0</formula>
    </cfRule>
  </conditionalFormatting>
  <conditionalFormatting sqref="K5">
    <cfRule type="cellIs" dxfId="84" priority="1185" operator="notBetween">
      <formula>$F5</formula>
      <formula>$G5</formula>
    </cfRule>
    <cfRule type="containsBlanks" priority="1186" stopIfTrue="1">
      <formula>LEN(TRIM(K5))=0</formula>
    </cfRule>
  </conditionalFormatting>
  <conditionalFormatting sqref="K6">
    <cfRule type="cellIs" dxfId="83" priority="1183" operator="notBetween">
      <formula>$F6</formula>
      <formula>$G6</formula>
    </cfRule>
    <cfRule type="containsBlanks" priority="1184" stopIfTrue="1">
      <formula>LEN(TRIM(K6))=0</formula>
    </cfRule>
  </conditionalFormatting>
  <conditionalFormatting sqref="K7">
    <cfRule type="cellIs" dxfId="82" priority="1181" operator="notBetween">
      <formula>$F7</formula>
      <formula>$G7</formula>
    </cfRule>
    <cfRule type="containsBlanks" priority="1182" stopIfTrue="1">
      <formula>LEN(TRIM(K7))=0</formula>
    </cfRule>
  </conditionalFormatting>
  <conditionalFormatting sqref="K8">
    <cfRule type="cellIs" dxfId="81" priority="1179" operator="notBetween">
      <formula>$F8</formula>
      <formula>$G8</formula>
    </cfRule>
    <cfRule type="containsBlanks" priority="1180" stopIfTrue="1">
      <formula>LEN(TRIM(K8))=0</formula>
    </cfRule>
  </conditionalFormatting>
  <conditionalFormatting sqref="K9">
    <cfRule type="cellIs" dxfId="80" priority="1177" operator="notBetween">
      <formula>$F9</formula>
      <formula>$G9</formula>
    </cfRule>
    <cfRule type="containsBlanks" priority="1178" stopIfTrue="1">
      <formula>LEN(TRIM(K9))=0</formula>
    </cfRule>
  </conditionalFormatting>
  <conditionalFormatting sqref="K10">
    <cfRule type="cellIs" dxfId="79" priority="1175" operator="notBetween">
      <formula>$F10</formula>
      <formula>$G10</formula>
    </cfRule>
    <cfRule type="containsBlanks" priority="1176" stopIfTrue="1">
      <formula>LEN(TRIM(K10))=0</formula>
    </cfRule>
  </conditionalFormatting>
  <conditionalFormatting sqref="K11">
    <cfRule type="cellIs" dxfId="78" priority="1173" operator="notBetween">
      <formula>$F11</formula>
      <formula>$G11</formula>
    </cfRule>
    <cfRule type="containsBlanks" priority="1174" stopIfTrue="1">
      <formula>LEN(TRIM(K11))=0</formula>
    </cfRule>
  </conditionalFormatting>
  <conditionalFormatting sqref="K12">
    <cfRule type="cellIs" dxfId="77" priority="1171" operator="notBetween">
      <formula>$F12</formula>
      <formula>$G12</formula>
    </cfRule>
    <cfRule type="containsBlanks" priority="1172" stopIfTrue="1">
      <formula>LEN(TRIM(K12))=0</formula>
    </cfRule>
  </conditionalFormatting>
  <conditionalFormatting sqref="K13">
    <cfRule type="cellIs" dxfId="76" priority="1169" operator="notBetween">
      <formula>$F13</formula>
      <formula>$G13</formula>
    </cfRule>
    <cfRule type="containsBlanks" priority="1170" stopIfTrue="1">
      <formula>LEN(TRIM(K13))=0</formula>
    </cfRule>
  </conditionalFormatting>
  <conditionalFormatting sqref="K14">
    <cfRule type="cellIs" dxfId="75" priority="1167" operator="notBetween">
      <formula>$F14</formula>
      <formula>$G14</formula>
    </cfRule>
    <cfRule type="containsBlanks" priority="1168" stopIfTrue="1">
      <formula>LEN(TRIM(K14))=0</formula>
    </cfRule>
  </conditionalFormatting>
  <conditionalFormatting sqref="K15">
    <cfRule type="cellIs" dxfId="74" priority="1165" operator="notBetween">
      <formula>$F15</formula>
      <formula>$G15</formula>
    </cfRule>
    <cfRule type="containsBlanks" priority="1166" stopIfTrue="1">
      <formula>LEN(TRIM(K15))=0</formula>
    </cfRule>
  </conditionalFormatting>
  <conditionalFormatting sqref="K16">
    <cfRule type="cellIs" dxfId="73" priority="1163" operator="notBetween">
      <formula>$F16</formula>
      <formula>$G16</formula>
    </cfRule>
    <cfRule type="containsBlanks" priority="1164" stopIfTrue="1">
      <formula>LEN(TRIM(K16))=0</formula>
    </cfRule>
  </conditionalFormatting>
  <conditionalFormatting sqref="K17">
    <cfRule type="cellIs" dxfId="72" priority="1161" operator="notBetween">
      <formula>$F17</formula>
      <formula>$G17</formula>
    </cfRule>
    <cfRule type="containsBlanks" priority="1162" stopIfTrue="1">
      <formula>LEN(TRIM(K17))=0</formula>
    </cfRule>
  </conditionalFormatting>
  <conditionalFormatting sqref="K18">
    <cfRule type="cellIs" dxfId="71" priority="1159" operator="notBetween">
      <formula>$F18</formula>
      <formula>$G18</formula>
    </cfRule>
    <cfRule type="containsBlanks" priority="1160" stopIfTrue="1">
      <formula>LEN(TRIM(K18))=0</formula>
    </cfRule>
  </conditionalFormatting>
  <conditionalFormatting sqref="K19">
    <cfRule type="cellIs" dxfId="70" priority="1157" operator="notBetween">
      <formula>$F19</formula>
      <formula>$G19</formula>
    </cfRule>
    <cfRule type="containsBlanks" priority="1158" stopIfTrue="1">
      <formula>LEN(TRIM(K19))=0</formula>
    </cfRule>
  </conditionalFormatting>
  <conditionalFormatting sqref="K20">
    <cfRule type="cellIs" dxfId="69" priority="1155" operator="notBetween">
      <formula>$F20</formula>
      <formula>$G20</formula>
    </cfRule>
    <cfRule type="containsBlanks" priority="1156" stopIfTrue="1">
      <formula>LEN(TRIM(K20))=0</formula>
    </cfRule>
  </conditionalFormatting>
  <conditionalFormatting sqref="K21">
    <cfRule type="cellIs" dxfId="68" priority="1153" operator="notBetween">
      <formula>$F21</formula>
      <formula>$G21</formula>
    </cfRule>
    <cfRule type="containsBlanks" priority="1154" stopIfTrue="1">
      <formula>LEN(TRIM(K21))=0</formula>
    </cfRule>
  </conditionalFormatting>
  <conditionalFormatting sqref="K22">
    <cfRule type="cellIs" dxfId="67" priority="1151" operator="notBetween">
      <formula>$F22</formula>
      <formula>$G22</formula>
    </cfRule>
    <cfRule type="containsBlanks" priority="1152" stopIfTrue="1">
      <formula>LEN(TRIM(K22))=0</formula>
    </cfRule>
  </conditionalFormatting>
  <conditionalFormatting sqref="K23">
    <cfRule type="cellIs" dxfId="66" priority="1149" operator="notBetween">
      <formula>$F23</formula>
      <formula>$G23</formula>
    </cfRule>
    <cfRule type="containsBlanks" priority="1150" stopIfTrue="1">
      <formula>LEN(TRIM(K23))=0</formula>
    </cfRule>
  </conditionalFormatting>
  <conditionalFormatting sqref="K24">
    <cfRule type="cellIs" dxfId="65" priority="1147" operator="notBetween">
      <formula>$F24</formula>
      <formula>$G24</formula>
    </cfRule>
    <cfRule type="containsBlanks" priority="1148" stopIfTrue="1">
      <formula>LEN(TRIM(K24))=0</formula>
    </cfRule>
  </conditionalFormatting>
  <conditionalFormatting sqref="K25">
    <cfRule type="cellIs" dxfId="64" priority="1145" operator="notBetween">
      <formula>$F25</formula>
      <formula>$G25</formula>
    </cfRule>
    <cfRule type="containsBlanks" priority="1146" stopIfTrue="1">
      <formula>LEN(TRIM(K25))=0</formula>
    </cfRule>
  </conditionalFormatting>
  <conditionalFormatting sqref="K26">
    <cfRule type="cellIs" dxfId="63" priority="1143" operator="notBetween">
      <formula>$F26</formula>
      <formula>$G26</formula>
    </cfRule>
    <cfRule type="containsBlanks" priority="1144" stopIfTrue="1">
      <formula>LEN(TRIM(K26))=0</formula>
    </cfRule>
  </conditionalFormatting>
  <conditionalFormatting sqref="K27">
    <cfRule type="cellIs" dxfId="62" priority="1141" operator="notBetween">
      <formula>$F27</formula>
      <formula>$G27</formula>
    </cfRule>
    <cfRule type="containsBlanks" priority="1142" stopIfTrue="1">
      <formula>LEN(TRIM(K27))=0</formula>
    </cfRule>
  </conditionalFormatting>
  <conditionalFormatting sqref="K28">
    <cfRule type="cellIs" dxfId="61" priority="1139" operator="notBetween">
      <formula>$F28</formula>
      <formula>$G28</formula>
    </cfRule>
    <cfRule type="containsBlanks" priority="1140" stopIfTrue="1">
      <formula>LEN(TRIM(K28))=0</formula>
    </cfRule>
  </conditionalFormatting>
  <conditionalFormatting sqref="K29">
    <cfRule type="cellIs" dxfId="60" priority="1137" operator="notBetween">
      <formula>$F29</formula>
      <formula>$G29</formula>
    </cfRule>
    <cfRule type="containsBlanks" priority="1138" stopIfTrue="1">
      <formula>LEN(TRIM(K29))=0</formula>
    </cfRule>
  </conditionalFormatting>
  <conditionalFormatting sqref="K30">
    <cfRule type="cellIs" dxfId="59" priority="1135" operator="notBetween">
      <formula>$F30</formula>
      <formula>$G30</formula>
    </cfRule>
    <cfRule type="containsBlanks" priority="1136" stopIfTrue="1">
      <formula>LEN(TRIM(K30))=0</formula>
    </cfRule>
  </conditionalFormatting>
  <conditionalFormatting sqref="K31">
    <cfRule type="cellIs" dxfId="58" priority="1133" operator="notBetween">
      <formula>$F31</formula>
      <formula>$G31</formula>
    </cfRule>
    <cfRule type="containsBlanks" priority="1134" stopIfTrue="1">
      <formula>LEN(TRIM(K31))=0</formula>
    </cfRule>
  </conditionalFormatting>
  <conditionalFormatting sqref="K32">
    <cfRule type="cellIs" dxfId="57" priority="1131" operator="notBetween">
      <formula>$F32</formula>
      <formula>$G32</formula>
    </cfRule>
    <cfRule type="containsBlanks" priority="1132" stopIfTrue="1">
      <formula>LEN(TRIM(K32))=0</formula>
    </cfRule>
  </conditionalFormatting>
  <conditionalFormatting sqref="K33">
    <cfRule type="cellIs" dxfId="56" priority="1129" operator="notBetween">
      <formula>$F33</formula>
      <formula>$G33</formula>
    </cfRule>
    <cfRule type="containsBlanks" priority="1130" stopIfTrue="1">
      <formula>LEN(TRIM(K33))=0</formula>
    </cfRule>
  </conditionalFormatting>
  <conditionalFormatting sqref="K34">
    <cfRule type="cellIs" dxfId="55" priority="1127" operator="notBetween">
      <formula>$F34</formula>
      <formula>$G34</formula>
    </cfRule>
    <cfRule type="containsBlanks" priority="1128" stopIfTrue="1">
      <formula>LEN(TRIM(K34))=0</formula>
    </cfRule>
  </conditionalFormatting>
  <conditionalFormatting sqref="K35">
    <cfRule type="cellIs" dxfId="54" priority="1125" operator="notBetween">
      <formula>$F35</formula>
      <formula>$G35</formula>
    </cfRule>
    <cfRule type="containsBlanks" priority="1126" stopIfTrue="1">
      <formula>LEN(TRIM(K35))=0</formula>
    </cfRule>
  </conditionalFormatting>
  <conditionalFormatting sqref="K36">
    <cfRule type="cellIs" dxfId="53" priority="1123" operator="notBetween">
      <formula>$F36</formula>
      <formula>$G36</formula>
    </cfRule>
    <cfRule type="containsBlanks" priority="1124" stopIfTrue="1">
      <formula>LEN(TRIM(K36))=0</formula>
    </cfRule>
  </conditionalFormatting>
  <conditionalFormatting sqref="K37">
    <cfRule type="cellIs" dxfId="52" priority="1121" operator="notBetween">
      <formula>$F37</formula>
      <formula>$G37</formula>
    </cfRule>
    <cfRule type="containsBlanks" priority="1122" stopIfTrue="1">
      <formula>LEN(TRIM(K37))=0</formula>
    </cfRule>
  </conditionalFormatting>
  <conditionalFormatting sqref="K38">
    <cfRule type="cellIs" dxfId="51" priority="1119" operator="notBetween">
      <formula>$F38</formula>
      <formula>$G38</formula>
    </cfRule>
    <cfRule type="containsBlanks" priority="1120" stopIfTrue="1">
      <formula>LEN(TRIM(K38))=0</formula>
    </cfRule>
  </conditionalFormatting>
  <conditionalFormatting sqref="K39">
    <cfRule type="cellIs" dxfId="50" priority="1117" operator="notBetween">
      <formula>$F39</formula>
      <formula>$G39</formula>
    </cfRule>
    <cfRule type="containsBlanks" priority="1118" stopIfTrue="1">
      <formula>LEN(TRIM(K39))=0</formula>
    </cfRule>
  </conditionalFormatting>
  <conditionalFormatting sqref="K40">
    <cfRule type="cellIs" dxfId="49" priority="1115" operator="notBetween">
      <formula>$F40</formula>
      <formula>$G40</formula>
    </cfRule>
    <cfRule type="containsBlanks" priority="1116" stopIfTrue="1">
      <formula>LEN(TRIM(K40))=0</formula>
    </cfRule>
  </conditionalFormatting>
  <conditionalFormatting sqref="K41">
    <cfRule type="cellIs" dxfId="48" priority="1113" operator="notBetween">
      <formula>$F41</formula>
      <formula>$G41</formula>
    </cfRule>
    <cfRule type="containsBlanks" priority="1114" stopIfTrue="1">
      <formula>LEN(TRIM(K41))=0</formula>
    </cfRule>
  </conditionalFormatting>
  <conditionalFormatting sqref="K42">
    <cfRule type="cellIs" dxfId="47" priority="1111" operator="notBetween">
      <formula>$F42</formula>
      <formula>$G42</formula>
    </cfRule>
    <cfRule type="containsBlanks" priority="1112" stopIfTrue="1">
      <formula>LEN(TRIM(K42))=0</formula>
    </cfRule>
  </conditionalFormatting>
  <conditionalFormatting sqref="K43">
    <cfRule type="cellIs" dxfId="46" priority="1109" operator="notBetween">
      <formula>$F43</formula>
      <formula>$G43</formula>
    </cfRule>
    <cfRule type="containsBlanks" priority="1110" stopIfTrue="1">
      <formula>LEN(TRIM(K43))=0</formula>
    </cfRule>
  </conditionalFormatting>
  <conditionalFormatting sqref="I29:I37">
    <cfRule type="containsBlanks" priority="123" stopIfTrue="1">
      <formula>LEN(TRIM(I29))=0</formula>
    </cfRule>
    <cfRule type="cellIs" dxfId="45" priority="124" operator="notBetween">
      <formula>$F29</formula>
      <formula>$G29</formula>
    </cfRule>
  </conditionalFormatting>
  <conditionalFormatting sqref="I38:I42">
    <cfRule type="containsBlanks" priority="119" stopIfTrue="1">
      <formula>LEN(TRIM(I38))=0</formula>
    </cfRule>
    <cfRule type="cellIs" dxfId="44" priority="120" operator="notBetween">
      <formula>$F38</formula>
      <formula>$G38</formula>
    </cfRule>
  </conditionalFormatting>
  <conditionalFormatting sqref="M3:M11">
    <cfRule type="containsBlanks" priority="117" stopIfTrue="1">
      <formula>LEN(TRIM(M3))=0</formula>
    </cfRule>
    <cfRule type="cellIs" dxfId="43" priority="118" operator="notBetween">
      <formula>$F3</formula>
      <formula>$G3</formula>
    </cfRule>
  </conditionalFormatting>
  <conditionalFormatting sqref="M12:M29">
    <cfRule type="containsBlanks" priority="115" stopIfTrue="1">
      <formula>LEN(TRIM(M12))=0</formula>
    </cfRule>
    <cfRule type="cellIs" dxfId="42" priority="116" operator="notBetween">
      <formula>$F12</formula>
      <formula>$G12</formula>
    </cfRule>
  </conditionalFormatting>
  <conditionalFormatting sqref="M30:M43">
    <cfRule type="containsBlanks" priority="113" stopIfTrue="1">
      <formula>LEN(TRIM(M30))=0</formula>
    </cfRule>
    <cfRule type="cellIs" dxfId="41" priority="114" operator="notBetween">
      <formula>$F30</formula>
      <formula>$G30</formula>
    </cfRule>
  </conditionalFormatting>
  <conditionalFormatting sqref="O3:O28">
    <cfRule type="containsBlanks" priority="111" stopIfTrue="1">
      <formula>LEN(TRIM(O3))=0</formula>
    </cfRule>
    <cfRule type="cellIs" dxfId="40" priority="112" operator="notBetween">
      <formula>$F3</formula>
      <formula>$G3</formula>
    </cfRule>
  </conditionalFormatting>
  <conditionalFormatting sqref="O43">
    <cfRule type="cellIs" dxfId="39" priority="109" operator="notBetween">
      <formula>$F43</formula>
      <formula>$G43</formula>
    </cfRule>
    <cfRule type="containsBlanks" priority="110" stopIfTrue="1">
      <formula>LEN(TRIM(O43))=0</formula>
    </cfRule>
  </conditionalFormatting>
  <conditionalFormatting sqref="O29:O37">
    <cfRule type="containsBlanks" priority="107" stopIfTrue="1">
      <formula>LEN(TRIM(O29))=0</formula>
    </cfRule>
    <cfRule type="cellIs" dxfId="38" priority="108" operator="notBetween">
      <formula>$F29</formula>
      <formula>$G29</formula>
    </cfRule>
  </conditionalFormatting>
  <conditionalFormatting sqref="O38:O42">
    <cfRule type="containsBlanks" priority="105" stopIfTrue="1">
      <formula>LEN(TRIM(O38))=0</formula>
    </cfRule>
    <cfRule type="cellIs" dxfId="37" priority="106" operator="notBetween">
      <formula>$F38</formula>
      <formula>$G38</formula>
    </cfRule>
  </conditionalFormatting>
  <conditionalFormatting sqref="Q3:Q28">
    <cfRule type="containsBlanks" priority="103" stopIfTrue="1">
      <formula>LEN(TRIM(Q3))=0</formula>
    </cfRule>
    <cfRule type="cellIs" dxfId="36" priority="104" operator="notBetween">
      <formula>$F3</formula>
      <formula>$G3</formula>
    </cfRule>
  </conditionalFormatting>
  <conditionalFormatting sqref="Q29:Q37">
    <cfRule type="containsBlanks" priority="99" stopIfTrue="1">
      <formula>LEN(TRIM(Q29))=0</formula>
    </cfRule>
    <cfRule type="cellIs" dxfId="35" priority="100" operator="notBetween">
      <formula>$F29</formula>
      <formula>$G29</formula>
    </cfRule>
  </conditionalFormatting>
  <conditionalFormatting sqref="Q38:Q42">
    <cfRule type="containsBlanks" priority="97" stopIfTrue="1">
      <formula>LEN(TRIM(Q38))=0</formula>
    </cfRule>
    <cfRule type="cellIs" dxfId="34" priority="98" operator="notBetween">
      <formula>$F38</formula>
      <formula>$G38</formula>
    </cfRule>
  </conditionalFormatting>
  <conditionalFormatting sqref="Q43">
    <cfRule type="containsBlanks" priority="95" stopIfTrue="1">
      <formula>LEN(TRIM(Q43))=0</formula>
    </cfRule>
    <cfRule type="cellIs" dxfId="33" priority="96" operator="notBetween">
      <formula>$F43</formula>
      <formula>$G43</formula>
    </cfRule>
  </conditionalFormatting>
  <conditionalFormatting sqref="I43">
    <cfRule type="containsBlanks" priority="93" stopIfTrue="1">
      <formula>LEN(TRIM(I43))=0</formula>
    </cfRule>
    <cfRule type="cellIs" dxfId="32" priority="94" operator="notBetween">
      <formula>$F43</formula>
      <formula>$G43</formula>
    </cfRule>
  </conditionalFormatting>
  <conditionalFormatting sqref="S3:S28">
    <cfRule type="containsBlanks" priority="91" stopIfTrue="1">
      <formula>LEN(TRIM(S3))=0</formula>
    </cfRule>
    <cfRule type="cellIs" dxfId="31" priority="92" operator="notBetween">
      <formula>$F3</formula>
      <formula>$G3</formula>
    </cfRule>
  </conditionalFormatting>
  <conditionalFormatting sqref="S29:S37">
    <cfRule type="containsBlanks" priority="89" stopIfTrue="1">
      <formula>LEN(TRIM(S29))=0</formula>
    </cfRule>
    <cfRule type="cellIs" dxfId="30" priority="90" operator="notBetween">
      <formula>$F29</formula>
      <formula>$G29</formula>
    </cfRule>
  </conditionalFormatting>
  <conditionalFormatting sqref="S38:S42">
    <cfRule type="containsBlanks" priority="87" stopIfTrue="1">
      <formula>LEN(TRIM(S38))=0</formula>
    </cfRule>
    <cfRule type="cellIs" dxfId="29" priority="88" operator="notBetween">
      <formula>$F38</formula>
      <formula>$G38</formula>
    </cfRule>
  </conditionalFormatting>
  <conditionalFormatting sqref="S43">
    <cfRule type="containsBlanks" priority="85" stopIfTrue="1">
      <formula>LEN(TRIM(S43))=0</formula>
    </cfRule>
    <cfRule type="cellIs" dxfId="28" priority="86" operator="notBetween">
      <formula>$F43</formula>
      <formula>$G43</formula>
    </cfRule>
  </conditionalFormatting>
  <conditionalFormatting sqref="U3:U28">
    <cfRule type="containsBlanks" priority="83" stopIfTrue="1">
      <formula>LEN(TRIM(U3))=0</formula>
    </cfRule>
    <cfRule type="cellIs" dxfId="27" priority="84" operator="notBetween">
      <formula>$F3</formula>
      <formula>$G3</formula>
    </cfRule>
  </conditionalFormatting>
  <conditionalFormatting sqref="U29:U37">
    <cfRule type="containsBlanks" priority="81" stopIfTrue="1">
      <formula>LEN(TRIM(U29))=0</formula>
    </cfRule>
    <cfRule type="cellIs" dxfId="26" priority="82" operator="notBetween">
      <formula>$F29</formula>
      <formula>$G29</formula>
    </cfRule>
  </conditionalFormatting>
  <conditionalFormatting sqref="U38:U43">
    <cfRule type="cellIs" priority="79" stopIfTrue="1" operator="equal">
      <formula>0</formula>
    </cfRule>
    <cfRule type="cellIs" dxfId="25" priority="80" operator="notBetween">
      <formula>$F38</formula>
      <formula>$G38</formula>
    </cfRule>
  </conditionalFormatting>
  <conditionalFormatting sqref="U43">
    <cfRule type="containsBlanks" priority="77" stopIfTrue="1">
      <formula>LEN(TRIM(U43))=0</formula>
    </cfRule>
    <cfRule type="cellIs" dxfId="24" priority="78" operator="notBetween">
      <formula>$F43</formula>
      <formula>$G43</formula>
    </cfRule>
  </conditionalFormatting>
  <conditionalFormatting sqref="W3:W28">
    <cfRule type="containsBlanks" priority="75" stopIfTrue="1">
      <formula>LEN(TRIM(W3))=0</formula>
    </cfRule>
    <cfRule type="cellIs" dxfId="23" priority="76" operator="notBetween">
      <formula>$F3</formula>
      <formula>$G3</formula>
    </cfRule>
  </conditionalFormatting>
  <conditionalFormatting sqref="W29:W37">
    <cfRule type="containsBlanks" priority="73" stopIfTrue="1">
      <formula>LEN(TRIM(W29))=0</formula>
    </cfRule>
    <cfRule type="cellIs" dxfId="22" priority="74" operator="notBetween">
      <formula>$F29</formula>
      <formula>$G29</formula>
    </cfRule>
  </conditionalFormatting>
  <conditionalFormatting sqref="Y3:Y28">
    <cfRule type="containsBlanks" priority="67" stopIfTrue="1">
      <formula>LEN(TRIM(Y3))=0</formula>
    </cfRule>
    <cfRule type="cellIs" dxfId="21" priority="68" operator="notBetween">
      <formula>$F3</formula>
      <formula>$G3</formula>
    </cfRule>
  </conditionalFormatting>
  <conditionalFormatting sqref="Y29:Y37">
    <cfRule type="containsBlanks" priority="65" stopIfTrue="1">
      <formula>LEN(TRIM(Y29))=0</formula>
    </cfRule>
    <cfRule type="cellIs" dxfId="20" priority="66" operator="notBetween">
      <formula>$F29</formula>
      <formula>$G29</formula>
    </cfRule>
  </conditionalFormatting>
  <conditionalFormatting sqref="AA3:AA28">
    <cfRule type="containsBlanks" priority="59" stopIfTrue="1">
      <formula>LEN(TRIM(AA3))=0</formula>
    </cfRule>
    <cfRule type="cellIs" dxfId="19" priority="60" operator="notBetween">
      <formula>$F3</formula>
      <formula>$G3</formula>
    </cfRule>
  </conditionalFormatting>
  <conditionalFormatting sqref="AA29:AA37">
    <cfRule type="containsBlanks" priority="57" stopIfTrue="1">
      <formula>LEN(TRIM(AA29))=0</formula>
    </cfRule>
    <cfRule type="cellIs" dxfId="18" priority="58" operator="notBetween">
      <formula>$F29</formula>
      <formula>$G29</formula>
    </cfRule>
  </conditionalFormatting>
  <conditionalFormatting sqref="AC3:AC28">
    <cfRule type="containsBlanks" priority="51" stopIfTrue="1">
      <formula>LEN(TRIM(AC3))=0</formula>
    </cfRule>
    <cfRule type="cellIs" dxfId="17" priority="52" operator="notBetween">
      <formula>$F3</formula>
      <formula>$G3</formula>
    </cfRule>
  </conditionalFormatting>
  <conditionalFormatting sqref="AC29:AC37">
    <cfRule type="containsBlanks" priority="49" stopIfTrue="1">
      <formula>LEN(TRIM(AC29))=0</formula>
    </cfRule>
    <cfRule type="cellIs" dxfId="16" priority="50" operator="notBetween">
      <formula>$F29</formula>
      <formula>$G29</formula>
    </cfRule>
  </conditionalFormatting>
  <conditionalFormatting sqref="AC38:AC42">
    <cfRule type="containsBlanks" priority="47" stopIfTrue="1">
      <formula>LEN(TRIM(AC38))=0</formula>
    </cfRule>
    <cfRule type="cellIs" dxfId="15" priority="48" operator="notBetween">
      <formula>$F38</formula>
      <formula>$G38</formula>
    </cfRule>
  </conditionalFormatting>
  <conditionalFormatting sqref="AC43">
    <cfRule type="containsBlanks" priority="45" stopIfTrue="1">
      <formula>LEN(TRIM(AC43))=0</formula>
    </cfRule>
    <cfRule type="cellIs" dxfId="14" priority="46" operator="notBetween">
      <formula>$F43</formula>
      <formula>$G43</formula>
    </cfRule>
  </conditionalFormatting>
  <conditionalFormatting sqref="AE3:AE28">
    <cfRule type="containsBlanks" priority="43" stopIfTrue="1">
      <formula>LEN(TRIM(AE3))=0</formula>
    </cfRule>
    <cfRule type="cellIs" dxfId="13" priority="44" operator="notBetween">
      <formula>$F3</formula>
      <formula>$G3</formula>
    </cfRule>
  </conditionalFormatting>
  <conditionalFormatting sqref="AE29:AE37">
    <cfRule type="containsBlanks" priority="41" stopIfTrue="1">
      <formula>LEN(TRIM(AE29))=0</formula>
    </cfRule>
    <cfRule type="cellIs" dxfId="12" priority="42" operator="notBetween">
      <formula>$F29</formula>
      <formula>$G29</formula>
    </cfRule>
  </conditionalFormatting>
  <conditionalFormatting sqref="AE38:AE42">
    <cfRule type="containsBlanks" priority="39" stopIfTrue="1">
      <formula>LEN(TRIM(AE38))=0</formula>
    </cfRule>
    <cfRule type="cellIs" dxfId="11" priority="40" operator="notBetween">
      <formula>$F38</formula>
      <formula>$G38</formula>
    </cfRule>
  </conditionalFormatting>
  <conditionalFormatting sqref="AE43">
    <cfRule type="containsBlanks" priority="37" stopIfTrue="1">
      <formula>LEN(TRIM(AE43))=0</formula>
    </cfRule>
    <cfRule type="cellIs" dxfId="10" priority="38" operator="notBetween">
      <formula>$F43</formula>
      <formula>$G43</formula>
    </cfRule>
  </conditionalFormatting>
  <conditionalFormatting sqref="AI3:AI28">
    <cfRule type="containsBlanks" priority="27" stopIfTrue="1">
      <formula>LEN(TRIM(AI3))=0</formula>
    </cfRule>
    <cfRule type="cellIs" dxfId="9" priority="28" operator="notBetween">
      <formula>$F3</formula>
      <formula>$G3</formula>
    </cfRule>
  </conditionalFormatting>
  <conditionalFormatting sqref="AI29:AI37">
    <cfRule type="containsBlanks" priority="25" stopIfTrue="1">
      <formula>LEN(TRIM(AI29))=0</formula>
    </cfRule>
    <cfRule type="cellIs" dxfId="8" priority="26" operator="notBetween">
      <formula>$F29</formula>
      <formula>$G29</formula>
    </cfRule>
  </conditionalFormatting>
  <conditionalFormatting sqref="W38:W43">
    <cfRule type="cellIs" priority="19" stopIfTrue="1" operator="equal">
      <formula>0</formula>
    </cfRule>
    <cfRule type="cellIs" dxfId="7" priority="20" operator="notBetween">
      <formula>$F38</formula>
      <formula>$G38</formula>
    </cfRule>
  </conditionalFormatting>
  <conditionalFormatting sqref="W43">
    <cfRule type="containsBlanks" priority="17" stopIfTrue="1">
      <formula>LEN(TRIM(W43))=0</formula>
    </cfRule>
    <cfRule type="cellIs" dxfId="6" priority="18" operator="notBetween">
      <formula>$F43</formula>
      <formula>$G43</formula>
    </cfRule>
  </conditionalFormatting>
  <conditionalFormatting sqref="Y38:Y43">
    <cfRule type="cellIs" priority="15" stopIfTrue="1" operator="equal">
      <formula>0</formula>
    </cfRule>
    <cfRule type="cellIs" dxfId="5" priority="16" operator="notBetween">
      <formula>$F38</formula>
      <formula>$G38</formula>
    </cfRule>
  </conditionalFormatting>
  <conditionalFormatting sqref="Y43">
    <cfRule type="containsBlanks" priority="13" stopIfTrue="1">
      <formula>LEN(TRIM(Y43))=0</formula>
    </cfRule>
    <cfRule type="cellIs" dxfId="4" priority="14" operator="notBetween">
      <formula>$F43</formula>
      <formula>$G43</formula>
    </cfRule>
  </conditionalFormatting>
  <conditionalFormatting sqref="AA38:AA43">
    <cfRule type="cellIs" priority="11" stopIfTrue="1" operator="equal">
      <formula>0</formula>
    </cfRule>
    <cfRule type="cellIs" dxfId="3" priority="12" operator="notBetween">
      <formula>$F38</formula>
      <formula>$G38</formula>
    </cfRule>
  </conditionalFormatting>
  <conditionalFormatting sqref="AA43">
    <cfRule type="containsBlanks" priority="9" stopIfTrue="1">
      <formula>LEN(TRIM(AA43))=0</formula>
    </cfRule>
    <cfRule type="cellIs" dxfId="2" priority="10" operator="notBetween">
      <formula>$F43</formula>
      <formula>$G43</formula>
    </cfRule>
  </conditionalFormatting>
  <conditionalFormatting sqref="AI38:AI43">
    <cfRule type="cellIs" priority="7" stopIfTrue="1" operator="equal">
      <formula>0</formula>
    </cfRule>
    <cfRule type="cellIs" dxfId="1" priority="8" operator="notBetween">
      <formula>$F38</formula>
      <formula>$G38</formula>
    </cfRule>
  </conditionalFormatting>
  <conditionalFormatting sqref="AI43">
    <cfRule type="containsBlanks" priority="5" stopIfTrue="1">
      <formula>LEN(TRIM(AI43))=0</formula>
    </cfRule>
    <cfRule type="cellIs" dxfId="0" priority="6" operator="notBetween">
      <formula>$F43</formula>
      <formula>$G43</formula>
    </cfRule>
  </conditionalFormatting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>
    <oddHeader>&amp;L&amp;G&amp;C&amp;F&amp;R文档密级</oddHeader>
    <oddFooter>&amp;L&amp;D&amp;C华为保密信息,未经授权禁止扩散&amp;R第&amp;P页，共&amp;N页</oddFooter>
  </headerFooter>
  <legacyDrawingHF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rgb="FF0070C0"/>
  </sheetPr>
  <dimension ref="A1:G2"/>
  <sheetViews>
    <sheetView workbookViewId="0">
      <pane xSplit="7" ySplit="2" topLeftCell="H3" activePane="bottomRight" state="frozen"/>
      <selection pane="topRight" activeCell="H1" sqref="H1"/>
      <selection pane="bottomLeft" activeCell="A3" sqref="A3"/>
      <selection pane="bottomRight" activeCell="H9" sqref="H9"/>
    </sheetView>
  </sheetViews>
  <sheetFormatPr defaultColWidth="9" defaultRowHeight="14.25"/>
  <cols>
    <col min="1" max="1" width="13.375" style="26" customWidth="1"/>
    <col min="2" max="2" width="35.125" style="26" customWidth="1"/>
    <col min="3" max="3" width="9" style="26"/>
    <col min="4" max="4" width="13.125" style="26" bestFit="1" customWidth="1"/>
    <col min="5" max="16384" width="9" style="26"/>
  </cols>
  <sheetData>
    <row r="1" spans="1:7" ht="34.5" customHeight="1">
      <c r="A1" s="370" t="s">
        <v>232</v>
      </c>
      <c r="B1" s="371"/>
      <c r="C1" s="372" t="s">
        <v>487</v>
      </c>
      <c r="D1" s="373"/>
      <c r="E1" s="373"/>
      <c r="F1" s="373"/>
      <c r="G1" s="374"/>
    </row>
    <row r="2" spans="1:7" s="85" customFormat="1" ht="14.25" customHeight="1">
      <c r="A2" s="370"/>
      <c r="B2" s="371"/>
      <c r="C2" s="140" t="s">
        <v>338</v>
      </c>
      <c r="D2" s="324" t="s">
        <v>361</v>
      </c>
      <c r="E2" s="324" t="s">
        <v>360</v>
      </c>
      <c r="F2" s="324" t="s">
        <v>2</v>
      </c>
      <c r="G2" s="141" t="s">
        <v>3</v>
      </c>
    </row>
  </sheetData>
  <mergeCells count="2">
    <mergeCell ref="A1:B2"/>
    <mergeCell ref="C1:G1"/>
  </mergeCells>
  <phoneticPr fontId="26" type="noConversion"/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>
    <oddHeader>&amp;L&amp;G&amp;C&amp;F&amp;R文档密级</oddHeader>
    <oddFooter>&amp;L&amp;D&amp;C华为保密信息,未经授权禁止扩散&amp;R第&amp;P页，共&amp;N页</oddFooter>
  </headerFooter>
  <legacyDrawingHF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rgb="FF0070C0"/>
  </sheetPr>
  <dimension ref="A1:G2"/>
  <sheetViews>
    <sheetView workbookViewId="0">
      <pane xSplit="7" ySplit="2" topLeftCell="H3" activePane="bottomRight" state="frozen"/>
      <selection pane="topRight" activeCell="H1" sqref="H1"/>
      <selection pane="bottomLeft" activeCell="A3" sqref="A3"/>
      <selection pane="bottomRight" activeCell="G19" sqref="G19"/>
    </sheetView>
  </sheetViews>
  <sheetFormatPr defaultColWidth="9" defaultRowHeight="14.25"/>
  <cols>
    <col min="1" max="1" width="13.375" style="26" customWidth="1"/>
    <col min="2" max="2" width="35.125" style="26" customWidth="1"/>
    <col min="3" max="3" width="9" style="26"/>
    <col min="4" max="4" width="13.125" style="26" bestFit="1" customWidth="1"/>
    <col min="5" max="16384" width="9" style="26"/>
  </cols>
  <sheetData>
    <row r="1" spans="1:7" ht="34.5" customHeight="1">
      <c r="A1" s="370" t="s">
        <v>232</v>
      </c>
      <c r="B1" s="371"/>
      <c r="C1" s="372" t="s">
        <v>487</v>
      </c>
      <c r="D1" s="373"/>
      <c r="E1" s="373"/>
      <c r="F1" s="373"/>
      <c r="G1" s="374"/>
    </row>
    <row r="2" spans="1:7" s="85" customFormat="1" ht="14.25" customHeight="1">
      <c r="A2" s="370"/>
      <c r="B2" s="371"/>
      <c r="C2" s="140" t="s">
        <v>338</v>
      </c>
      <c r="D2" s="324" t="s">
        <v>361</v>
      </c>
      <c r="E2" s="324" t="s">
        <v>360</v>
      </c>
      <c r="F2" s="324" t="s">
        <v>2</v>
      </c>
      <c r="G2" s="141" t="s">
        <v>3</v>
      </c>
    </row>
  </sheetData>
  <mergeCells count="2">
    <mergeCell ref="A1:B2"/>
    <mergeCell ref="C1:G1"/>
  </mergeCells>
  <phoneticPr fontId="26" type="noConversion"/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>
    <oddHeader>&amp;L&amp;G&amp;C&amp;F&amp;R文档密级</oddHeader>
    <oddFooter>&amp;L&amp;D&amp;C华为保密信息,未经授权禁止扩散&amp;R第&amp;P页，共&amp;N页</oddFooter>
  </headerFooter>
  <legacyDrawingHF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rgb="FF0070C0"/>
  </sheetPr>
  <dimension ref="A1:G2"/>
  <sheetViews>
    <sheetView workbookViewId="0">
      <pane xSplit="7" ySplit="2" topLeftCell="H3" activePane="bottomRight" state="frozen"/>
      <selection pane="topRight" activeCell="H1" sqref="H1"/>
      <selection pane="bottomLeft" activeCell="A3" sqref="A3"/>
      <selection pane="bottomRight" activeCell="G17" sqref="G17"/>
    </sheetView>
  </sheetViews>
  <sheetFormatPr defaultColWidth="9" defaultRowHeight="14.25"/>
  <cols>
    <col min="1" max="1" width="13.375" style="26" customWidth="1"/>
    <col min="2" max="2" width="35.125" style="26" customWidth="1"/>
    <col min="3" max="3" width="9" style="26"/>
    <col min="4" max="4" width="13.125" style="26" bestFit="1" customWidth="1"/>
    <col min="5" max="16384" width="9" style="26"/>
  </cols>
  <sheetData>
    <row r="1" spans="1:7" ht="34.5" customHeight="1">
      <c r="A1" s="370" t="s">
        <v>232</v>
      </c>
      <c r="B1" s="371"/>
      <c r="C1" s="372" t="s">
        <v>487</v>
      </c>
      <c r="D1" s="373"/>
      <c r="E1" s="373"/>
      <c r="F1" s="373"/>
      <c r="G1" s="374"/>
    </row>
    <row r="2" spans="1:7" s="85" customFormat="1" ht="14.25" customHeight="1">
      <c r="A2" s="370"/>
      <c r="B2" s="371"/>
      <c r="C2" s="140" t="s">
        <v>338</v>
      </c>
      <c r="D2" s="324" t="s">
        <v>361</v>
      </c>
      <c r="E2" s="324" t="s">
        <v>360</v>
      </c>
      <c r="F2" s="324" t="s">
        <v>2</v>
      </c>
      <c r="G2" s="141" t="s">
        <v>3</v>
      </c>
    </row>
  </sheetData>
  <mergeCells count="2">
    <mergeCell ref="A1:B2"/>
    <mergeCell ref="C1:G1"/>
  </mergeCells>
  <phoneticPr fontId="26" type="noConversion"/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>
    <oddHeader>&amp;L&amp;G&amp;C&amp;F&amp;R文档密级</oddHeader>
    <oddFooter>&amp;L&amp;D&amp;C华为保密信息,未经授权禁止扩散&amp;R第&amp;P页，共&amp;N页</oddFooter>
  </headerFooter>
  <legacyDrawingHF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43"/>
  <sheetViews>
    <sheetView workbookViewId="0">
      <selection activeCell="D44" sqref="D44"/>
    </sheetView>
  </sheetViews>
  <sheetFormatPr defaultRowHeight="14.25"/>
  <cols>
    <col min="1" max="1" width="9" style="116"/>
    <col min="2" max="2" width="35.5" style="116" bestFit="1" customWidth="1"/>
    <col min="3" max="4" width="7.25" style="116" customWidth="1"/>
    <col min="5" max="5" width="7.5" style="116" customWidth="1"/>
    <col min="6" max="9" width="7.25" style="116" customWidth="1"/>
    <col min="10" max="10" width="5.875" style="116" customWidth="1"/>
    <col min="11" max="12" width="7.25" style="116" customWidth="1"/>
    <col min="13" max="16384" width="9" style="116"/>
  </cols>
  <sheetData>
    <row r="1" spans="1:17" ht="14.25" customHeight="1">
      <c r="A1" s="379" t="s">
        <v>339</v>
      </c>
      <c r="B1" s="379"/>
      <c r="C1" s="376" t="s">
        <v>455</v>
      </c>
      <c r="D1" s="377"/>
      <c r="E1" s="377"/>
      <c r="F1" s="377"/>
      <c r="G1" s="377"/>
      <c r="H1" s="376" t="s">
        <v>456</v>
      </c>
      <c r="I1" s="377"/>
      <c r="J1" s="377"/>
      <c r="K1" s="377"/>
      <c r="L1" s="377"/>
      <c r="M1" s="376" t="s">
        <v>457</v>
      </c>
      <c r="N1" s="377"/>
      <c r="O1" s="377"/>
      <c r="P1" s="377"/>
      <c r="Q1" s="377"/>
    </row>
    <row r="2" spans="1:17">
      <c r="A2" s="379"/>
      <c r="B2" s="379"/>
      <c r="C2" s="124" t="s">
        <v>340</v>
      </c>
      <c r="D2" s="124" t="s">
        <v>341</v>
      </c>
      <c r="E2" s="124" t="s">
        <v>342</v>
      </c>
      <c r="F2" s="124" t="s">
        <v>343</v>
      </c>
      <c r="G2" s="124" t="s">
        <v>344</v>
      </c>
      <c r="H2" s="124" t="s">
        <v>353</v>
      </c>
      <c r="I2" s="124" t="s">
        <v>354</v>
      </c>
      <c r="J2" s="124" t="s">
        <v>355</v>
      </c>
      <c r="K2" s="124" t="s">
        <v>356</v>
      </c>
      <c r="L2" s="124" t="s">
        <v>357</v>
      </c>
      <c r="M2" s="124" t="s">
        <v>353</v>
      </c>
      <c r="N2" s="124" t="s">
        <v>354</v>
      </c>
      <c r="O2" s="124" t="s">
        <v>355</v>
      </c>
      <c r="P2" s="124" t="s">
        <v>356</v>
      </c>
      <c r="Q2" s="124" t="s">
        <v>357</v>
      </c>
    </row>
    <row r="3" spans="1:17">
      <c r="A3" s="351" t="s">
        <v>345</v>
      </c>
      <c r="B3" s="117" t="s">
        <v>346</v>
      </c>
      <c r="C3" s="248">
        <v>14</v>
      </c>
      <c r="D3" s="246">
        <v>28.401488017942366</v>
      </c>
      <c r="E3" s="246">
        <v>3.9788060702142021</v>
      </c>
      <c r="F3" s="246">
        <v>32.380294088156568</v>
      </c>
      <c r="G3" s="246">
        <v>24.422681947728165</v>
      </c>
      <c r="H3" s="248">
        <v>18</v>
      </c>
      <c r="I3" s="246">
        <v>29.405804196337492</v>
      </c>
      <c r="J3" s="246">
        <v>3.0959692438035122</v>
      </c>
      <c r="K3" s="246">
        <v>32.501773440141001</v>
      </c>
      <c r="L3" s="246">
        <v>26.309834952533979</v>
      </c>
      <c r="M3" s="135">
        <f>IFERROR(C3+H3,"")</f>
        <v>32</v>
      </c>
      <c r="N3" s="136">
        <f>IFERROR((C3*D3+H3*I3)/M3,"")</f>
        <v>28.966415868289623</v>
      </c>
      <c r="O3" s="136">
        <f>IFERROR((E3+J3)/2,"")</f>
        <v>3.5373876570088569</v>
      </c>
      <c r="P3" s="136">
        <f>IFERROR(MAXA(F3,K3),"")</f>
        <v>32.501773440141001</v>
      </c>
      <c r="Q3" s="136">
        <f>IFERROR(MINA(G3,L3),"")</f>
        <v>24.422681947728165</v>
      </c>
    </row>
    <row r="4" spans="1:17">
      <c r="A4" s="351"/>
      <c r="B4" s="118" t="s">
        <v>331</v>
      </c>
      <c r="C4" s="248">
        <v>10</v>
      </c>
      <c r="D4" s="246">
        <v>60.951811097618929</v>
      </c>
      <c r="E4" s="246">
        <v>6.0187537196886023</v>
      </c>
      <c r="F4" s="246">
        <v>79.008072256684727</v>
      </c>
      <c r="G4" s="246">
        <v>42.895549938553124</v>
      </c>
      <c r="H4" s="248">
        <v>13</v>
      </c>
      <c r="I4" s="246">
        <v>48.356093151913981</v>
      </c>
      <c r="J4" s="246">
        <v>9.1456443547377244</v>
      </c>
      <c r="K4" s="246">
        <v>57.501737506651708</v>
      </c>
      <c r="L4" s="246">
        <v>39.210448797176255</v>
      </c>
      <c r="M4" s="135">
        <f t="shared" ref="M4:M42" si="0">IFERROR(C4+H4,"")</f>
        <v>23</v>
      </c>
      <c r="N4" s="136">
        <f t="shared" ref="N4:N42" si="1">IFERROR((C4*D4+H4*I4)/M4,"")</f>
        <v>53.832492258742221</v>
      </c>
      <c r="O4" s="136">
        <f t="shared" ref="O4:O42" si="2">IFERROR((E4+J4)/2,"")</f>
        <v>7.5821990372131634</v>
      </c>
      <c r="P4" s="136">
        <f t="shared" ref="P4:P42" si="3">IFERROR(MAXA(F4,K4),"")</f>
        <v>79.008072256684727</v>
      </c>
      <c r="Q4" s="136">
        <f t="shared" ref="Q4:Q42" si="4">IFERROR(MINA(G4,L4),"")</f>
        <v>39.210448797176255</v>
      </c>
    </row>
    <row r="5" spans="1:17">
      <c r="A5" s="351"/>
      <c r="B5" s="118" t="s">
        <v>358</v>
      </c>
      <c r="C5" s="248">
        <v>12</v>
      </c>
      <c r="D5" s="246">
        <v>1.6215530303030301</v>
      </c>
      <c r="E5" s="246">
        <v>1.2524116356547148</v>
      </c>
      <c r="F5" s="246">
        <v>2.8739646659577449</v>
      </c>
      <c r="G5" s="246">
        <v>0.3691413946483153</v>
      </c>
      <c r="H5" s="248">
        <v>13</v>
      </c>
      <c r="I5" s="246">
        <v>1.5969762249685524</v>
      </c>
      <c r="J5" s="246">
        <v>0.51203098433080951</v>
      </c>
      <c r="K5" s="246">
        <v>2.1090072092993619</v>
      </c>
      <c r="L5" s="246">
        <v>1.0849452406377429</v>
      </c>
      <c r="M5" s="135">
        <f t="shared" si="0"/>
        <v>25</v>
      </c>
      <c r="N5" s="136">
        <f t="shared" si="1"/>
        <v>1.6087730915291019</v>
      </c>
      <c r="O5" s="136">
        <f t="shared" si="2"/>
        <v>0.88222130999276216</v>
      </c>
      <c r="P5" s="136">
        <f t="shared" si="3"/>
        <v>2.8739646659577449</v>
      </c>
      <c r="Q5" s="136">
        <f t="shared" si="4"/>
        <v>0.3691413946483153</v>
      </c>
    </row>
    <row r="6" spans="1:17">
      <c r="A6" s="351"/>
      <c r="B6" s="118" t="s">
        <v>359</v>
      </c>
      <c r="C6" s="248">
        <v>11</v>
      </c>
      <c r="D6" s="246">
        <v>2.4595867768595032</v>
      </c>
      <c r="E6" s="246">
        <v>2.2952199030897957</v>
      </c>
      <c r="F6" s="246">
        <v>4.754806679949299</v>
      </c>
      <c r="G6" s="246">
        <v>0.16436687376970749</v>
      </c>
      <c r="H6" s="248">
        <v>13</v>
      </c>
      <c r="I6" s="246">
        <v>2.2401166670141999</v>
      </c>
      <c r="J6" s="246">
        <v>0.77605625914810883</v>
      </c>
      <c r="K6" s="246">
        <v>3.0161729261623087</v>
      </c>
      <c r="L6" s="246">
        <v>1.464060407866091</v>
      </c>
      <c r="M6" s="135">
        <f t="shared" si="0"/>
        <v>24</v>
      </c>
      <c r="N6" s="136">
        <f t="shared" si="1"/>
        <v>2.3407071340266303</v>
      </c>
      <c r="O6" s="136">
        <f t="shared" si="2"/>
        <v>1.5356380811189523</v>
      </c>
      <c r="P6" s="136">
        <f t="shared" si="3"/>
        <v>4.754806679949299</v>
      </c>
      <c r="Q6" s="136">
        <f t="shared" si="4"/>
        <v>0.16436687376970749</v>
      </c>
    </row>
    <row r="7" spans="1:17">
      <c r="A7" s="351"/>
      <c r="B7" s="118" t="s">
        <v>347</v>
      </c>
      <c r="C7" s="248">
        <v>11</v>
      </c>
      <c r="D7" s="246">
        <v>19.295799281620216</v>
      </c>
      <c r="E7" s="246">
        <v>2.0846380163891416</v>
      </c>
      <c r="F7" s="246">
        <v>21.380437298009358</v>
      </c>
      <c r="G7" s="246">
        <v>17.211161265231073</v>
      </c>
      <c r="H7" s="248">
        <v>12</v>
      </c>
      <c r="I7" s="246">
        <v>20.28292960662526</v>
      </c>
      <c r="J7" s="246">
        <v>1.0459508227060403</v>
      </c>
      <c r="K7" s="246">
        <v>23.420782074743379</v>
      </c>
      <c r="L7" s="246">
        <v>17.145077138507141</v>
      </c>
      <c r="M7" s="135">
        <f t="shared" si="0"/>
        <v>23</v>
      </c>
      <c r="N7" s="136">
        <f t="shared" si="1"/>
        <v>19.810823799014152</v>
      </c>
      <c r="O7" s="136">
        <f t="shared" si="2"/>
        <v>1.5652944195475911</v>
      </c>
      <c r="P7" s="136">
        <f t="shared" si="3"/>
        <v>23.420782074743379</v>
      </c>
      <c r="Q7" s="136">
        <f t="shared" si="4"/>
        <v>17.145077138507141</v>
      </c>
    </row>
    <row r="8" spans="1:17">
      <c r="A8" s="351"/>
      <c r="B8" s="118" t="s">
        <v>348</v>
      </c>
      <c r="C8" s="248">
        <v>14</v>
      </c>
      <c r="D8" s="246">
        <v>23.58482052395426</v>
      </c>
      <c r="E8" s="246">
        <v>10.051147350737823</v>
      </c>
      <c r="F8" s="246">
        <v>33.635967874692085</v>
      </c>
      <c r="G8" s="246">
        <v>13.533673173216437</v>
      </c>
      <c r="H8" s="248">
        <v>12</v>
      </c>
      <c r="I8" s="246">
        <v>25.494365301922684</v>
      </c>
      <c r="J8" s="246">
        <v>2.0055131824248682</v>
      </c>
      <c r="K8" s="246">
        <v>31.510904849197289</v>
      </c>
      <c r="L8" s="246">
        <v>19.47782575464808</v>
      </c>
      <c r="M8" s="135">
        <f t="shared" si="0"/>
        <v>26</v>
      </c>
      <c r="N8" s="136">
        <f t="shared" si="1"/>
        <v>24.466148883016611</v>
      </c>
      <c r="O8" s="136">
        <f t="shared" si="2"/>
        <v>6.0283302665813459</v>
      </c>
      <c r="P8" s="136">
        <f t="shared" si="3"/>
        <v>33.635967874692085</v>
      </c>
      <c r="Q8" s="136">
        <f t="shared" si="4"/>
        <v>13.533673173216437</v>
      </c>
    </row>
    <row r="9" spans="1:17">
      <c r="A9" s="351"/>
      <c r="B9" s="118" t="s">
        <v>349</v>
      </c>
      <c r="C9" s="248">
        <v>9</v>
      </c>
      <c r="D9" s="251">
        <v>102.2031746031746</v>
      </c>
      <c r="E9" s="246">
        <v>47.32679920347249</v>
      </c>
      <c r="F9" s="246">
        <v>149.52997380664709</v>
      </c>
      <c r="G9" s="246">
        <v>54.876375399702113</v>
      </c>
      <c r="H9" s="248">
        <v>14</v>
      </c>
      <c r="I9" s="246">
        <v>112.91031037414969</v>
      </c>
      <c r="J9" s="246">
        <v>76.735522572691579</v>
      </c>
      <c r="K9" s="246">
        <v>189.64583294684127</v>
      </c>
      <c r="L9" s="246">
        <v>36.174787801458109</v>
      </c>
      <c r="M9" s="135">
        <f t="shared" si="0"/>
        <v>23</v>
      </c>
      <c r="N9" s="136">
        <f t="shared" si="1"/>
        <v>108.72056159420291</v>
      </c>
      <c r="O9" s="136">
        <f t="shared" si="2"/>
        <v>62.031160888082034</v>
      </c>
      <c r="P9" s="136">
        <f t="shared" si="3"/>
        <v>189.64583294684127</v>
      </c>
      <c r="Q9" s="136">
        <f t="shared" si="4"/>
        <v>36.174787801458109</v>
      </c>
    </row>
    <row r="10" spans="1:17">
      <c r="A10" s="351"/>
      <c r="B10" s="118" t="s">
        <v>350</v>
      </c>
      <c r="C10" s="248">
        <v>5</v>
      </c>
      <c r="D10" s="246">
        <v>18.608045977011493</v>
      </c>
      <c r="E10" s="246">
        <v>4.9361767523164826</v>
      </c>
      <c r="F10" s="246">
        <v>23.544222729327977</v>
      </c>
      <c r="G10" s="246">
        <v>13.67186922469501</v>
      </c>
      <c r="H10" s="248">
        <v>7</v>
      </c>
      <c r="I10" s="246">
        <v>20.61118930330753</v>
      </c>
      <c r="J10" s="246">
        <v>1.6509982477263885</v>
      </c>
      <c r="K10" s="246">
        <v>25.564184046486695</v>
      </c>
      <c r="L10" s="246">
        <v>15.658194560128365</v>
      </c>
      <c r="M10" s="135">
        <f t="shared" si="0"/>
        <v>12</v>
      </c>
      <c r="N10" s="136">
        <f t="shared" si="1"/>
        <v>19.776546250684181</v>
      </c>
      <c r="O10" s="136">
        <f t="shared" si="2"/>
        <v>3.2935875000214354</v>
      </c>
      <c r="P10" s="136">
        <f t="shared" si="3"/>
        <v>25.564184046486695</v>
      </c>
      <c r="Q10" s="136">
        <f t="shared" si="4"/>
        <v>13.67186922469501</v>
      </c>
    </row>
    <row r="11" spans="1:17">
      <c r="A11" s="351"/>
      <c r="B11" s="118" t="s">
        <v>351</v>
      </c>
      <c r="C11" s="248">
        <v>7</v>
      </c>
      <c r="D11" s="252">
        <v>7.7301587301587302E-2</v>
      </c>
      <c r="E11" s="247">
        <v>1.9916049557639728E-2</v>
      </c>
      <c r="F11" s="247">
        <v>9.7217636859227033E-2</v>
      </c>
      <c r="G11" s="247">
        <v>5.7385537743947571E-2</v>
      </c>
      <c r="H11" s="248">
        <v>15</v>
      </c>
      <c r="I11" s="249">
        <v>8.2055046260928605E-2</v>
      </c>
      <c r="J11" s="247">
        <v>2.7023134641112518E-2</v>
      </c>
      <c r="K11" s="247">
        <v>0.10907818090204112</v>
      </c>
      <c r="L11" s="247">
        <v>5.503191161981609E-2</v>
      </c>
      <c r="M11" s="135">
        <f t="shared" si="0"/>
        <v>22</v>
      </c>
      <c r="N11" s="119">
        <f t="shared" si="1"/>
        <v>8.0542582046592731E-2</v>
      </c>
      <c r="O11" s="119">
        <f t="shared" si="2"/>
        <v>2.3469592099376123E-2</v>
      </c>
      <c r="P11" s="119">
        <f t="shared" si="3"/>
        <v>0.10907818090204112</v>
      </c>
      <c r="Q11" s="119">
        <f t="shared" si="4"/>
        <v>5.503191161981609E-2</v>
      </c>
    </row>
    <row r="12" spans="1:17">
      <c r="A12" s="351"/>
      <c r="B12" s="118" t="s">
        <v>352</v>
      </c>
      <c r="C12" s="248">
        <v>18</v>
      </c>
      <c r="D12" s="247">
        <v>0</v>
      </c>
      <c r="E12" s="247">
        <v>0</v>
      </c>
      <c r="F12" s="247">
        <v>0</v>
      </c>
      <c r="G12" s="247">
        <v>0</v>
      </c>
      <c r="H12" s="248">
        <v>23</v>
      </c>
      <c r="I12" s="247">
        <v>0</v>
      </c>
      <c r="J12" s="247">
        <v>0</v>
      </c>
      <c r="K12" s="247">
        <v>0</v>
      </c>
      <c r="L12" s="247">
        <v>0</v>
      </c>
      <c r="M12" s="135">
        <f t="shared" si="0"/>
        <v>41</v>
      </c>
      <c r="N12" s="119">
        <f t="shared" si="1"/>
        <v>0</v>
      </c>
      <c r="O12" s="119">
        <f t="shared" si="2"/>
        <v>0</v>
      </c>
      <c r="P12" s="119">
        <f t="shared" si="3"/>
        <v>0</v>
      </c>
      <c r="Q12" s="119">
        <f t="shared" si="4"/>
        <v>0</v>
      </c>
    </row>
    <row r="13" spans="1:17">
      <c r="A13" s="351"/>
      <c r="B13" s="118" t="s">
        <v>268</v>
      </c>
      <c r="C13" s="248">
        <v>14</v>
      </c>
      <c r="D13" s="247">
        <v>0</v>
      </c>
      <c r="E13" s="247">
        <v>0</v>
      </c>
      <c r="F13" s="247">
        <v>0</v>
      </c>
      <c r="G13" s="247">
        <v>0</v>
      </c>
      <c r="H13" s="248">
        <v>20</v>
      </c>
      <c r="I13" s="247">
        <v>0</v>
      </c>
      <c r="J13" s="247">
        <v>0</v>
      </c>
      <c r="K13" s="247">
        <v>0</v>
      </c>
      <c r="L13" s="247">
        <v>0</v>
      </c>
      <c r="M13" s="135">
        <f t="shared" si="0"/>
        <v>34</v>
      </c>
      <c r="N13" s="119">
        <f t="shared" si="1"/>
        <v>0</v>
      </c>
      <c r="O13" s="119">
        <f t="shared" si="2"/>
        <v>0</v>
      </c>
      <c r="P13" s="119">
        <f t="shared" si="3"/>
        <v>0</v>
      </c>
      <c r="Q13" s="119">
        <f t="shared" si="4"/>
        <v>0</v>
      </c>
    </row>
    <row r="14" spans="1:17">
      <c r="A14" s="378" t="s">
        <v>269</v>
      </c>
      <c r="B14" s="118" t="s">
        <v>270</v>
      </c>
      <c r="C14" s="248">
        <v>13</v>
      </c>
      <c r="D14" s="247">
        <v>0.93165483234713997</v>
      </c>
      <c r="E14" s="247">
        <v>0.10188439120440337</v>
      </c>
      <c r="F14" s="247">
        <v>1</v>
      </c>
      <c r="G14" s="247">
        <v>0.82977044114273657</v>
      </c>
      <c r="H14" s="248">
        <v>21</v>
      </c>
      <c r="I14" s="247">
        <v>0.80371532091097297</v>
      </c>
      <c r="J14" s="247">
        <v>0.19306027931989495</v>
      </c>
      <c r="K14" s="247">
        <v>0.99677560023086786</v>
      </c>
      <c r="L14" s="247">
        <v>0.61065504159107808</v>
      </c>
      <c r="M14" s="135">
        <f t="shared" si="0"/>
        <v>34</v>
      </c>
      <c r="N14" s="119">
        <f t="shared" si="1"/>
        <v>0.85263336940127221</v>
      </c>
      <c r="O14" s="119">
        <f t="shared" si="2"/>
        <v>0.14747233526214915</v>
      </c>
      <c r="P14" s="119">
        <f t="shared" si="3"/>
        <v>1</v>
      </c>
      <c r="Q14" s="119">
        <f t="shared" si="4"/>
        <v>0.61065504159107808</v>
      </c>
    </row>
    <row r="15" spans="1:17">
      <c r="A15" s="378"/>
      <c r="B15" s="118" t="s">
        <v>271</v>
      </c>
      <c r="C15" s="248">
        <v>0</v>
      </c>
      <c r="D15" s="246" t="s">
        <v>87</v>
      </c>
      <c r="E15" s="246" t="s">
        <v>87</v>
      </c>
      <c r="F15" s="246" t="s">
        <v>87</v>
      </c>
      <c r="G15" s="246" t="s">
        <v>87</v>
      </c>
      <c r="H15" s="248">
        <v>3</v>
      </c>
      <c r="I15" s="246">
        <v>0.26333333333333336</v>
      </c>
      <c r="J15" s="246">
        <v>0.10115993936995671</v>
      </c>
      <c r="K15" s="246">
        <v>0.36449327270329007</v>
      </c>
      <c r="L15" s="246">
        <v>0.16217339396337666</v>
      </c>
      <c r="M15" s="248">
        <v>3</v>
      </c>
      <c r="N15" s="246">
        <v>0.26333333333333336</v>
      </c>
      <c r="O15" s="246">
        <v>0.10115993936995671</v>
      </c>
      <c r="P15" s="246">
        <v>0.36449327270329007</v>
      </c>
      <c r="Q15" s="246">
        <v>0.16217339396337666</v>
      </c>
    </row>
    <row r="16" spans="1:17">
      <c r="A16" s="378"/>
      <c r="B16" s="118" t="s">
        <v>272</v>
      </c>
      <c r="C16" s="248">
        <v>8</v>
      </c>
      <c r="D16" s="246">
        <v>0.55625000000000002</v>
      </c>
      <c r="E16" s="246">
        <v>0.62641696519627743</v>
      </c>
      <c r="F16" s="246">
        <v>1.1826669651962773</v>
      </c>
      <c r="G16" s="246">
        <v>0</v>
      </c>
      <c r="H16" s="248">
        <v>5</v>
      </c>
      <c r="I16" s="246">
        <v>0.35799999999999998</v>
      </c>
      <c r="J16" s="246">
        <v>0.21936271333114027</v>
      </c>
      <c r="K16" s="246">
        <v>0.57736271333114031</v>
      </c>
      <c r="L16" s="246">
        <v>0.13863728666885972</v>
      </c>
      <c r="M16" s="135">
        <f t="shared" si="0"/>
        <v>13</v>
      </c>
      <c r="N16" s="136">
        <f t="shared" si="1"/>
        <v>0.48000000000000004</v>
      </c>
      <c r="O16" s="136">
        <f t="shared" si="2"/>
        <v>0.42288983926370882</v>
      </c>
      <c r="P16" s="136">
        <f t="shared" si="3"/>
        <v>1.1826669651962773</v>
      </c>
      <c r="Q16" s="136">
        <f t="shared" si="4"/>
        <v>0</v>
      </c>
    </row>
    <row r="17" spans="1:17">
      <c r="A17" s="378" t="s">
        <v>273</v>
      </c>
      <c r="B17" s="118" t="s">
        <v>306</v>
      </c>
      <c r="C17" s="248">
        <v>11</v>
      </c>
      <c r="D17" s="246">
        <v>9.3545094737424161</v>
      </c>
      <c r="E17" s="246">
        <v>0.78478848463722806</v>
      </c>
      <c r="F17" s="246">
        <v>11.708874927654101</v>
      </c>
      <c r="G17" s="246">
        <v>7.0001440198307314</v>
      </c>
      <c r="H17" s="248">
        <v>18</v>
      </c>
      <c r="I17" s="246">
        <v>9.7487665405494059</v>
      </c>
      <c r="J17" s="246">
        <v>0.89013078080427777</v>
      </c>
      <c r="K17" s="246">
        <v>12.41915888296224</v>
      </c>
      <c r="L17" s="246">
        <v>7.0783741981365722</v>
      </c>
      <c r="M17" s="135">
        <f t="shared" si="0"/>
        <v>29</v>
      </c>
      <c r="N17" s="136">
        <f t="shared" si="1"/>
        <v>9.5992207565881351</v>
      </c>
      <c r="O17" s="136">
        <f t="shared" si="2"/>
        <v>0.83745963272075286</v>
      </c>
      <c r="P17" s="136">
        <f t="shared" si="3"/>
        <v>12.41915888296224</v>
      </c>
      <c r="Q17" s="136">
        <f t="shared" si="4"/>
        <v>7.0001440198307314</v>
      </c>
    </row>
    <row r="18" spans="1:17">
      <c r="A18" s="378"/>
      <c r="B18" s="118" t="s">
        <v>274</v>
      </c>
      <c r="C18" s="248">
        <v>0</v>
      </c>
      <c r="D18" s="246" t="s">
        <v>87</v>
      </c>
      <c r="E18" s="246" t="s">
        <v>87</v>
      </c>
      <c r="F18" s="246" t="s">
        <v>87</v>
      </c>
      <c r="G18" s="246" t="s">
        <v>87</v>
      </c>
      <c r="H18" s="248">
        <v>6</v>
      </c>
      <c r="I18" s="246">
        <v>2.0146153846153845</v>
      </c>
      <c r="J18" s="246">
        <v>1.5703370911628041</v>
      </c>
      <c r="K18" s="246">
        <v>3.5849524757781888</v>
      </c>
      <c r="L18" s="246">
        <v>0.44427829345258041</v>
      </c>
      <c r="M18" s="135">
        <f t="shared" si="0"/>
        <v>6</v>
      </c>
      <c r="N18" s="246">
        <v>2.0146153846153845</v>
      </c>
      <c r="O18" s="246">
        <v>1.5703370911628041</v>
      </c>
      <c r="P18" s="246">
        <v>3.5849524757781888</v>
      </c>
      <c r="Q18" s="246">
        <v>0.44427829345258041</v>
      </c>
    </row>
    <row r="19" spans="1:17">
      <c r="A19" s="378"/>
      <c r="B19" s="118" t="s">
        <v>275</v>
      </c>
      <c r="C19" s="248">
        <v>19</v>
      </c>
      <c r="D19" s="246">
        <v>0</v>
      </c>
      <c r="E19" s="246">
        <v>0</v>
      </c>
      <c r="F19" s="246">
        <v>0</v>
      </c>
      <c r="G19" s="246">
        <v>0</v>
      </c>
      <c r="H19" s="248">
        <v>23</v>
      </c>
      <c r="I19" s="250">
        <v>1.0869565217391304</v>
      </c>
      <c r="J19" s="246">
        <v>2.9063104301167715</v>
      </c>
      <c r="K19" s="246">
        <v>3.9932669518559019</v>
      </c>
      <c r="L19" s="246">
        <v>0</v>
      </c>
      <c r="M19" s="135">
        <f t="shared" si="0"/>
        <v>42</v>
      </c>
      <c r="N19" s="136">
        <f t="shared" si="1"/>
        <v>0.59523809523809523</v>
      </c>
      <c r="O19" s="136">
        <f t="shared" si="2"/>
        <v>1.4531552150583857</v>
      </c>
      <c r="P19" s="136">
        <f t="shared" si="3"/>
        <v>3.9932669518559019</v>
      </c>
      <c r="Q19" s="136">
        <f t="shared" si="4"/>
        <v>0</v>
      </c>
    </row>
    <row r="20" spans="1:17">
      <c r="A20" s="378"/>
      <c r="B20" s="118" t="s">
        <v>276</v>
      </c>
      <c r="C20" s="248">
        <v>19</v>
      </c>
      <c r="D20" s="246">
        <v>0</v>
      </c>
      <c r="E20" s="246">
        <v>0</v>
      </c>
      <c r="F20" s="246">
        <v>0</v>
      </c>
      <c r="G20" s="246">
        <v>0</v>
      </c>
      <c r="H20" s="248">
        <v>24</v>
      </c>
      <c r="I20" s="246">
        <v>0</v>
      </c>
      <c r="J20" s="246">
        <v>0</v>
      </c>
      <c r="K20" s="246">
        <v>0</v>
      </c>
      <c r="L20" s="246">
        <v>0</v>
      </c>
      <c r="M20" s="135">
        <f t="shared" si="0"/>
        <v>43</v>
      </c>
      <c r="N20" s="136">
        <f t="shared" si="1"/>
        <v>0</v>
      </c>
      <c r="O20" s="136">
        <f t="shared" si="2"/>
        <v>0</v>
      </c>
      <c r="P20" s="136">
        <f t="shared" si="3"/>
        <v>0</v>
      </c>
      <c r="Q20" s="136">
        <f t="shared" si="4"/>
        <v>0</v>
      </c>
    </row>
    <row r="21" spans="1:17">
      <c r="A21" s="378" t="s">
        <v>277</v>
      </c>
      <c r="B21" s="118" t="s">
        <v>278</v>
      </c>
      <c r="C21" s="248">
        <v>4</v>
      </c>
      <c r="D21" s="246">
        <v>0.11905514705882353</v>
      </c>
      <c r="E21" s="246">
        <v>5.4376523265463064E-2</v>
      </c>
      <c r="F21" s="246">
        <v>0.17343167032428658</v>
      </c>
      <c r="G21" s="246">
        <v>6.4678623793360465E-2</v>
      </c>
      <c r="H21" s="248">
        <v>8</v>
      </c>
      <c r="I21" s="246">
        <v>9.1012499999999996E-2</v>
      </c>
      <c r="J21" s="246">
        <v>3.1968754276637076E-2</v>
      </c>
      <c r="K21" s="246">
        <v>0.12298125427663707</v>
      </c>
      <c r="L21" s="246">
        <v>5.904374572336292E-2</v>
      </c>
      <c r="M21" s="135">
        <f t="shared" si="0"/>
        <v>12</v>
      </c>
      <c r="N21" s="136">
        <f t="shared" si="1"/>
        <v>0.10036004901960784</v>
      </c>
      <c r="O21" s="136">
        <f t="shared" si="2"/>
        <v>4.317263877105007E-2</v>
      </c>
      <c r="P21" s="136">
        <f t="shared" si="3"/>
        <v>0.17343167032428658</v>
      </c>
      <c r="Q21" s="136">
        <f t="shared" si="4"/>
        <v>5.904374572336292E-2</v>
      </c>
    </row>
    <row r="22" spans="1:17">
      <c r="A22" s="378"/>
      <c r="B22" s="118" t="s">
        <v>279</v>
      </c>
      <c r="C22" s="248">
        <v>7</v>
      </c>
      <c r="D22" s="246">
        <v>7.0403257843285064E-2</v>
      </c>
      <c r="E22" s="246">
        <v>0.14556288600480741</v>
      </c>
      <c r="F22" s="246">
        <v>0.21596614384809248</v>
      </c>
      <c r="G22" s="246">
        <v>0</v>
      </c>
      <c r="H22" s="248">
        <v>12</v>
      </c>
      <c r="I22" s="246">
        <v>9.7538303731240547E-2</v>
      </c>
      <c r="J22" s="246">
        <v>0.16730103573785596</v>
      </c>
      <c r="K22" s="246">
        <v>0.26483933946909649</v>
      </c>
      <c r="L22" s="246">
        <v>0</v>
      </c>
      <c r="M22" s="135">
        <f t="shared" si="0"/>
        <v>19</v>
      </c>
      <c r="N22" s="136">
        <f t="shared" si="1"/>
        <v>8.7541181561993794E-2</v>
      </c>
      <c r="O22" s="136">
        <f t="shared" si="2"/>
        <v>0.15643196087133168</v>
      </c>
      <c r="P22" s="136">
        <f t="shared" si="3"/>
        <v>0.26483933946909649</v>
      </c>
      <c r="Q22" s="136">
        <f t="shared" si="4"/>
        <v>0</v>
      </c>
    </row>
    <row r="23" spans="1:17">
      <c r="A23" s="378"/>
      <c r="B23" s="118" t="s">
        <v>280</v>
      </c>
      <c r="C23" s="248">
        <v>8</v>
      </c>
      <c r="D23" s="246">
        <v>20.949796581865883</v>
      </c>
      <c r="E23" s="246">
        <v>5.5642718579015957</v>
      </c>
      <c r="F23" s="246">
        <v>26.514068439767478</v>
      </c>
      <c r="G23" s="246">
        <v>15.385524723964288</v>
      </c>
      <c r="H23" s="248">
        <v>20</v>
      </c>
      <c r="I23" s="246">
        <v>18.918552501305061</v>
      </c>
      <c r="J23" s="246">
        <v>8.1015953700674768</v>
      </c>
      <c r="K23" s="246">
        <v>27.020147871372536</v>
      </c>
      <c r="L23" s="246">
        <v>10.816957131237585</v>
      </c>
      <c r="M23" s="135">
        <f t="shared" si="0"/>
        <v>28</v>
      </c>
      <c r="N23" s="136">
        <f t="shared" si="1"/>
        <v>19.498907952893866</v>
      </c>
      <c r="O23" s="136">
        <f t="shared" si="2"/>
        <v>6.8329336139845367</v>
      </c>
      <c r="P23" s="136">
        <f t="shared" si="3"/>
        <v>27.020147871372536</v>
      </c>
      <c r="Q23" s="136">
        <f t="shared" si="4"/>
        <v>10.816957131237585</v>
      </c>
    </row>
    <row r="24" spans="1:17">
      <c r="A24" s="378"/>
      <c r="B24" s="118" t="s">
        <v>281</v>
      </c>
      <c r="C24" s="248">
        <v>3</v>
      </c>
      <c r="D24" s="247">
        <v>0.76569999999999994</v>
      </c>
      <c r="E24" s="247">
        <v>0.18278613185906648</v>
      </c>
      <c r="F24" s="247">
        <v>0.94848613185906638</v>
      </c>
      <c r="G24" s="247">
        <v>0.58291386814093349</v>
      </c>
      <c r="H24" s="248">
        <v>13</v>
      </c>
      <c r="I24" s="247">
        <v>0.70964615384615393</v>
      </c>
      <c r="J24" s="247">
        <v>0.10994186050957833</v>
      </c>
      <c r="K24" s="247">
        <v>0.81958801435573225</v>
      </c>
      <c r="L24" s="247">
        <v>0.5997042933365756</v>
      </c>
      <c r="M24" s="135">
        <f t="shared" si="0"/>
        <v>16</v>
      </c>
      <c r="N24" s="247">
        <f t="shared" si="1"/>
        <v>0.72015625000000005</v>
      </c>
      <c r="O24" s="247">
        <f t="shared" si="2"/>
        <v>0.14636399618432239</v>
      </c>
      <c r="P24" s="247">
        <f t="shared" si="3"/>
        <v>0.94848613185906638</v>
      </c>
      <c r="Q24" s="247">
        <f t="shared" si="4"/>
        <v>0.58291386814093349</v>
      </c>
    </row>
    <row r="25" spans="1:17">
      <c r="A25" s="378"/>
      <c r="B25" s="118" t="s">
        <v>282</v>
      </c>
      <c r="C25" s="248">
        <v>9</v>
      </c>
      <c r="D25" s="246">
        <v>4.5664199229341396</v>
      </c>
      <c r="E25" s="246">
        <v>1.4909836507860728</v>
      </c>
      <c r="F25" s="246">
        <v>6.0574035737202125</v>
      </c>
      <c r="G25" s="246">
        <v>3.0754362721480666</v>
      </c>
      <c r="H25" s="248">
        <v>18</v>
      </c>
      <c r="I25" s="246">
        <v>3.6425610476700214</v>
      </c>
      <c r="J25" s="246">
        <v>1.885295758677149</v>
      </c>
      <c r="K25" s="246">
        <v>5.5278568063471702</v>
      </c>
      <c r="L25" s="246">
        <v>1.7572652889928724</v>
      </c>
      <c r="M25" s="135">
        <f t="shared" si="0"/>
        <v>27</v>
      </c>
      <c r="N25" s="136">
        <f t="shared" si="1"/>
        <v>3.9505140060913937</v>
      </c>
      <c r="O25" s="136">
        <f t="shared" si="2"/>
        <v>1.6881397047316109</v>
      </c>
      <c r="P25" s="136">
        <f t="shared" si="3"/>
        <v>6.0574035737202125</v>
      </c>
      <c r="Q25" s="136">
        <f t="shared" si="4"/>
        <v>1.7572652889928724</v>
      </c>
    </row>
    <row r="26" spans="1:17">
      <c r="A26" s="123" t="s">
        <v>283</v>
      </c>
      <c r="B26" s="118" t="s">
        <v>284</v>
      </c>
      <c r="C26" s="248">
        <v>3</v>
      </c>
      <c r="D26" s="246">
        <v>0.62680216802168021</v>
      </c>
      <c r="E26" s="246">
        <v>2.5354950404919228E-2</v>
      </c>
      <c r="F26" s="246">
        <v>0.70286701923643791</v>
      </c>
      <c r="G26" s="246">
        <v>0.55073731680692251</v>
      </c>
      <c r="H26" s="248">
        <v>8</v>
      </c>
      <c r="I26" s="246">
        <v>0.6046341463414634</v>
      </c>
      <c r="J26" s="246">
        <v>7.2387966901231823E-2</v>
      </c>
      <c r="K26" s="246">
        <v>0.67702211324269523</v>
      </c>
      <c r="L26" s="246">
        <v>0.53224617944023156</v>
      </c>
      <c r="M26" s="135">
        <f t="shared" si="0"/>
        <v>11</v>
      </c>
      <c r="N26" s="136">
        <f t="shared" si="1"/>
        <v>0.61067997043606792</v>
      </c>
      <c r="O26" s="136">
        <f t="shared" si="2"/>
        <v>4.8871458653075524E-2</v>
      </c>
      <c r="P26" s="136">
        <f t="shared" si="3"/>
        <v>0.70286701923643791</v>
      </c>
      <c r="Q26" s="136">
        <f t="shared" si="4"/>
        <v>0.53224617944023156</v>
      </c>
    </row>
    <row r="27" spans="1:17">
      <c r="A27" s="378" t="s">
        <v>285</v>
      </c>
      <c r="B27" s="118" t="s">
        <v>286</v>
      </c>
      <c r="C27" s="248">
        <v>0</v>
      </c>
      <c r="D27" s="246" t="s">
        <v>87</v>
      </c>
      <c r="E27" s="246" t="s">
        <v>87</v>
      </c>
      <c r="F27" s="246" t="s">
        <v>87</v>
      </c>
      <c r="G27" s="246" t="s">
        <v>87</v>
      </c>
      <c r="H27" s="248">
        <v>0</v>
      </c>
      <c r="I27" s="246" t="s">
        <v>87</v>
      </c>
      <c r="J27" s="246" t="s">
        <v>87</v>
      </c>
      <c r="K27" s="246" t="s">
        <v>87</v>
      </c>
      <c r="L27" s="246" t="s">
        <v>87</v>
      </c>
      <c r="M27" s="135">
        <f t="shared" si="0"/>
        <v>0</v>
      </c>
      <c r="N27" s="136" t="str">
        <f t="shared" si="1"/>
        <v/>
      </c>
      <c r="O27" s="136" t="str">
        <f t="shared" si="2"/>
        <v/>
      </c>
      <c r="P27" s="136">
        <f t="shared" si="3"/>
        <v>0</v>
      </c>
      <c r="Q27" s="136">
        <f t="shared" si="4"/>
        <v>0</v>
      </c>
    </row>
    <row r="28" spans="1:17">
      <c r="A28" s="378"/>
      <c r="B28" s="118" t="s">
        <v>287</v>
      </c>
      <c r="C28" s="248">
        <v>0</v>
      </c>
      <c r="D28" s="246" t="s">
        <v>87</v>
      </c>
      <c r="E28" s="246" t="s">
        <v>87</v>
      </c>
      <c r="F28" s="246" t="s">
        <v>87</v>
      </c>
      <c r="G28" s="246" t="s">
        <v>87</v>
      </c>
      <c r="H28" s="248">
        <v>0</v>
      </c>
      <c r="I28" s="246" t="s">
        <v>87</v>
      </c>
      <c r="J28" s="246" t="s">
        <v>87</v>
      </c>
      <c r="K28" s="246" t="s">
        <v>87</v>
      </c>
      <c r="L28" s="246" t="s">
        <v>87</v>
      </c>
      <c r="M28" s="135">
        <f t="shared" si="0"/>
        <v>0</v>
      </c>
      <c r="N28" s="136" t="str">
        <f t="shared" si="1"/>
        <v/>
      </c>
      <c r="O28" s="136" t="str">
        <f t="shared" si="2"/>
        <v/>
      </c>
      <c r="P28" s="136">
        <f t="shared" si="3"/>
        <v>0</v>
      </c>
      <c r="Q28" s="136">
        <f t="shared" si="4"/>
        <v>0</v>
      </c>
    </row>
    <row r="29" spans="1:17">
      <c r="A29" s="378" t="s">
        <v>288</v>
      </c>
      <c r="B29" s="118" t="s">
        <v>289</v>
      </c>
      <c r="C29" s="248">
        <v>18</v>
      </c>
      <c r="D29" s="246">
        <v>0</v>
      </c>
      <c r="E29" s="246">
        <v>0</v>
      </c>
      <c r="F29" s="246">
        <v>0</v>
      </c>
      <c r="G29" s="246">
        <v>0</v>
      </c>
      <c r="H29" s="248">
        <v>23</v>
      </c>
      <c r="I29" s="246">
        <v>0.35652173913043478</v>
      </c>
      <c r="J29" s="246">
        <v>0.63448338824627581</v>
      </c>
      <c r="K29" s="246">
        <v>0.99100512737671065</v>
      </c>
      <c r="L29" s="246">
        <v>0</v>
      </c>
      <c r="M29" s="135">
        <f t="shared" si="0"/>
        <v>41</v>
      </c>
      <c r="N29" s="136">
        <f t="shared" si="1"/>
        <v>0.19999999999999998</v>
      </c>
      <c r="O29" s="136">
        <f t="shared" si="2"/>
        <v>0.31724169412313791</v>
      </c>
      <c r="P29" s="136">
        <f t="shared" si="3"/>
        <v>0.99100512737671065</v>
      </c>
      <c r="Q29" s="136">
        <f t="shared" si="4"/>
        <v>0</v>
      </c>
    </row>
    <row r="30" spans="1:17">
      <c r="A30" s="378"/>
      <c r="B30" s="118" t="s">
        <v>290</v>
      </c>
      <c r="C30" s="248">
        <v>19</v>
      </c>
      <c r="D30" s="246">
        <v>0</v>
      </c>
      <c r="E30" s="246">
        <v>0</v>
      </c>
      <c r="F30" s="246">
        <v>0</v>
      </c>
      <c r="G30" s="246">
        <v>0</v>
      </c>
      <c r="H30" s="248">
        <v>24</v>
      </c>
      <c r="I30" s="246">
        <v>0</v>
      </c>
      <c r="J30" s="246">
        <v>0</v>
      </c>
      <c r="K30" s="246">
        <v>0</v>
      </c>
      <c r="L30" s="246">
        <v>0</v>
      </c>
      <c r="M30" s="135">
        <f t="shared" si="0"/>
        <v>43</v>
      </c>
      <c r="N30" s="136">
        <f t="shared" si="1"/>
        <v>0</v>
      </c>
      <c r="O30" s="136">
        <f t="shared" si="2"/>
        <v>0</v>
      </c>
      <c r="P30" s="136">
        <f t="shared" si="3"/>
        <v>0</v>
      </c>
      <c r="Q30" s="136">
        <f t="shared" si="4"/>
        <v>0</v>
      </c>
    </row>
    <row r="31" spans="1:17">
      <c r="A31" s="380" t="s">
        <v>291</v>
      </c>
      <c r="B31" s="118" t="s">
        <v>292</v>
      </c>
      <c r="C31" s="248">
        <v>10</v>
      </c>
      <c r="D31" s="247">
        <v>0.97399999999999998</v>
      </c>
      <c r="E31" s="247">
        <v>5.3582750126426985E-2</v>
      </c>
      <c r="F31" s="247">
        <v>1</v>
      </c>
      <c r="G31" s="247">
        <v>0.813251749620719</v>
      </c>
      <c r="H31" s="248">
        <v>20</v>
      </c>
      <c r="I31" s="247">
        <v>0.94589999999999996</v>
      </c>
      <c r="J31" s="247">
        <v>6.2216853360687281E-2</v>
      </c>
      <c r="K31" s="247">
        <v>1</v>
      </c>
      <c r="L31" s="247">
        <v>0.75924943991793814</v>
      </c>
      <c r="M31" s="135">
        <f t="shared" si="0"/>
        <v>30</v>
      </c>
      <c r="N31" s="247">
        <f t="shared" si="1"/>
        <v>0.95526666666666671</v>
      </c>
      <c r="O31" s="247">
        <f t="shared" si="2"/>
        <v>5.7899801743557133E-2</v>
      </c>
      <c r="P31" s="247">
        <f t="shared" si="3"/>
        <v>1</v>
      </c>
      <c r="Q31" s="247">
        <f t="shared" si="4"/>
        <v>0.75924943991793814</v>
      </c>
    </row>
    <row r="32" spans="1:17">
      <c r="A32" s="381"/>
      <c r="B32" s="118" t="s">
        <v>293</v>
      </c>
      <c r="C32" s="248">
        <v>5</v>
      </c>
      <c r="D32" s="246">
        <v>3.95</v>
      </c>
      <c r="E32" s="246">
        <v>0.71589105316381718</v>
      </c>
      <c r="F32" s="246">
        <v>4.6658910531638176</v>
      </c>
      <c r="G32" s="246">
        <v>3.2341089468361828</v>
      </c>
      <c r="H32" s="248">
        <v>6</v>
      </c>
      <c r="I32" s="246">
        <v>3.8833333333333333</v>
      </c>
      <c r="J32" s="246">
        <v>0.49159604012508656</v>
      </c>
      <c r="K32" s="246">
        <v>4.3749293734584196</v>
      </c>
      <c r="L32" s="246">
        <v>3.3917372932082466</v>
      </c>
      <c r="M32" s="135">
        <f t="shared" si="0"/>
        <v>11</v>
      </c>
      <c r="N32" s="136">
        <f t="shared" si="1"/>
        <v>3.9136363636363636</v>
      </c>
      <c r="O32" s="136">
        <f t="shared" si="2"/>
        <v>0.60374354664445185</v>
      </c>
      <c r="P32" s="136">
        <f t="shared" si="3"/>
        <v>4.6658910531638176</v>
      </c>
      <c r="Q32" s="136">
        <f t="shared" si="4"/>
        <v>3.2341089468361828</v>
      </c>
    </row>
    <row r="33" spans="1:17">
      <c r="A33" s="381"/>
      <c r="B33" s="118" t="s">
        <v>294</v>
      </c>
      <c r="C33" s="248">
        <v>10</v>
      </c>
      <c r="D33" s="246">
        <v>30.931999999999999</v>
      </c>
      <c r="E33" s="246">
        <v>17.346713297400811</v>
      </c>
      <c r="F33" s="246">
        <v>48.278713297400813</v>
      </c>
      <c r="G33" s="246">
        <v>13.585286702599188</v>
      </c>
      <c r="H33" s="248">
        <v>9</v>
      </c>
      <c r="I33" s="250">
        <v>29.495555555555555</v>
      </c>
      <c r="J33" s="246">
        <v>13.597101815378821</v>
      </c>
      <c r="K33" s="246">
        <v>43.092657370934376</v>
      </c>
      <c r="L33" s="246">
        <v>15.898453740176734</v>
      </c>
      <c r="M33" s="135">
        <f t="shared" si="0"/>
        <v>19</v>
      </c>
      <c r="N33" s="136">
        <f t="shared" si="1"/>
        <v>30.251578947368419</v>
      </c>
      <c r="O33" s="136">
        <f t="shared" si="2"/>
        <v>15.471907556389816</v>
      </c>
      <c r="P33" s="136">
        <f t="shared" si="3"/>
        <v>48.278713297400813</v>
      </c>
      <c r="Q33" s="136">
        <f t="shared" si="4"/>
        <v>13.585286702599188</v>
      </c>
    </row>
    <row r="34" spans="1:17">
      <c r="A34" s="381"/>
      <c r="B34" s="118" t="s">
        <v>295</v>
      </c>
      <c r="C34" s="248">
        <v>0</v>
      </c>
      <c r="D34" s="246" t="s">
        <v>87</v>
      </c>
      <c r="E34" s="246" t="s">
        <v>87</v>
      </c>
      <c r="F34" s="246" t="s">
        <v>87</v>
      </c>
      <c r="G34" s="246" t="s">
        <v>87</v>
      </c>
      <c r="H34" s="248">
        <v>3</v>
      </c>
      <c r="I34" s="246">
        <v>1.6666666666666667</v>
      </c>
      <c r="J34" s="246">
        <v>0.28867513459481237</v>
      </c>
      <c r="K34" s="246">
        <v>1.9553418012614792</v>
      </c>
      <c r="L34" s="246">
        <v>1.3779915320718543</v>
      </c>
      <c r="M34" s="248">
        <v>3</v>
      </c>
      <c r="N34" s="246">
        <v>1.6666666666666667</v>
      </c>
      <c r="O34" s="246">
        <v>0.28867513459481237</v>
      </c>
      <c r="P34" s="246">
        <v>1.9553418012614792</v>
      </c>
      <c r="Q34" s="246">
        <v>1.3779915320718543</v>
      </c>
    </row>
    <row r="35" spans="1:17">
      <c r="A35" s="382"/>
      <c r="B35" s="118" t="s">
        <v>296</v>
      </c>
      <c r="C35" s="248">
        <v>7</v>
      </c>
      <c r="D35" s="246">
        <v>2</v>
      </c>
      <c r="E35" s="246">
        <v>0.57735026918962573</v>
      </c>
      <c r="F35" s="246">
        <v>2.5773502691896257</v>
      </c>
      <c r="G35" s="246">
        <v>1.4226497308103743</v>
      </c>
      <c r="H35" s="248">
        <v>6</v>
      </c>
      <c r="I35" s="246">
        <v>1.75</v>
      </c>
      <c r="J35" s="246">
        <v>0.27386127875258304</v>
      </c>
      <c r="K35" s="246">
        <v>2.0238612787525829</v>
      </c>
      <c r="L35" s="246">
        <v>1.4761387212474171</v>
      </c>
      <c r="M35" s="135">
        <f t="shared" si="0"/>
        <v>13</v>
      </c>
      <c r="N35" s="136">
        <f t="shared" si="1"/>
        <v>1.8846153846153846</v>
      </c>
      <c r="O35" s="136">
        <f t="shared" si="2"/>
        <v>0.42560577397110438</v>
      </c>
      <c r="P35" s="136">
        <f t="shared" si="3"/>
        <v>2.5773502691896257</v>
      </c>
      <c r="Q35" s="136">
        <f t="shared" si="4"/>
        <v>1.4226497308103743</v>
      </c>
    </row>
    <row r="36" spans="1:17">
      <c r="A36" s="382"/>
      <c r="B36" s="118" t="s">
        <v>297</v>
      </c>
      <c r="C36" s="248">
        <v>0</v>
      </c>
      <c r="D36" s="246" t="s">
        <v>87</v>
      </c>
      <c r="E36" s="246" t="s">
        <v>87</v>
      </c>
      <c r="F36" s="246" t="s">
        <v>87</v>
      </c>
      <c r="G36" s="246" t="s">
        <v>87</v>
      </c>
      <c r="H36" s="248">
        <v>2</v>
      </c>
      <c r="I36" s="246">
        <v>2</v>
      </c>
      <c r="J36" s="246">
        <v>0</v>
      </c>
      <c r="K36" s="246">
        <v>2</v>
      </c>
      <c r="L36" s="246">
        <v>2</v>
      </c>
      <c r="M36" s="248">
        <v>2</v>
      </c>
      <c r="N36" s="246">
        <v>2</v>
      </c>
      <c r="O36" s="246">
        <v>0</v>
      </c>
      <c r="P36" s="246">
        <v>2</v>
      </c>
      <c r="Q36" s="246">
        <v>2</v>
      </c>
    </row>
    <row r="37" spans="1:17">
      <c r="A37" s="383"/>
      <c r="B37" s="118" t="s">
        <v>298</v>
      </c>
      <c r="C37" s="248">
        <v>0</v>
      </c>
      <c r="D37" s="246" t="s">
        <v>87</v>
      </c>
      <c r="E37" s="246" t="s">
        <v>87</v>
      </c>
      <c r="F37" s="246" t="s">
        <v>87</v>
      </c>
      <c r="G37" s="246" t="s">
        <v>87</v>
      </c>
      <c r="H37" s="248">
        <v>5</v>
      </c>
      <c r="I37" s="246">
        <v>2.9</v>
      </c>
      <c r="J37" s="246">
        <v>0.54772255750516674</v>
      </c>
      <c r="K37" s="246">
        <v>3.4477225575051667</v>
      </c>
      <c r="L37" s="246">
        <v>2.3522774424948332</v>
      </c>
      <c r="M37" s="248">
        <v>5</v>
      </c>
      <c r="N37" s="246">
        <v>2.9</v>
      </c>
      <c r="O37" s="246">
        <v>0.54772255750516674</v>
      </c>
      <c r="P37" s="246">
        <v>3.4477225575051667</v>
      </c>
      <c r="Q37" s="246">
        <v>2.3522774424948332</v>
      </c>
    </row>
    <row r="38" spans="1:17">
      <c r="A38" s="364" t="s">
        <v>299</v>
      </c>
      <c r="B38" s="118" t="s">
        <v>300</v>
      </c>
      <c r="C38" s="248">
        <v>17</v>
      </c>
      <c r="D38" s="246">
        <v>0</v>
      </c>
      <c r="E38" s="246">
        <v>0</v>
      </c>
      <c r="F38" s="246">
        <v>0</v>
      </c>
      <c r="G38" s="246">
        <v>0</v>
      </c>
      <c r="H38" s="248">
        <v>24</v>
      </c>
      <c r="I38" s="246">
        <v>0</v>
      </c>
      <c r="J38" s="246">
        <v>0</v>
      </c>
      <c r="K38" s="246">
        <v>0</v>
      </c>
      <c r="L38" s="246">
        <v>0</v>
      </c>
      <c r="M38" s="135">
        <f t="shared" si="0"/>
        <v>41</v>
      </c>
      <c r="N38" s="136">
        <f t="shared" si="1"/>
        <v>0</v>
      </c>
      <c r="O38" s="136">
        <f t="shared" si="2"/>
        <v>0</v>
      </c>
      <c r="P38" s="136">
        <f t="shared" si="3"/>
        <v>0</v>
      </c>
      <c r="Q38" s="136">
        <f t="shared" si="4"/>
        <v>0</v>
      </c>
    </row>
    <row r="39" spans="1:17">
      <c r="A39" s="364"/>
      <c r="B39" s="118" t="s">
        <v>301</v>
      </c>
      <c r="C39" s="248">
        <v>9</v>
      </c>
      <c r="D39" s="246">
        <v>2.7688888888888887</v>
      </c>
      <c r="E39" s="246">
        <v>0.67563755898492883</v>
      </c>
      <c r="F39" s="246">
        <v>3.4445264478738178</v>
      </c>
      <c r="G39" s="246">
        <v>2.0932513299039597</v>
      </c>
      <c r="H39" s="248">
        <v>19</v>
      </c>
      <c r="I39" s="246">
        <v>2.5373684210526313</v>
      </c>
      <c r="J39" s="246">
        <v>0.93013644223285485</v>
      </c>
      <c r="K39" s="246">
        <v>3.4675048632854861</v>
      </c>
      <c r="L39" s="246">
        <v>1.6072319788197764</v>
      </c>
      <c r="M39" s="135">
        <f t="shared" si="0"/>
        <v>28</v>
      </c>
      <c r="N39" s="136">
        <f t="shared" si="1"/>
        <v>2.6117857142857139</v>
      </c>
      <c r="O39" s="136">
        <f t="shared" si="2"/>
        <v>0.80288700060889184</v>
      </c>
      <c r="P39" s="136">
        <f t="shared" si="3"/>
        <v>3.4675048632854861</v>
      </c>
      <c r="Q39" s="136">
        <f t="shared" si="4"/>
        <v>1.6072319788197764</v>
      </c>
    </row>
    <row r="40" spans="1:17">
      <c r="A40" s="364"/>
      <c r="B40" s="118" t="s">
        <v>302</v>
      </c>
      <c r="C40" s="248">
        <v>12</v>
      </c>
      <c r="D40" s="247">
        <v>4.2525E-2</v>
      </c>
      <c r="E40" s="247">
        <v>4.807593425556549E-3</v>
      </c>
      <c r="F40" s="247">
        <v>4.7332593425556548E-2</v>
      </c>
      <c r="G40" s="247">
        <v>3.7717406574443453E-2</v>
      </c>
      <c r="H40" s="248">
        <v>15</v>
      </c>
      <c r="I40" s="247">
        <v>4.1259999999999991E-2</v>
      </c>
      <c r="J40" s="247">
        <v>6.7326284402368843E-3</v>
      </c>
      <c r="K40" s="247">
        <v>4.7992628440236877E-2</v>
      </c>
      <c r="L40" s="247">
        <v>3.4527371559763105E-2</v>
      </c>
      <c r="M40" s="135">
        <f t="shared" si="0"/>
        <v>27</v>
      </c>
      <c r="N40" s="247">
        <f t="shared" si="1"/>
        <v>4.1822222222222219E-2</v>
      </c>
      <c r="O40" s="247">
        <f t="shared" si="2"/>
        <v>5.7701109328967166E-3</v>
      </c>
      <c r="P40" s="247">
        <f t="shared" si="3"/>
        <v>4.7992628440236877E-2</v>
      </c>
      <c r="Q40" s="247">
        <f t="shared" si="4"/>
        <v>3.4527371559763105E-2</v>
      </c>
    </row>
    <row r="41" spans="1:17">
      <c r="A41" s="364"/>
      <c r="B41" s="120" t="s">
        <v>303</v>
      </c>
      <c r="C41" s="248">
        <v>15</v>
      </c>
      <c r="D41" s="246">
        <v>0</v>
      </c>
      <c r="E41" s="246">
        <v>0</v>
      </c>
      <c r="F41" s="246">
        <v>0</v>
      </c>
      <c r="G41" s="246">
        <v>0</v>
      </c>
      <c r="H41" s="248">
        <v>19</v>
      </c>
      <c r="I41" s="246">
        <v>0</v>
      </c>
      <c r="J41" s="246">
        <v>0</v>
      </c>
      <c r="K41" s="246">
        <v>0</v>
      </c>
      <c r="L41" s="246">
        <v>0</v>
      </c>
      <c r="M41" s="135">
        <f t="shared" si="0"/>
        <v>34</v>
      </c>
      <c r="N41" s="136">
        <f t="shared" si="1"/>
        <v>0</v>
      </c>
      <c r="O41" s="136">
        <f t="shared" si="2"/>
        <v>0</v>
      </c>
      <c r="P41" s="136">
        <f t="shared" si="3"/>
        <v>0</v>
      </c>
      <c r="Q41" s="136">
        <f t="shared" si="4"/>
        <v>0</v>
      </c>
    </row>
    <row r="42" spans="1:17">
      <c r="A42" s="364"/>
      <c r="B42" s="120" t="s">
        <v>304</v>
      </c>
      <c r="C42" s="248">
        <v>13</v>
      </c>
      <c r="D42" s="246">
        <v>0</v>
      </c>
      <c r="E42" s="246">
        <v>0</v>
      </c>
      <c r="F42" s="246">
        <v>0</v>
      </c>
      <c r="G42" s="246">
        <v>0</v>
      </c>
      <c r="H42" s="248">
        <v>21</v>
      </c>
      <c r="I42" s="246">
        <v>0</v>
      </c>
      <c r="J42" s="246">
        <v>0</v>
      </c>
      <c r="K42" s="246">
        <v>0</v>
      </c>
      <c r="L42" s="246">
        <v>0</v>
      </c>
      <c r="M42" s="135">
        <f t="shared" si="0"/>
        <v>34</v>
      </c>
      <c r="N42" s="136">
        <f t="shared" si="1"/>
        <v>0</v>
      </c>
      <c r="O42" s="136">
        <f t="shared" si="2"/>
        <v>0</v>
      </c>
      <c r="P42" s="136">
        <f t="shared" si="3"/>
        <v>0</v>
      </c>
      <c r="Q42" s="136">
        <f t="shared" si="4"/>
        <v>0</v>
      </c>
    </row>
    <row r="43" spans="1:17">
      <c r="A43" s="364"/>
      <c r="B43" s="120" t="s">
        <v>377</v>
      </c>
      <c r="C43" s="248">
        <v>0</v>
      </c>
      <c r="D43" s="246" t="s">
        <v>87</v>
      </c>
      <c r="E43" s="246" t="s">
        <v>87</v>
      </c>
      <c r="F43" s="246" t="s">
        <v>87</v>
      </c>
      <c r="G43" s="246" t="s">
        <v>87</v>
      </c>
      <c r="H43" s="248">
        <v>5</v>
      </c>
      <c r="I43" s="246">
        <v>59.070000000000007</v>
      </c>
      <c r="J43" s="246">
        <v>9.6776107588598439</v>
      </c>
      <c r="K43" s="246">
        <v>68.74761075885985</v>
      </c>
      <c r="L43" s="246">
        <v>49.392389241140165</v>
      </c>
      <c r="M43" s="248">
        <v>5</v>
      </c>
      <c r="N43" s="246">
        <v>59.070000000000007</v>
      </c>
      <c r="O43" s="246">
        <v>9.6776107588598439</v>
      </c>
      <c r="P43" s="246">
        <v>68.74761075885985</v>
      </c>
      <c r="Q43" s="246">
        <v>49.392389241140165</v>
      </c>
    </row>
  </sheetData>
  <mergeCells count="12">
    <mergeCell ref="M1:Q1"/>
    <mergeCell ref="A27:A28"/>
    <mergeCell ref="A29:A30"/>
    <mergeCell ref="A38:A43"/>
    <mergeCell ref="H1:L1"/>
    <mergeCell ref="A1:B2"/>
    <mergeCell ref="C1:G1"/>
    <mergeCell ref="A3:A13"/>
    <mergeCell ref="A14:A16"/>
    <mergeCell ref="A17:A20"/>
    <mergeCell ref="A21:A25"/>
    <mergeCell ref="A31:A37"/>
  </mergeCells>
  <phoneticPr fontId="26" type="noConversion"/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>
    <oddHeader>&amp;L&amp;G&amp;C&amp;F&amp;R文档密级</oddHeader>
    <oddFooter>&amp;L&amp;D&amp;C华为保密信息,未经授权禁止扩散&amp;R第&amp;P页，共&amp;N页</oddFooter>
  </headerFooter>
  <legacyDrawingHF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43"/>
  <sheetViews>
    <sheetView topLeftCell="A25" workbookViewId="0">
      <selection activeCell="A31" sqref="A31:A37"/>
    </sheetView>
  </sheetViews>
  <sheetFormatPr defaultRowHeight="14.25"/>
  <cols>
    <col min="1" max="1" width="9" style="116"/>
    <col min="2" max="2" width="35.5" style="116" bestFit="1" customWidth="1"/>
    <col min="3" max="4" width="7.25" style="116" customWidth="1"/>
    <col min="5" max="5" width="7.5" style="116" customWidth="1"/>
    <col min="6" max="9" width="7.25" style="116" customWidth="1"/>
    <col min="10" max="10" width="5.875" style="116" customWidth="1"/>
    <col min="11" max="12" width="7.25" style="116" customWidth="1"/>
    <col min="13" max="16384" width="9" style="116"/>
  </cols>
  <sheetData>
    <row r="1" spans="1:17" ht="14.25" customHeight="1">
      <c r="A1" s="379" t="s">
        <v>339</v>
      </c>
      <c r="B1" s="379"/>
      <c r="C1" s="376" t="s">
        <v>455</v>
      </c>
      <c r="D1" s="377"/>
      <c r="E1" s="377"/>
      <c r="F1" s="377"/>
      <c r="G1" s="377"/>
      <c r="H1" s="376" t="s">
        <v>456</v>
      </c>
      <c r="I1" s="377"/>
      <c r="J1" s="377"/>
      <c r="K1" s="377"/>
      <c r="L1" s="377"/>
      <c r="M1" s="376" t="s">
        <v>457</v>
      </c>
      <c r="N1" s="377"/>
      <c r="O1" s="377"/>
      <c r="P1" s="377"/>
      <c r="Q1" s="377"/>
    </row>
    <row r="2" spans="1:17">
      <c r="A2" s="379"/>
      <c r="B2" s="379"/>
      <c r="C2" s="225" t="s">
        <v>340</v>
      </c>
      <c r="D2" s="225" t="s">
        <v>319</v>
      </c>
      <c r="E2" s="225" t="s">
        <v>260</v>
      </c>
      <c r="F2" s="225" t="s">
        <v>261</v>
      </c>
      <c r="G2" s="225" t="s">
        <v>262</v>
      </c>
      <c r="H2" s="225" t="s">
        <v>318</v>
      </c>
      <c r="I2" s="225" t="s">
        <v>319</v>
      </c>
      <c r="J2" s="225" t="s">
        <v>260</v>
      </c>
      <c r="K2" s="225" t="s">
        <v>326</v>
      </c>
      <c r="L2" s="225" t="s">
        <v>262</v>
      </c>
      <c r="M2" s="225" t="s">
        <v>318</v>
      </c>
      <c r="N2" s="225" t="s">
        <v>319</v>
      </c>
      <c r="O2" s="225" t="s">
        <v>260</v>
      </c>
      <c r="P2" s="225" t="s">
        <v>326</v>
      </c>
      <c r="Q2" s="225" t="s">
        <v>262</v>
      </c>
    </row>
    <row r="3" spans="1:17" ht="16.5">
      <c r="A3" s="351" t="s">
        <v>258</v>
      </c>
      <c r="B3" s="117" t="s">
        <v>259</v>
      </c>
      <c r="C3" s="260">
        <v>74</v>
      </c>
      <c r="D3" s="261">
        <v>34.566486486486475</v>
      </c>
      <c r="E3" s="261">
        <v>6.1648343048832439</v>
      </c>
      <c r="F3" s="261">
        <v>40.731320791369718</v>
      </c>
      <c r="G3" s="261">
        <v>28.401652181603232</v>
      </c>
      <c r="H3" s="248"/>
      <c r="I3" s="246"/>
      <c r="J3" s="246"/>
      <c r="K3" s="246"/>
      <c r="L3" s="246"/>
      <c r="M3" s="253">
        <v>128</v>
      </c>
      <c r="N3" s="254">
        <v>36.345468749999981</v>
      </c>
      <c r="O3" s="254">
        <v>7.7363716962565467</v>
      </c>
      <c r="P3" s="254">
        <v>44.081840446256528</v>
      </c>
      <c r="Q3" s="254">
        <v>28.609097053743433</v>
      </c>
    </row>
    <row r="4" spans="1:17" ht="16.5">
      <c r="A4" s="351"/>
      <c r="B4" s="118" t="s">
        <v>331</v>
      </c>
      <c r="C4" s="260">
        <v>40</v>
      </c>
      <c r="D4" s="261">
        <v>44.479249999999993</v>
      </c>
      <c r="E4" s="261">
        <v>6.9618227746873274</v>
      </c>
      <c r="F4" s="261">
        <v>51.441072774687321</v>
      </c>
      <c r="G4" s="261">
        <v>37.517427225312666</v>
      </c>
      <c r="H4" s="248"/>
      <c r="I4" s="246"/>
      <c r="J4" s="246"/>
      <c r="K4" s="246"/>
      <c r="L4" s="246"/>
      <c r="M4" s="253">
        <v>59</v>
      </c>
      <c r="N4" s="254">
        <v>46.136949152542378</v>
      </c>
      <c r="O4" s="254">
        <v>9.0956981598232165</v>
      </c>
      <c r="P4" s="254">
        <v>55.232647312365593</v>
      </c>
      <c r="Q4" s="254">
        <v>37.041250992719164</v>
      </c>
    </row>
    <row r="5" spans="1:17" ht="16.5">
      <c r="A5" s="351"/>
      <c r="B5" s="118" t="s">
        <v>263</v>
      </c>
      <c r="C5" s="260">
        <v>0</v>
      </c>
      <c r="D5" s="261" t="s">
        <v>87</v>
      </c>
      <c r="E5" s="261" t="s">
        <v>87</v>
      </c>
      <c r="F5" s="261" t="s">
        <v>87</v>
      </c>
      <c r="G5" s="261" t="s">
        <v>87</v>
      </c>
      <c r="H5" s="248"/>
      <c r="I5" s="246"/>
      <c r="J5" s="246"/>
      <c r="K5" s="246"/>
      <c r="L5" s="246"/>
      <c r="M5" s="255">
        <v>0</v>
      </c>
      <c r="N5" s="256" t="s">
        <v>87</v>
      </c>
      <c r="O5" s="256" t="s">
        <v>87</v>
      </c>
      <c r="P5" s="256" t="s">
        <v>87</v>
      </c>
      <c r="Q5" s="256" t="s">
        <v>87</v>
      </c>
    </row>
    <row r="6" spans="1:17" ht="16.5">
      <c r="A6" s="351"/>
      <c r="B6" s="118" t="s">
        <v>257</v>
      </c>
      <c r="C6" s="260">
        <v>0</v>
      </c>
      <c r="D6" s="261" t="s">
        <v>87</v>
      </c>
      <c r="E6" s="261" t="s">
        <v>87</v>
      </c>
      <c r="F6" s="261" t="s">
        <v>87</v>
      </c>
      <c r="G6" s="261" t="s">
        <v>87</v>
      </c>
      <c r="H6" s="248"/>
      <c r="I6" s="246"/>
      <c r="J6" s="246"/>
      <c r="K6" s="246"/>
      <c r="L6" s="246"/>
      <c r="M6" s="255">
        <v>0</v>
      </c>
      <c r="N6" s="256" t="s">
        <v>87</v>
      </c>
      <c r="O6" s="256" t="s">
        <v>87</v>
      </c>
      <c r="P6" s="256" t="s">
        <v>87</v>
      </c>
      <c r="Q6" s="256" t="s">
        <v>87</v>
      </c>
    </row>
    <row r="7" spans="1:17" ht="16.5">
      <c r="A7" s="351"/>
      <c r="B7" s="118" t="s">
        <v>327</v>
      </c>
      <c r="C7" s="260">
        <v>38</v>
      </c>
      <c r="D7" s="261">
        <v>15.201578947368423</v>
      </c>
      <c r="E7" s="261">
        <v>2.0866558352253155</v>
      </c>
      <c r="F7" s="261">
        <v>17.28823478259374</v>
      </c>
      <c r="G7" s="261">
        <v>13.114923112143108</v>
      </c>
      <c r="H7" s="248"/>
      <c r="I7" s="246"/>
      <c r="J7" s="246"/>
      <c r="K7" s="246"/>
      <c r="L7" s="246"/>
      <c r="M7" s="255">
        <v>38</v>
      </c>
      <c r="N7" s="256">
        <v>15.201578947368423</v>
      </c>
      <c r="O7" s="256">
        <v>2.0866558352253155</v>
      </c>
      <c r="P7" s="256">
        <v>17.28823478259374</v>
      </c>
      <c r="Q7" s="256">
        <v>13.114923112143108</v>
      </c>
    </row>
    <row r="8" spans="1:17" ht="16.5">
      <c r="A8" s="351"/>
      <c r="B8" s="118" t="s">
        <v>264</v>
      </c>
      <c r="C8" s="260">
        <v>59</v>
      </c>
      <c r="D8" s="261">
        <v>19.842542372881361</v>
      </c>
      <c r="E8" s="261">
        <v>11.449333905217957</v>
      </c>
      <c r="F8" s="261">
        <v>31.291876278099316</v>
      </c>
      <c r="G8" s="261">
        <v>8.3932084676634044</v>
      </c>
      <c r="H8" s="248"/>
      <c r="I8" s="246"/>
      <c r="J8" s="246"/>
      <c r="K8" s="246"/>
      <c r="L8" s="246"/>
      <c r="M8" s="253">
        <v>65</v>
      </c>
      <c r="N8" s="254">
        <v>18.751230769230773</v>
      </c>
      <c r="O8" s="254">
        <v>11.435855278969667</v>
      </c>
      <c r="P8" s="254">
        <v>30.187086048200442</v>
      </c>
      <c r="Q8" s="254">
        <v>7.3153754902611059</v>
      </c>
    </row>
    <row r="9" spans="1:17" ht="16.5">
      <c r="A9" s="351"/>
      <c r="B9" s="118" t="s">
        <v>265</v>
      </c>
      <c r="C9" s="260">
        <v>0</v>
      </c>
      <c r="D9" s="261" t="s">
        <v>87</v>
      </c>
      <c r="E9" s="261" t="s">
        <v>87</v>
      </c>
      <c r="F9" s="261" t="s">
        <v>87</v>
      </c>
      <c r="G9" s="261" t="s">
        <v>87</v>
      </c>
      <c r="H9" s="248"/>
      <c r="I9" s="246"/>
      <c r="J9" s="246"/>
      <c r="K9" s="246"/>
      <c r="L9" s="246"/>
      <c r="M9" s="255">
        <v>0</v>
      </c>
      <c r="N9" s="256" t="s">
        <v>87</v>
      </c>
      <c r="O9" s="256" t="s">
        <v>87</v>
      </c>
      <c r="P9" s="256" t="s">
        <v>87</v>
      </c>
      <c r="Q9" s="256" t="s">
        <v>87</v>
      </c>
    </row>
    <row r="10" spans="1:17" ht="16.5">
      <c r="A10" s="351"/>
      <c r="B10" s="118" t="s">
        <v>266</v>
      </c>
      <c r="C10" s="260">
        <v>1</v>
      </c>
      <c r="D10" s="261">
        <v>3.7599344618101798</v>
      </c>
      <c r="E10" s="261" t="s">
        <v>87</v>
      </c>
      <c r="F10" s="261" t="s">
        <v>87</v>
      </c>
      <c r="G10" s="261" t="s">
        <v>87</v>
      </c>
      <c r="H10" s="248"/>
      <c r="I10" s="246"/>
      <c r="J10" s="246"/>
      <c r="K10" s="246"/>
      <c r="L10" s="246"/>
      <c r="M10" s="253">
        <v>2</v>
      </c>
      <c r="N10" s="254">
        <v>3.8249672309050897</v>
      </c>
      <c r="O10" s="254">
        <v>9.1970224052699834E-2</v>
      </c>
      <c r="P10" s="254">
        <v>4.1008779030631892</v>
      </c>
      <c r="Q10" s="254">
        <v>3.5490565587469902</v>
      </c>
    </row>
    <row r="11" spans="1:17" ht="16.5">
      <c r="A11" s="351"/>
      <c r="B11" s="118" t="s">
        <v>267</v>
      </c>
      <c r="C11" s="260">
        <v>0</v>
      </c>
      <c r="D11" s="262" t="s">
        <v>87</v>
      </c>
      <c r="E11" s="262" t="s">
        <v>87</v>
      </c>
      <c r="F11" s="262" t="s">
        <v>87</v>
      </c>
      <c r="G11" s="262" t="s">
        <v>87</v>
      </c>
      <c r="H11" s="248"/>
      <c r="I11" s="249"/>
      <c r="J11" s="247"/>
      <c r="K11" s="247"/>
      <c r="L11" s="247"/>
      <c r="M11" s="253">
        <v>0</v>
      </c>
      <c r="N11" s="257" t="s">
        <v>87</v>
      </c>
      <c r="O11" s="257" t="s">
        <v>87</v>
      </c>
      <c r="P11" s="257" t="s">
        <v>87</v>
      </c>
      <c r="Q11" s="257" t="s">
        <v>87</v>
      </c>
    </row>
    <row r="12" spans="1:17" ht="16.5">
      <c r="A12" s="351"/>
      <c r="B12" s="118" t="s">
        <v>352</v>
      </c>
      <c r="C12" s="260">
        <v>122</v>
      </c>
      <c r="D12" s="263">
        <v>2.4590163934426229E-4</v>
      </c>
      <c r="E12" s="263">
        <v>2.7160723812755558E-3</v>
      </c>
      <c r="F12" s="263">
        <v>2.9619740206198179E-3</v>
      </c>
      <c r="G12" s="263">
        <v>-2.4701707419312936E-3</v>
      </c>
      <c r="H12" s="248"/>
      <c r="I12" s="247"/>
      <c r="J12" s="247"/>
      <c r="K12" s="247"/>
      <c r="L12" s="247"/>
      <c r="M12" s="253">
        <v>208</v>
      </c>
      <c r="N12" s="258">
        <v>1.4423076923076922E-4</v>
      </c>
      <c r="O12" s="258">
        <v>2.0801257358446091E-3</v>
      </c>
      <c r="P12" s="258">
        <v>2.2243565050753785E-3</v>
      </c>
      <c r="Q12" s="258">
        <v>-1.9358949666138398E-3</v>
      </c>
    </row>
    <row r="13" spans="1:17" ht="16.5">
      <c r="A13" s="351"/>
      <c r="B13" s="118" t="s">
        <v>268</v>
      </c>
      <c r="C13" s="260">
        <v>79</v>
      </c>
      <c r="D13" s="263">
        <v>7.8670886075949374E-3</v>
      </c>
      <c r="E13" s="263">
        <v>1.5522049837528378E-2</v>
      </c>
      <c r="F13" s="263">
        <v>2.3389138445123317E-2</v>
      </c>
      <c r="G13" s="263">
        <v>-7.6549612299334404E-3</v>
      </c>
      <c r="H13" s="248"/>
      <c r="I13" s="247"/>
      <c r="J13" s="247"/>
      <c r="K13" s="247"/>
      <c r="L13" s="247"/>
      <c r="M13" s="253">
        <v>79</v>
      </c>
      <c r="N13" s="258">
        <v>7.8670886075949374E-3</v>
      </c>
      <c r="O13" s="258">
        <v>1.5522049837528378E-2</v>
      </c>
      <c r="P13" s="258">
        <v>2.3389138445123317E-2</v>
      </c>
      <c r="Q13" s="258">
        <v>-7.6549612299334404E-3</v>
      </c>
    </row>
    <row r="14" spans="1:17" ht="16.5">
      <c r="A14" s="378" t="s">
        <v>269</v>
      </c>
      <c r="B14" s="118" t="s">
        <v>270</v>
      </c>
      <c r="C14" s="260">
        <v>59</v>
      </c>
      <c r="D14" s="263">
        <v>0.96959322033898299</v>
      </c>
      <c r="E14" s="263">
        <v>3.3359648681307613E-2</v>
      </c>
      <c r="F14" s="263">
        <v>1</v>
      </c>
      <c r="G14" s="263">
        <v>0.86951427429506012</v>
      </c>
      <c r="H14" s="248"/>
      <c r="I14" s="247"/>
      <c r="J14" s="247"/>
      <c r="K14" s="247"/>
      <c r="L14" s="247"/>
      <c r="M14" s="253">
        <v>59</v>
      </c>
      <c r="N14" s="258">
        <v>0.96959322033898299</v>
      </c>
      <c r="O14" s="258">
        <v>3.3359648681307613E-2</v>
      </c>
      <c r="P14" s="258">
        <v>1</v>
      </c>
      <c r="Q14" s="258">
        <v>0.86951427429506012</v>
      </c>
    </row>
    <row r="15" spans="1:17" ht="16.5">
      <c r="A15" s="378"/>
      <c r="B15" s="118" t="s">
        <v>271</v>
      </c>
      <c r="C15" s="260">
        <v>34</v>
      </c>
      <c r="D15" s="261">
        <v>0.47464705882352937</v>
      </c>
      <c r="E15" s="261">
        <v>0.2382378341010262</v>
      </c>
      <c r="F15" s="261">
        <v>0.71288489292455559</v>
      </c>
      <c r="G15" s="261">
        <v>0.23640922472250317</v>
      </c>
      <c r="H15" s="248"/>
      <c r="I15" s="246"/>
      <c r="J15" s="246"/>
      <c r="K15" s="246"/>
      <c r="L15" s="246"/>
      <c r="M15" s="253">
        <v>36</v>
      </c>
      <c r="N15" s="254">
        <v>0.48633333333333328</v>
      </c>
      <c r="O15" s="254">
        <v>0.23646322577275572</v>
      </c>
      <c r="P15" s="254">
        <v>0.72279655910608898</v>
      </c>
      <c r="Q15" s="254">
        <v>0.24987010756057756</v>
      </c>
    </row>
    <row r="16" spans="1:17" ht="16.5">
      <c r="A16" s="378"/>
      <c r="B16" s="118" t="s">
        <v>272</v>
      </c>
      <c r="C16" s="260">
        <v>35</v>
      </c>
      <c r="D16" s="261">
        <v>0.50880000000000003</v>
      </c>
      <c r="E16" s="261">
        <v>0.2607699910559001</v>
      </c>
      <c r="F16" s="261">
        <v>0.76956999105590018</v>
      </c>
      <c r="G16" s="261">
        <v>0.24803000894409993</v>
      </c>
      <c r="H16" s="248"/>
      <c r="I16" s="246"/>
      <c r="J16" s="246"/>
      <c r="K16" s="246"/>
      <c r="L16" s="246"/>
      <c r="M16" s="255">
        <v>63</v>
      </c>
      <c r="N16" s="256">
        <v>0.55139682539682544</v>
      </c>
      <c r="O16" s="256">
        <v>0.25957226227892333</v>
      </c>
      <c r="P16" s="256">
        <v>0.81096908767574871</v>
      </c>
      <c r="Q16" s="256">
        <v>0.29182456311790211</v>
      </c>
    </row>
    <row r="17" spans="1:17" ht="16.5">
      <c r="A17" s="378" t="s">
        <v>273</v>
      </c>
      <c r="B17" s="118" t="s">
        <v>306</v>
      </c>
      <c r="C17" s="260">
        <v>71</v>
      </c>
      <c r="D17" s="261">
        <v>7.3764788732394369</v>
      </c>
      <c r="E17" s="261">
        <v>1.7914177135853304</v>
      </c>
      <c r="F17" s="261">
        <v>9.1678965868247673</v>
      </c>
      <c r="G17" s="261">
        <v>5.5850611596541064</v>
      </c>
      <c r="H17" s="248"/>
      <c r="I17" s="246"/>
      <c r="J17" s="246"/>
      <c r="K17" s="246"/>
      <c r="L17" s="246"/>
      <c r="M17" s="253">
        <v>130</v>
      </c>
      <c r="N17" s="254">
        <v>7.5165384615384649</v>
      </c>
      <c r="O17" s="254">
        <v>2.2554284941686058</v>
      </c>
      <c r="P17" s="254">
        <v>9.7719669557070716</v>
      </c>
      <c r="Q17" s="254">
        <v>5.2611099673698591</v>
      </c>
    </row>
    <row r="18" spans="1:17" ht="16.5">
      <c r="A18" s="378"/>
      <c r="B18" s="118" t="s">
        <v>274</v>
      </c>
      <c r="C18" s="260">
        <v>19</v>
      </c>
      <c r="D18" s="261">
        <v>3.3894736842105266</v>
      </c>
      <c r="E18" s="261">
        <v>2.246128703357575</v>
      </c>
      <c r="F18" s="261">
        <v>5.6356023875681016</v>
      </c>
      <c r="G18" s="261">
        <v>1.1433449808529517</v>
      </c>
      <c r="H18" s="248"/>
      <c r="I18" s="246"/>
      <c r="J18" s="246"/>
      <c r="K18" s="246"/>
      <c r="L18" s="246"/>
      <c r="M18" s="255">
        <v>49</v>
      </c>
      <c r="N18" s="256">
        <v>4.1618367346938792</v>
      </c>
      <c r="O18" s="256">
        <v>2.1173299552634131</v>
      </c>
      <c r="P18" s="256">
        <v>6.2791666899572922</v>
      </c>
      <c r="Q18" s="256">
        <v>2.0445067794304661</v>
      </c>
    </row>
    <row r="19" spans="1:17" ht="16.5">
      <c r="A19" s="378"/>
      <c r="B19" s="118" t="s">
        <v>275</v>
      </c>
      <c r="C19" s="260">
        <v>111</v>
      </c>
      <c r="D19" s="261">
        <v>0</v>
      </c>
      <c r="E19" s="261">
        <v>0</v>
      </c>
      <c r="F19" s="261">
        <v>0</v>
      </c>
      <c r="G19" s="261">
        <v>0</v>
      </c>
      <c r="H19" s="248"/>
      <c r="I19" s="250"/>
      <c r="J19" s="246"/>
      <c r="K19" s="246"/>
      <c r="L19" s="246"/>
      <c r="M19" s="253">
        <v>158</v>
      </c>
      <c r="N19" s="254">
        <v>0</v>
      </c>
      <c r="O19" s="254">
        <v>0</v>
      </c>
      <c r="P19" s="254">
        <v>0</v>
      </c>
      <c r="Q19" s="254">
        <v>0</v>
      </c>
    </row>
    <row r="20" spans="1:17" ht="16.5">
      <c r="A20" s="378"/>
      <c r="B20" s="118" t="s">
        <v>276</v>
      </c>
      <c r="C20" s="260">
        <v>109</v>
      </c>
      <c r="D20" s="261">
        <v>0</v>
      </c>
      <c r="E20" s="261">
        <v>0</v>
      </c>
      <c r="F20" s="261">
        <v>0</v>
      </c>
      <c r="G20" s="261">
        <v>0</v>
      </c>
      <c r="H20" s="248"/>
      <c r="I20" s="246"/>
      <c r="J20" s="246"/>
      <c r="K20" s="246"/>
      <c r="L20" s="246"/>
      <c r="M20" s="253">
        <v>156</v>
      </c>
      <c r="N20" s="254">
        <v>0</v>
      </c>
      <c r="O20" s="254">
        <v>0</v>
      </c>
      <c r="P20" s="254">
        <v>0</v>
      </c>
      <c r="Q20" s="254">
        <v>0</v>
      </c>
    </row>
    <row r="21" spans="1:17" ht="16.5">
      <c r="A21" s="378" t="s">
        <v>277</v>
      </c>
      <c r="B21" s="118" t="s">
        <v>278</v>
      </c>
      <c r="C21" s="260">
        <v>35</v>
      </c>
      <c r="D21" s="261">
        <v>0.54722857142857129</v>
      </c>
      <c r="E21" s="261">
        <v>0.30343911936278767</v>
      </c>
      <c r="F21" s="261">
        <v>0.85066769079135895</v>
      </c>
      <c r="G21" s="261">
        <v>0.24378945206578362</v>
      </c>
      <c r="H21" s="248"/>
      <c r="I21" s="246"/>
      <c r="J21" s="246"/>
      <c r="K21" s="246"/>
      <c r="L21" s="246"/>
      <c r="M21" s="253">
        <v>35</v>
      </c>
      <c r="N21" s="254">
        <v>0.54722857142857129</v>
      </c>
      <c r="O21" s="254">
        <v>0.30343911936278767</v>
      </c>
      <c r="P21" s="254">
        <v>0.85066769079135895</v>
      </c>
      <c r="Q21" s="254">
        <v>0.24378945206578362</v>
      </c>
    </row>
    <row r="22" spans="1:17" ht="16.5">
      <c r="A22" s="378"/>
      <c r="B22" s="118" t="s">
        <v>279</v>
      </c>
      <c r="C22" s="260">
        <v>34</v>
      </c>
      <c r="D22" s="261">
        <v>0.46929411764705886</v>
      </c>
      <c r="E22" s="261">
        <v>0.22037977268064685</v>
      </c>
      <c r="F22" s="261">
        <v>0.68967389032770576</v>
      </c>
      <c r="G22" s="261">
        <v>0.24891434496641202</v>
      </c>
      <c r="H22" s="248"/>
      <c r="I22" s="246"/>
      <c r="J22" s="246"/>
      <c r="K22" s="246"/>
      <c r="L22" s="246"/>
      <c r="M22" s="253">
        <v>49</v>
      </c>
      <c r="N22" s="254">
        <v>0.47112244897959193</v>
      </c>
      <c r="O22" s="254">
        <v>0.1892834770757276</v>
      </c>
      <c r="P22" s="254">
        <v>0.66040592605531956</v>
      </c>
      <c r="Q22" s="254">
        <v>0.28183897190386431</v>
      </c>
    </row>
    <row r="23" spans="1:17" ht="16.5">
      <c r="A23" s="378"/>
      <c r="B23" s="118" t="s">
        <v>280</v>
      </c>
      <c r="C23" s="260">
        <v>31</v>
      </c>
      <c r="D23" s="261">
        <v>30.07096774193549</v>
      </c>
      <c r="E23" s="261">
        <v>8.2767519212303959</v>
      </c>
      <c r="F23" s="261">
        <v>38.34771966316589</v>
      </c>
      <c r="G23" s="261">
        <v>21.794215820705094</v>
      </c>
      <c r="H23" s="248"/>
      <c r="I23" s="246"/>
      <c r="J23" s="246"/>
      <c r="K23" s="246"/>
      <c r="L23" s="246"/>
      <c r="M23" s="253">
        <v>62</v>
      </c>
      <c r="N23" s="254">
        <v>30.351935483870967</v>
      </c>
      <c r="O23" s="254">
        <v>11.986908410498151</v>
      </c>
      <c r="P23" s="254">
        <v>42.33884389436912</v>
      </c>
      <c r="Q23" s="254">
        <v>18.365027073372815</v>
      </c>
    </row>
    <row r="24" spans="1:17" ht="16.5">
      <c r="A24" s="378"/>
      <c r="B24" s="118" t="s">
        <v>281</v>
      </c>
      <c r="C24" s="260">
        <v>31</v>
      </c>
      <c r="D24" s="262">
        <v>0.77922580645161299</v>
      </c>
      <c r="E24" s="262">
        <v>0.13338454924950846</v>
      </c>
      <c r="F24" s="262">
        <v>0.91261035570112148</v>
      </c>
      <c r="G24" s="262">
        <v>0.6458412572021045</v>
      </c>
      <c r="H24" s="248"/>
      <c r="I24" s="247"/>
      <c r="J24" s="247"/>
      <c r="K24" s="247"/>
      <c r="L24" s="247"/>
      <c r="M24" s="253">
        <v>59</v>
      </c>
      <c r="N24" s="257">
        <v>0.81365084745762706</v>
      </c>
      <c r="O24" s="257">
        <v>0.11546844825480779</v>
      </c>
      <c r="P24" s="257">
        <v>0.92911929571243479</v>
      </c>
      <c r="Q24" s="257">
        <v>0.69818239920281933</v>
      </c>
    </row>
    <row r="25" spans="1:17" ht="16.5">
      <c r="A25" s="378"/>
      <c r="B25" s="118" t="s">
        <v>282</v>
      </c>
      <c r="C25" s="260">
        <v>58</v>
      </c>
      <c r="D25" s="261">
        <v>3.602586206896552</v>
      </c>
      <c r="E25" s="261">
        <v>2.3350416505882388</v>
      </c>
      <c r="F25" s="261">
        <v>5.9376278574847907</v>
      </c>
      <c r="G25" s="261">
        <v>1.2675445563083132</v>
      </c>
      <c r="H25" s="248"/>
      <c r="I25" s="246"/>
      <c r="J25" s="246"/>
      <c r="K25" s="246"/>
      <c r="L25" s="246"/>
      <c r="M25" s="253">
        <v>125</v>
      </c>
      <c r="N25" s="254">
        <v>3.5705600000000017</v>
      </c>
      <c r="O25" s="254">
        <v>2.2757683225813015</v>
      </c>
      <c r="P25" s="254">
        <v>5.8463283225813036</v>
      </c>
      <c r="Q25" s="254">
        <v>1.2947916774187003</v>
      </c>
    </row>
    <row r="26" spans="1:17" ht="16.5">
      <c r="A26" s="224" t="s">
        <v>283</v>
      </c>
      <c r="B26" s="118" t="s">
        <v>284</v>
      </c>
      <c r="C26" s="260">
        <v>4</v>
      </c>
      <c r="D26" s="261">
        <v>0.42</v>
      </c>
      <c r="E26" s="261">
        <v>1.8257418583505533E-2</v>
      </c>
      <c r="F26" s="261">
        <v>0.47477225575051657</v>
      </c>
      <c r="G26" s="261">
        <v>0.3652277442494834</v>
      </c>
      <c r="H26" s="248"/>
      <c r="I26" s="246"/>
      <c r="J26" s="246"/>
      <c r="K26" s="246"/>
      <c r="L26" s="246"/>
      <c r="M26" s="253">
        <v>5</v>
      </c>
      <c r="N26" s="254">
        <v>0.43</v>
      </c>
      <c r="O26" s="254">
        <v>2.7386127875258293E-2</v>
      </c>
      <c r="P26" s="254">
        <v>0.51215838362577482</v>
      </c>
      <c r="Q26" s="254">
        <v>0.34784161637422512</v>
      </c>
    </row>
    <row r="27" spans="1:17" ht="16.5">
      <c r="A27" s="378" t="s">
        <v>285</v>
      </c>
      <c r="B27" s="118" t="s">
        <v>286</v>
      </c>
      <c r="C27" s="260">
        <v>0</v>
      </c>
      <c r="D27" s="261" t="s">
        <v>87</v>
      </c>
      <c r="E27" s="261" t="s">
        <v>87</v>
      </c>
      <c r="F27" s="261" t="s">
        <v>87</v>
      </c>
      <c r="G27" s="261" t="s">
        <v>87</v>
      </c>
      <c r="H27" s="248"/>
      <c r="I27" s="246"/>
      <c r="J27" s="246"/>
      <c r="K27" s="246"/>
      <c r="L27" s="246"/>
      <c r="M27" s="255">
        <v>0</v>
      </c>
      <c r="N27" s="256" t="s">
        <v>87</v>
      </c>
      <c r="O27" s="256" t="s">
        <v>87</v>
      </c>
      <c r="P27" s="256" t="s">
        <v>87</v>
      </c>
      <c r="Q27" s="256" t="s">
        <v>87</v>
      </c>
    </row>
    <row r="28" spans="1:17" ht="16.5">
      <c r="A28" s="378"/>
      <c r="B28" s="118" t="s">
        <v>287</v>
      </c>
      <c r="C28" s="260">
        <v>1</v>
      </c>
      <c r="D28" s="261">
        <v>0</v>
      </c>
      <c r="E28" s="261" t="s">
        <v>87</v>
      </c>
      <c r="F28" s="261" t="s">
        <v>87</v>
      </c>
      <c r="G28" s="261" t="s">
        <v>87</v>
      </c>
      <c r="H28" s="248"/>
      <c r="I28" s="246"/>
      <c r="J28" s="246"/>
      <c r="K28" s="246"/>
      <c r="L28" s="246"/>
      <c r="M28" s="253">
        <v>1</v>
      </c>
      <c r="N28" s="254">
        <v>0</v>
      </c>
      <c r="O28" s="254" t="s">
        <v>87</v>
      </c>
      <c r="P28" s="254" t="s">
        <v>87</v>
      </c>
      <c r="Q28" s="254" t="s">
        <v>87</v>
      </c>
    </row>
    <row r="29" spans="1:17" ht="16.5">
      <c r="A29" s="378" t="s">
        <v>288</v>
      </c>
      <c r="B29" s="118" t="s">
        <v>289</v>
      </c>
      <c r="C29" s="260">
        <v>49</v>
      </c>
      <c r="D29" s="261">
        <v>0.13469387755102041</v>
      </c>
      <c r="E29" s="261">
        <v>0.94285714285714284</v>
      </c>
      <c r="F29" s="261">
        <v>1.0775510204081633</v>
      </c>
      <c r="G29" s="261">
        <v>0</v>
      </c>
      <c r="H29" s="248"/>
      <c r="I29" s="246"/>
      <c r="J29" s="246"/>
      <c r="K29" s="246"/>
      <c r="L29" s="246"/>
      <c r="M29" s="253">
        <v>72</v>
      </c>
      <c r="N29" s="254">
        <v>9.166666666666666E-2</v>
      </c>
      <c r="O29" s="254">
        <v>0.7778174593052023</v>
      </c>
      <c r="P29" s="254">
        <v>0.86948412597186897</v>
      </c>
      <c r="Q29" s="254">
        <v>0</v>
      </c>
    </row>
    <row r="30" spans="1:17" ht="16.5">
      <c r="A30" s="378"/>
      <c r="B30" s="118" t="s">
        <v>290</v>
      </c>
      <c r="C30" s="260">
        <v>15</v>
      </c>
      <c r="D30" s="261">
        <v>0</v>
      </c>
      <c r="E30" s="261">
        <v>0</v>
      </c>
      <c r="F30" s="261">
        <v>0</v>
      </c>
      <c r="G30" s="261">
        <v>0</v>
      </c>
      <c r="H30" s="248"/>
      <c r="I30" s="246"/>
      <c r="J30" s="246"/>
      <c r="K30" s="246"/>
      <c r="L30" s="246"/>
      <c r="M30" s="253">
        <v>15</v>
      </c>
      <c r="N30" s="254">
        <v>0</v>
      </c>
      <c r="O30" s="254">
        <v>0</v>
      </c>
      <c r="P30" s="254">
        <v>0</v>
      </c>
      <c r="Q30" s="254">
        <v>0</v>
      </c>
    </row>
    <row r="31" spans="1:17" ht="16.5">
      <c r="A31" s="380" t="s">
        <v>291</v>
      </c>
      <c r="B31" s="118" t="s">
        <v>292</v>
      </c>
      <c r="C31" s="260">
        <v>54</v>
      </c>
      <c r="D31" s="263">
        <v>0.97205740740740787</v>
      </c>
      <c r="E31" s="263">
        <v>2.9709858613127374E-2</v>
      </c>
      <c r="F31" s="263">
        <v>1</v>
      </c>
      <c r="G31" s="263">
        <v>0.88292783156802579</v>
      </c>
      <c r="H31" s="248"/>
      <c r="I31" s="247"/>
      <c r="J31" s="247"/>
      <c r="K31" s="247"/>
      <c r="L31" s="247"/>
      <c r="M31" s="253">
        <v>59</v>
      </c>
      <c r="N31" s="258">
        <v>0.97357796610169534</v>
      </c>
      <c r="O31" s="258">
        <v>2.9435810162621066E-2</v>
      </c>
      <c r="P31" s="258">
        <v>1</v>
      </c>
      <c r="Q31" s="258">
        <v>0.88527053561383218</v>
      </c>
    </row>
    <row r="32" spans="1:17" ht="16.5">
      <c r="A32" s="381"/>
      <c r="B32" s="118" t="s">
        <v>293</v>
      </c>
      <c r="C32" s="260">
        <v>59</v>
      </c>
      <c r="D32" s="261">
        <v>3.4157627118644061</v>
      </c>
      <c r="E32" s="261">
        <v>0.94002605134449191</v>
      </c>
      <c r="F32" s="261">
        <v>4.3557887632088983</v>
      </c>
      <c r="G32" s="261">
        <v>2.4757366605199143</v>
      </c>
      <c r="H32" s="248"/>
      <c r="I32" s="246"/>
      <c r="J32" s="246"/>
      <c r="K32" s="246"/>
      <c r="L32" s="246"/>
      <c r="M32" s="253">
        <v>63</v>
      </c>
      <c r="N32" s="254">
        <v>3.3734920634920629</v>
      </c>
      <c r="O32" s="254">
        <v>0.92406911962213356</v>
      </c>
      <c r="P32" s="254">
        <v>4.2975611831141967</v>
      </c>
      <c r="Q32" s="254">
        <v>2.4494229438699291</v>
      </c>
    </row>
    <row r="33" spans="1:17" ht="16.5">
      <c r="A33" s="381"/>
      <c r="B33" s="118" t="s">
        <v>294</v>
      </c>
      <c r="C33" s="260">
        <v>41</v>
      </c>
      <c r="D33" s="261">
        <v>13.165365853658539</v>
      </c>
      <c r="E33" s="261">
        <v>4.2728890095349836</v>
      </c>
      <c r="F33" s="261">
        <v>17.438254863193521</v>
      </c>
      <c r="G33" s="261">
        <v>8.8924768441235553</v>
      </c>
      <c r="H33" s="248"/>
      <c r="I33" s="250"/>
      <c r="J33" s="246"/>
      <c r="K33" s="246"/>
      <c r="L33" s="246"/>
      <c r="M33" s="253">
        <v>41</v>
      </c>
      <c r="N33" s="254">
        <v>13.165365853658539</v>
      </c>
      <c r="O33" s="254">
        <v>4.2728890095349836</v>
      </c>
      <c r="P33" s="254">
        <v>17.438254863193521</v>
      </c>
      <c r="Q33" s="254">
        <v>8.8924768441235553</v>
      </c>
    </row>
    <row r="34" spans="1:17" ht="16.5">
      <c r="A34" s="381"/>
      <c r="B34" s="118" t="s">
        <v>295</v>
      </c>
      <c r="C34" s="260">
        <v>51</v>
      </c>
      <c r="D34" s="261">
        <v>1.4307843137254908</v>
      </c>
      <c r="E34" s="261">
        <v>0.43297502531787907</v>
      </c>
      <c r="F34" s="261">
        <v>1.8637593390433698</v>
      </c>
      <c r="G34" s="261">
        <v>0.99780928840761174</v>
      </c>
      <c r="H34" s="248"/>
      <c r="I34" s="246"/>
      <c r="J34" s="246"/>
      <c r="K34" s="246"/>
      <c r="L34" s="246"/>
      <c r="M34" s="253">
        <v>55</v>
      </c>
      <c r="N34" s="254">
        <v>1.4358181818181823</v>
      </c>
      <c r="O34" s="254">
        <v>0.41702513872662994</v>
      </c>
      <c r="P34" s="254">
        <v>1.8528433205448123</v>
      </c>
      <c r="Q34" s="254">
        <v>1.0187930430915524</v>
      </c>
    </row>
    <row r="35" spans="1:17" ht="16.5">
      <c r="A35" s="382"/>
      <c r="B35" s="118" t="s">
        <v>296</v>
      </c>
      <c r="C35" s="260">
        <v>49</v>
      </c>
      <c r="D35" s="261">
        <v>1.6157142857142865</v>
      </c>
      <c r="E35" s="261">
        <v>0.72621736874482901</v>
      </c>
      <c r="F35" s="261">
        <v>2.3419316544591156</v>
      </c>
      <c r="G35" s="261">
        <v>0.88949691696945754</v>
      </c>
      <c r="H35" s="248"/>
      <c r="I35" s="246"/>
      <c r="J35" s="246"/>
      <c r="K35" s="246"/>
      <c r="L35" s="246"/>
      <c r="M35" s="253">
        <v>53</v>
      </c>
      <c r="N35" s="254">
        <v>1.6069811320754726</v>
      </c>
      <c r="O35" s="254">
        <v>0.70444081725987984</v>
      </c>
      <c r="P35" s="254">
        <v>2.3114219493353523</v>
      </c>
      <c r="Q35" s="254">
        <v>0.90254031481559271</v>
      </c>
    </row>
    <row r="36" spans="1:17" ht="16.5">
      <c r="A36" s="382"/>
      <c r="B36" s="118" t="s">
        <v>297</v>
      </c>
      <c r="C36" s="260">
        <v>35</v>
      </c>
      <c r="D36" s="261">
        <v>1</v>
      </c>
      <c r="E36" s="261">
        <v>0</v>
      </c>
      <c r="F36" s="261">
        <v>1</v>
      </c>
      <c r="G36" s="261">
        <v>1</v>
      </c>
      <c r="H36" s="248"/>
      <c r="I36" s="246"/>
      <c r="J36" s="246"/>
      <c r="K36" s="246"/>
      <c r="L36" s="246"/>
      <c r="M36" s="255">
        <v>35</v>
      </c>
      <c r="N36" s="256">
        <v>1</v>
      </c>
      <c r="O36" s="256">
        <v>0</v>
      </c>
      <c r="P36" s="256">
        <v>1</v>
      </c>
      <c r="Q36" s="256">
        <v>1</v>
      </c>
    </row>
    <row r="37" spans="1:17" ht="16.5">
      <c r="A37" s="383"/>
      <c r="B37" s="118" t="s">
        <v>298</v>
      </c>
      <c r="C37" s="260">
        <v>45</v>
      </c>
      <c r="D37" s="261">
        <v>1.2177777777777778</v>
      </c>
      <c r="E37" s="261">
        <v>0.58281795414757742</v>
      </c>
      <c r="F37" s="261">
        <v>1.8005957319253554</v>
      </c>
      <c r="G37" s="261">
        <v>0.63495982363020043</v>
      </c>
      <c r="H37" s="248"/>
      <c r="I37" s="246"/>
      <c r="J37" s="246"/>
      <c r="K37" s="246"/>
      <c r="L37" s="246"/>
      <c r="M37" s="255">
        <v>51</v>
      </c>
      <c r="N37" s="256">
        <v>1.3196078431372551</v>
      </c>
      <c r="O37" s="256">
        <v>0.69455586034332362</v>
      </c>
      <c r="P37" s="256">
        <v>2.0141637034805786</v>
      </c>
      <c r="Q37" s="256">
        <v>0.62505198279393148</v>
      </c>
    </row>
    <row r="38" spans="1:17" ht="16.5">
      <c r="A38" s="364" t="s">
        <v>299</v>
      </c>
      <c r="B38" s="118" t="s">
        <v>300</v>
      </c>
      <c r="C38" s="260">
        <v>15</v>
      </c>
      <c r="D38" s="261">
        <v>0</v>
      </c>
      <c r="E38" s="261">
        <v>0</v>
      </c>
      <c r="F38" s="261">
        <v>0</v>
      </c>
      <c r="G38" s="261">
        <v>0</v>
      </c>
      <c r="H38" s="248"/>
      <c r="I38" s="246"/>
      <c r="J38" s="246"/>
      <c r="K38" s="246"/>
      <c r="L38" s="246"/>
      <c r="M38" s="253">
        <v>71</v>
      </c>
      <c r="N38" s="254">
        <v>0</v>
      </c>
      <c r="O38" s="254">
        <v>0</v>
      </c>
      <c r="P38" s="254">
        <v>0</v>
      </c>
      <c r="Q38" s="254">
        <v>0</v>
      </c>
    </row>
    <row r="39" spans="1:17" ht="16.5">
      <c r="A39" s="364"/>
      <c r="B39" s="118" t="s">
        <v>301</v>
      </c>
      <c r="C39" s="260">
        <v>42</v>
      </c>
      <c r="D39" s="261">
        <v>5.3683333333333341</v>
      </c>
      <c r="E39" s="261">
        <v>2.7959011084317833</v>
      </c>
      <c r="F39" s="261">
        <v>8.1642344417651174</v>
      </c>
      <c r="G39" s="261">
        <v>2.5724322249015508</v>
      </c>
      <c r="H39" s="248"/>
      <c r="I39" s="246"/>
      <c r="J39" s="246"/>
      <c r="K39" s="246"/>
      <c r="L39" s="246"/>
      <c r="M39" s="253">
        <v>59</v>
      </c>
      <c r="N39" s="254">
        <v>5.035254237288135</v>
      </c>
      <c r="O39" s="254">
        <v>2.7988047670218363</v>
      </c>
      <c r="P39" s="254">
        <v>7.8340590043099709</v>
      </c>
      <c r="Q39" s="254">
        <v>2.2364494702662987</v>
      </c>
    </row>
    <row r="40" spans="1:17" ht="16.5">
      <c r="A40" s="364"/>
      <c r="B40" s="118" t="s">
        <v>302</v>
      </c>
      <c r="C40" s="260">
        <v>31</v>
      </c>
      <c r="D40" s="264">
        <v>5.8625806451612895E-2</v>
      </c>
      <c r="E40" s="264">
        <v>2.7134479513980472E-2</v>
      </c>
      <c r="F40" s="264">
        <v>8.5760285965593375E-2</v>
      </c>
      <c r="G40" s="264">
        <v>3.1491326937632423E-2</v>
      </c>
      <c r="H40" s="248"/>
      <c r="I40" s="247"/>
      <c r="J40" s="247"/>
      <c r="K40" s="247"/>
      <c r="L40" s="247"/>
      <c r="M40" s="253">
        <v>35</v>
      </c>
      <c r="N40" s="259">
        <v>5.6988571428571416E-2</v>
      </c>
      <c r="O40" s="259">
        <v>2.810348284286418E-2</v>
      </c>
      <c r="P40" s="259">
        <v>8.5092054271435597E-2</v>
      </c>
      <c r="Q40" s="259">
        <v>2.8885088585707236E-2</v>
      </c>
    </row>
    <row r="41" spans="1:17" ht="16.5">
      <c r="A41" s="364"/>
      <c r="B41" s="120" t="s">
        <v>303</v>
      </c>
      <c r="C41" s="260">
        <v>45</v>
      </c>
      <c r="D41" s="261">
        <v>0</v>
      </c>
      <c r="E41" s="261">
        <v>0</v>
      </c>
      <c r="F41" s="261">
        <v>0</v>
      </c>
      <c r="G41" s="261">
        <v>0</v>
      </c>
      <c r="H41" s="248"/>
      <c r="I41" s="246"/>
      <c r="J41" s="246"/>
      <c r="K41" s="246"/>
      <c r="L41" s="246"/>
      <c r="M41" s="253">
        <v>56</v>
      </c>
      <c r="N41" s="254">
        <v>0</v>
      </c>
      <c r="O41" s="254">
        <v>0</v>
      </c>
      <c r="P41" s="254">
        <v>0</v>
      </c>
      <c r="Q41" s="254">
        <v>0</v>
      </c>
    </row>
    <row r="42" spans="1:17" ht="16.5">
      <c r="A42" s="364"/>
      <c r="B42" s="120" t="s">
        <v>304</v>
      </c>
      <c r="C42" s="260">
        <v>46</v>
      </c>
      <c r="D42" s="261">
        <v>0</v>
      </c>
      <c r="E42" s="261">
        <v>0</v>
      </c>
      <c r="F42" s="261">
        <v>0</v>
      </c>
      <c r="G42" s="261">
        <v>0</v>
      </c>
      <c r="H42" s="248"/>
      <c r="I42" s="246"/>
      <c r="J42" s="246"/>
      <c r="K42" s="246"/>
      <c r="L42" s="246"/>
      <c r="M42" s="253">
        <v>58</v>
      </c>
      <c r="N42" s="254">
        <v>0</v>
      </c>
      <c r="O42" s="254">
        <v>0</v>
      </c>
      <c r="P42" s="254">
        <v>0</v>
      </c>
      <c r="Q42" s="254">
        <v>0</v>
      </c>
    </row>
    <row r="43" spans="1:17" ht="16.5">
      <c r="A43" s="364"/>
      <c r="B43" s="120" t="s">
        <v>305</v>
      </c>
      <c r="C43" s="260">
        <v>0</v>
      </c>
      <c r="D43" s="261" t="s">
        <v>87</v>
      </c>
      <c r="E43" s="261" t="s">
        <v>87</v>
      </c>
      <c r="F43" s="261" t="s">
        <v>87</v>
      </c>
      <c r="G43" s="261" t="s">
        <v>87</v>
      </c>
      <c r="H43" s="248"/>
      <c r="I43" s="246"/>
      <c r="J43" s="246"/>
      <c r="K43" s="246"/>
      <c r="L43" s="246"/>
      <c r="M43" s="253">
        <v>0</v>
      </c>
      <c r="N43" s="254" t="s">
        <v>87</v>
      </c>
      <c r="O43" s="254" t="s">
        <v>87</v>
      </c>
      <c r="P43" s="254" t="s">
        <v>87</v>
      </c>
      <c r="Q43" s="254" t="s">
        <v>87</v>
      </c>
    </row>
  </sheetData>
  <mergeCells count="12">
    <mergeCell ref="A14:A16"/>
    <mergeCell ref="A1:B2"/>
    <mergeCell ref="C1:G1"/>
    <mergeCell ref="H1:L1"/>
    <mergeCell ref="M1:Q1"/>
    <mergeCell ref="A3:A13"/>
    <mergeCell ref="A17:A20"/>
    <mergeCell ref="A21:A25"/>
    <mergeCell ref="A27:A28"/>
    <mergeCell ref="A29:A30"/>
    <mergeCell ref="A38:A43"/>
    <mergeCell ref="A31:A37"/>
  </mergeCells>
  <phoneticPr fontId="26" type="noConversion"/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>
    <oddHeader>&amp;L&amp;G&amp;C&amp;F&amp;R文档密级</oddHeader>
    <oddFooter>&amp;L&amp;D&amp;C华为保密信息,未经授权禁止扩散&amp;R第&amp;P页，共&amp;N页</oddFooter>
  </headerFooter>
  <legacyDrawingHF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61"/>
  <sheetViews>
    <sheetView topLeftCell="A43" workbookViewId="0">
      <selection activeCell="E55" sqref="E55"/>
    </sheetView>
  </sheetViews>
  <sheetFormatPr defaultRowHeight="14.25"/>
  <cols>
    <col min="1" max="1" width="9" style="116"/>
    <col min="2" max="2" width="35.5" style="116" bestFit="1" customWidth="1"/>
    <col min="3" max="4" width="7.25" style="116" customWidth="1"/>
    <col min="5" max="5" width="7.5" style="116" customWidth="1"/>
    <col min="6" max="9" width="7.25" style="116" customWidth="1"/>
    <col min="10" max="10" width="5.875" style="116" customWidth="1"/>
    <col min="11" max="12" width="7.25" style="116" customWidth="1"/>
    <col min="13" max="16384" width="9" style="116"/>
  </cols>
  <sheetData>
    <row r="1" spans="1:17" ht="14.25" customHeight="1">
      <c r="A1" s="379" t="s">
        <v>339</v>
      </c>
      <c r="B1" s="379"/>
      <c r="C1" s="376" t="s">
        <v>455</v>
      </c>
      <c r="D1" s="377"/>
      <c r="E1" s="377"/>
      <c r="F1" s="377"/>
      <c r="G1" s="377"/>
      <c r="H1" s="376" t="s">
        <v>456</v>
      </c>
      <c r="I1" s="377"/>
      <c r="J1" s="377"/>
      <c r="K1" s="377"/>
      <c r="L1" s="377"/>
      <c r="M1" s="376" t="s">
        <v>457</v>
      </c>
      <c r="N1" s="377"/>
      <c r="O1" s="377"/>
      <c r="P1" s="377"/>
      <c r="Q1" s="377"/>
    </row>
    <row r="2" spans="1:17">
      <c r="A2" s="379"/>
      <c r="B2" s="379"/>
      <c r="C2" s="225" t="s">
        <v>340</v>
      </c>
      <c r="D2" s="225" t="s">
        <v>319</v>
      </c>
      <c r="E2" s="225" t="s">
        <v>260</v>
      </c>
      <c r="F2" s="225" t="s">
        <v>261</v>
      </c>
      <c r="G2" s="225" t="s">
        <v>262</v>
      </c>
      <c r="H2" s="225" t="s">
        <v>318</v>
      </c>
      <c r="I2" s="225" t="s">
        <v>319</v>
      </c>
      <c r="J2" s="225" t="s">
        <v>260</v>
      </c>
      <c r="K2" s="225" t="s">
        <v>326</v>
      </c>
      <c r="L2" s="225" t="s">
        <v>262</v>
      </c>
      <c r="M2" s="225" t="s">
        <v>318</v>
      </c>
      <c r="N2" s="225" t="s">
        <v>319</v>
      </c>
      <c r="O2" s="225" t="s">
        <v>260</v>
      </c>
      <c r="P2" s="225" t="s">
        <v>326</v>
      </c>
      <c r="Q2" s="225" t="s">
        <v>262</v>
      </c>
    </row>
    <row r="3" spans="1:17" ht="16.5">
      <c r="A3" s="351" t="s">
        <v>258</v>
      </c>
      <c r="B3" s="117" t="s">
        <v>259</v>
      </c>
      <c r="C3" s="248"/>
      <c r="D3" s="246"/>
      <c r="E3" s="246"/>
      <c r="F3" s="246"/>
      <c r="G3" s="246"/>
      <c r="H3" s="248"/>
      <c r="I3" s="246"/>
      <c r="J3" s="246"/>
      <c r="K3" s="246"/>
      <c r="L3" s="246"/>
      <c r="M3" s="267">
        <v>53</v>
      </c>
      <c r="N3" s="266">
        <v>30.132203448912318</v>
      </c>
      <c r="O3" s="266">
        <v>10.201237029325352</v>
      </c>
      <c r="P3" s="266">
        <v>40.333440478237669</v>
      </c>
      <c r="Q3" s="266">
        <v>19.930966419586966</v>
      </c>
    </row>
    <row r="4" spans="1:17" ht="16.5">
      <c r="A4" s="351"/>
      <c r="B4" s="118" t="s">
        <v>331</v>
      </c>
      <c r="C4" s="248"/>
      <c r="D4" s="246"/>
      <c r="E4" s="246"/>
      <c r="F4" s="246"/>
      <c r="G4" s="246"/>
      <c r="H4" s="248"/>
      <c r="I4" s="246"/>
      <c r="J4" s="246"/>
      <c r="K4" s="246"/>
      <c r="L4" s="246"/>
      <c r="M4" s="267">
        <v>40</v>
      </c>
      <c r="N4" s="266">
        <v>44.740975474434165</v>
      </c>
      <c r="O4" s="266">
        <v>7.309129859180433</v>
      </c>
      <c r="P4" s="266">
        <v>52.050105333614596</v>
      </c>
      <c r="Q4" s="266">
        <v>37.431845615253735</v>
      </c>
    </row>
    <row r="5" spans="1:17" ht="16.5">
      <c r="A5" s="351"/>
      <c r="B5" s="118" t="s">
        <v>263</v>
      </c>
      <c r="C5" s="248"/>
      <c r="D5" s="246"/>
      <c r="E5" s="246"/>
      <c r="F5" s="246"/>
      <c r="G5" s="246"/>
      <c r="H5" s="248"/>
      <c r="I5" s="246"/>
      <c r="J5" s="246"/>
      <c r="K5" s="246"/>
      <c r="L5" s="246"/>
      <c r="M5" s="267">
        <v>57</v>
      </c>
      <c r="N5" s="266">
        <v>3.0264189182085839</v>
      </c>
      <c r="O5" s="266">
        <v>6.9731831618308036</v>
      </c>
      <c r="P5" s="266">
        <v>9.9996020800393879</v>
      </c>
      <c r="Q5" s="266">
        <v>0</v>
      </c>
    </row>
    <row r="6" spans="1:17" ht="16.5">
      <c r="A6" s="351"/>
      <c r="B6" s="118" t="s">
        <v>257</v>
      </c>
      <c r="C6" s="248"/>
      <c r="D6" s="246"/>
      <c r="E6" s="246"/>
      <c r="F6" s="246"/>
      <c r="G6" s="246"/>
      <c r="H6" s="248"/>
      <c r="I6" s="246"/>
      <c r="J6" s="246"/>
      <c r="K6" s="246"/>
      <c r="L6" s="246"/>
      <c r="M6" s="267">
        <v>49</v>
      </c>
      <c r="N6" s="266">
        <v>1.8789247106677274</v>
      </c>
      <c r="O6" s="266">
        <v>1.7526836748728472</v>
      </c>
      <c r="P6" s="266">
        <v>3.6316083855405745</v>
      </c>
      <c r="Q6" s="266">
        <v>0.12624103579488022</v>
      </c>
    </row>
    <row r="7" spans="1:17" ht="16.5">
      <c r="A7" s="351"/>
      <c r="B7" s="118" t="s">
        <v>327</v>
      </c>
      <c r="C7" s="248"/>
      <c r="D7" s="246"/>
      <c r="E7" s="246"/>
      <c r="F7" s="246"/>
      <c r="G7" s="246"/>
      <c r="H7" s="248"/>
      <c r="I7" s="246"/>
      <c r="J7" s="246"/>
      <c r="K7" s="246"/>
      <c r="L7" s="246"/>
      <c r="M7" s="267">
        <v>22</v>
      </c>
      <c r="N7" s="266">
        <v>6.5201927639139168</v>
      </c>
      <c r="O7" s="266">
        <v>2.772904461972026</v>
      </c>
      <c r="P7" s="266">
        <v>9.2930972258859423</v>
      </c>
      <c r="Q7" s="266">
        <v>3.7472883019418908</v>
      </c>
    </row>
    <row r="8" spans="1:17" ht="16.5">
      <c r="A8" s="351"/>
      <c r="B8" s="118" t="s">
        <v>264</v>
      </c>
      <c r="C8" s="248"/>
      <c r="D8" s="246"/>
      <c r="E8" s="246"/>
      <c r="F8" s="246"/>
      <c r="G8" s="246"/>
      <c r="H8" s="248"/>
      <c r="I8" s="246"/>
      <c r="J8" s="246"/>
      <c r="K8" s="246"/>
      <c r="L8" s="246"/>
      <c r="M8" s="267">
        <v>23</v>
      </c>
      <c r="N8" s="266">
        <v>12.650181011050575</v>
      </c>
      <c r="O8" s="266">
        <v>6.066562612632465</v>
      </c>
      <c r="P8" s="266">
        <v>18.71674362368304</v>
      </c>
      <c r="Q8" s="266">
        <v>6.5836183984181105</v>
      </c>
    </row>
    <row r="9" spans="1:17" ht="16.5">
      <c r="A9" s="351"/>
      <c r="B9" s="118" t="s">
        <v>265</v>
      </c>
      <c r="C9" s="248"/>
      <c r="D9" s="246"/>
      <c r="E9" s="246"/>
      <c r="F9" s="246"/>
      <c r="G9" s="246"/>
      <c r="H9" s="248"/>
      <c r="I9" s="246"/>
      <c r="J9" s="246"/>
      <c r="K9" s="246"/>
      <c r="L9" s="246"/>
      <c r="M9" s="267">
        <v>0</v>
      </c>
      <c r="N9" s="266" t="s">
        <v>87</v>
      </c>
      <c r="O9" s="266" t="s">
        <v>87</v>
      </c>
      <c r="P9" s="266" t="s">
        <v>87</v>
      </c>
      <c r="Q9" s="266" t="s">
        <v>87</v>
      </c>
    </row>
    <row r="10" spans="1:17" ht="16.5">
      <c r="A10" s="351"/>
      <c r="B10" s="118" t="s">
        <v>266</v>
      </c>
      <c r="C10" s="248"/>
      <c r="D10" s="246"/>
      <c r="E10" s="246"/>
      <c r="F10" s="246"/>
      <c r="G10" s="246"/>
      <c r="H10" s="248"/>
      <c r="I10" s="246"/>
      <c r="J10" s="246"/>
      <c r="K10" s="246"/>
      <c r="L10" s="246"/>
      <c r="M10" s="267">
        <v>5</v>
      </c>
      <c r="N10" s="266">
        <v>2.4048371917937135</v>
      </c>
      <c r="O10" s="266">
        <v>0.94477246519878078</v>
      </c>
      <c r="P10" s="266">
        <v>3.3496096569924942</v>
      </c>
      <c r="Q10" s="266">
        <v>1.4600647265949327</v>
      </c>
    </row>
    <row r="11" spans="1:17" ht="16.5">
      <c r="A11" s="351"/>
      <c r="B11" s="118" t="s">
        <v>267</v>
      </c>
      <c r="C11" s="248"/>
      <c r="D11" s="247"/>
      <c r="E11" s="247"/>
      <c r="F11" s="247"/>
      <c r="G11" s="247"/>
      <c r="H11" s="248"/>
      <c r="I11" s="249"/>
      <c r="J11" s="247"/>
      <c r="K11" s="247"/>
      <c r="L11" s="247"/>
      <c r="M11" s="267">
        <v>57</v>
      </c>
      <c r="N11" s="265">
        <v>0</v>
      </c>
      <c r="O11" s="265">
        <v>0</v>
      </c>
      <c r="P11" s="265">
        <v>0</v>
      </c>
      <c r="Q11" s="265">
        <v>0</v>
      </c>
    </row>
    <row r="12" spans="1:17" ht="16.5">
      <c r="A12" s="351"/>
      <c r="B12" s="118" t="s">
        <v>352</v>
      </c>
      <c r="C12" s="248"/>
      <c r="D12" s="247"/>
      <c r="E12" s="247"/>
      <c r="F12" s="247"/>
      <c r="G12" s="247"/>
      <c r="H12" s="248"/>
      <c r="I12" s="247"/>
      <c r="J12" s="247"/>
      <c r="K12" s="247"/>
      <c r="L12" s="247"/>
      <c r="M12" s="267">
        <v>56</v>
      </c>
      <c r="N12" s="265">
        <v>0</v>
      </c>
      <c r="O12" s="265">
        <v>0</v>
      </c>
      <c r="P12" s="265">
        <v>0</v>
      </c>
      <c r="Q12" s="265">
        <v>0</v>
      </c>
    </row>
    <row r="13" spans="1:17" ht="16.5">
      <c r="A13" s="351"/>
      <c r="B13" s="118" t="s">
        <v>268</v>
      </c>
      <c r="C13" s="248"/>
      <c r="D13" s="247"/>
      <c r="E13" s="247"/>
      <c r="F13" s="247"/>
      <c r="G13" s="247"/>
      <c r="H13" s="248"/>
      <c r="I13" s="247"/>
      <c r="J13" s="247"/>
      <c r="K13" s="247"/>
      <c r="L13" s="247"/>
      <c r="M13" s="267">
        <v>54</v>
      </c>
      <c r="N13" s="265">
        <v>9.2291309142119391E-3</v>
      </c>
      <c r="O13" s="265">
        <v>3.1401115077669906E-2</v>
      </c>
      <c r="P13" s="265">
        <v>4.0630245991881843E-2</v>
      </c>
      <c r="Q13" s="265">
        <v>-2.2171984163457968E-2</v>
      </c>
    </row>
    <row r="14" spans="1:17" ht="16.5">
      <c r="A14" s="378" t="s">
        <v>269</v>
      </c>
      <c r="B14" s="118" t="s">
        <v>270</v>
      </c>
      <c r="C14" s="248"/>
      <c r="D14" s="247"/>
      <c r="E14" s="247"/>
      <c r="F14" s="247"/>
      <c r="G14" s="247"/>
      <c r="H14" s="248"/>
      <c r="I14" s="247"/>
      <c r="J14" s="247"/>
      <c r="K14" s="247"/>
      <c r="L14" s="247"/>
      <c r="M14" s="267">
        <v>54</v>
      </c>
      <c r="N14" s="265">
        <v>0.98980056980056985</v>
      </c>
      <c r="O14" s="265">
        <v>5.2543051389373582E-2</v>
      </c>
      <c r="P14" s="265">
        <v>1</v>
      </c>
      <c r="Q14" s="265">
        <v>0.83217141563244912</v>
      </c>
    </row>
    <row r="15" spans="1:17" ht="16.5">
      <c r="A15" s="378"/>
      <c r="B15" s="118" t="s">
        <v>271</v>
      </c>
      <c r="C15" s="248"/>
      <c r="D15" s="246"/>
      <c r="E15" s="246"/>
      <c r="F15" s="246"/>
      <c r="G15" s="246"/>
      <c r="H15" s="248"/>
      <c r="I15" s="246"/>
      <c r="J15" s="246"/>
      <c r="K15" s="246"/>
      <c r="L15" s="246"/>
      <c r="M15" s="267">
        <v>6</v>
      </c>
      <c r="N15" s="266">
        <v>0.30598290598290595</v>
      </c>
      <c r="O15" s="266">
        <v>0.25076171488221333</v>
      </c>
      <c r="P15" s="266">
        <v>0.55674462086511922</v>
      </c>
      <c r="Q15" s="266">
        <v>5.5221191100692624E-2</v>
      </c>
    </row>
    <row r="16" spans="1:17" ht="16.5">
      <c r="A16" s="378"/>
      <c r="B16" s="118" t="s">
        <v>272</v>
      </c>
      <c r="C16" s="248"/>
      <c r="D16" s="246"/>
      <c r="E16" s="246"/>
      <c r="F16" s="246"/>
      <c r="G16" s="246"/>
      <c r="H16" s="248"/>
      <c r="I16" s="246"/>
      <c r="J16" s="246"/>
      <c r="K16" s="246"/>
      <c r="L16" s="246"/>
      <c r="M16" s="267">
        <v>10</v>
      </c>
      <c r="N16" s="266">
        <v>0.53417788502243657</v>
      </c>
      <c r="O16" s="266">
        <v>0.33452577701670017</v>
      </c>
      <c r="P16" s="266">
        <v>0.86870366203913674</v>
      </c>
      <c r="Q16" s="266">
        <v>0.19965210800573641</v>
      </c>
    </row>
    <row r="17" spans="1:17" ht="16.5">
      <c r="A17" s="378" t="s">
        <v>273</v>
      </c>
      <c r="B17" s="118" t="s">
        <v>306</v>
      </c>
      <c r="C17" s="248"/>
      <c r="D17" s="246"/>
      <c r="E17" s="246"/>
      <c r="F17" s="246"/>
      <c r="G17" s="246"/>
      <c r="H17" s="248"/>
      <c r="I17" s="246"/>
      <c r="J17" s="246"/>
      <c r="K17" s="246"/>
      <c r="L17" s="246"/>
      <c r="M17" s="267">
        <v>55</v>
      </c>
      <c r="N17" s="266">
        <v>8.2951871805416868</v>
      </c>
      <c r="O17" s="266">
        <v>3.6929454376663338</v>
      </c>
      <c r="P17" s="266">
        <v>11.98813261820802</v>
      </c>
      <c r="Q17" s="266">
        <v>4.6022417428753535</v>
      </c>
    </row>
    <row r="18" spans="1:17" ht="16.5">
      <c r="A18" s="378"/>
      <c r="B18" s="118" t="s">
        <v>274</v>
      </c>
      <c r="C18" s="248"/>
      <c r="D18" s="246"/>
      <c r="E18" s="246"/>
      <c r="F18" s="246"/>
      <c r="G18" s="246"/>
      <c r="H18" s="248"/>
      <c r="I18" s="246"/>
      <c r="J18" s="246"/>
      <c r="K18" s="246"/>
      <c r="L18" s="246"/>
      <c r="M18" s="267">
        <v>55</v>
      </c>
      <c r="N18" s="266">
        <v>1.5824757100094999</v>
      </c>
      <c r="O18" s="266">
        <v>2.4597605808006415</v>
      </c>
      <c r="P18" s="266">
        <v>4.0422362908101412</v>
      </c>
      <c r="Q18" s="266">
        <v>0</v>
      </c>
    </row>
    <row r="19" spans="1:17" ht="16.5">
      <c r="A19" s="378"/>
      <c r="B19" s="118" t="s">
        <v>275</v>
      </c>
      <c r="C19" s="248"/>
      <c r="D19" s="246"/>
      <c r="E19" s="246"/>
      <c r="F19" s="246"/>
      <c r="G19" s="246"/>
      <c r="H19" s="248"/>
      <c r="I19" s="250"/>
      <c r="J19" s="246"/>
      <c r="K19" s="246"/>
      <c r="L19" s="246"/>
      <c r="M19" s="267">
        <v>56</v>
      </c>
      <c r="N19" s="266">
        <v>0.17857142857142858</v>
      </c>
      <c r="O19" s="266">
        <v>0.43094580368566732</v>
      </c>
      <c r="P19" s="266">
        <v>0.60951723225709586</v>
      </c>
      <c r="Q19" s="266">
        <v>0</v>
      </c>
    </row>
    <row r="20" spans="1:17" ht="16.5">
      <c r="A20" s="378"/>
      <c r="B20" s="118" t="s">
        <v>276</v>
      </c>
      <c r="C20" s="248"/>
      <c r="D20" s="246"/>
      <c r="E20" s="246"/>
      <c r="F20" s="246"/>
      <c r="G20" s="246"/>
      <c r="H20" s="248"/>
      <c r="I20" s="246"/>
      <c r="J20" s="246"/>
      <c r="K20" s="246"/>
      <c r="L20" s="246"/>
      <c r="M20" s="267">
        <v>56</v>
      </c>
      <c r="N20" s="266">
        <v>3.5714285714285712E-2</v>
      </c>
      <c r="O20" s="266">
        <v>0.18725633517970777</v>
      </c>
      <c r="P20" s="266">
        <v>0.2229706208939935</v>
      </c>
      <c r="Q20" s="266">
        <v>0</v>
      </c>
    </row>
    <row r="21" spans="1:17" ht="16.5">
      <c r="A21" s="378" t="s">
        <v>277</v>
      </c>
      <c r="B21" s="118" t="s">
        <v>278</v>
      </c>
      <c r="C21" s="248"/>
      <c r="D21" s="246"/>
      <c r="E21" s="246"/>
      <c r="F21" s="246"/>
      <c r="G21" s="246"/>
      <c r="H21" s="248"/>
      <c r="I21" s="246"/>
      <c r="J21" s="246"/>
      <c r="K21" s="246"/>
      <c r="L21" s="246"/>
      <c r="M21" s="267">
        <v>6</v>
      </c>
      <c r="N21" s="266">
        <v>0.45833333333333331</v>
      </c>
      <c r="O21" s="266">
        <v>0.52241426728858265</v>
      </c>
      <c r="P21" s="266">
        <v>0.98074760062191602</v>
      </c>
      <c r="Q21" s="266">
        <v>0</v>
      </c>
    </row>
    <row r="22" spans="1:17" ht="16.5">
      <c r="A22" s="378"/>
      <c r="B22" s="118" t="s">
        <v>279</v>
      </c>
      <c r="C22" s="248"/>
      <c r="D22" s="246"/>
      <c r="E22" s="246"/>
      <c r="F22" s="246"/>
      <c r="G22" s="246"/>
      <c r="H22" s="248"/>
      <c r="I22" s="246"/>
      <c r="J22" s="246"/>
      <c r="K22" s="246"/>
      <c r="L22" s="246"/>
      <c r="M22" s="267">
        <v>21</v>
      </c>
      <c r="N22" s="266">
        <v>8.504651033807116E-2</v>
      </c>
      <c r="O22" s="266">
        <v>5.0942826810912285E-2</v>
      </c>
      <c r="P22" s="266">
        <v>0.13598933714898345</v>
      </c>
      <c r="Q22" s="266">
        <v>3.4103683527158875E-2</v>
      </c>
    </row>
    <row r="23" spans="1:17" ht="16.5">
      <c r="A23" s="378"/>
      <c r="B23" s="118" t="s">
        <v>280</v>
      </c>
      <c r="C23" s="248"/>
      <c r="D23" s="246"/>
      <c r="E23" s="246"/>
      <c r="F23" s="246"/>
      <c r="G23" s="246"/>
      <c r="H23" s="248"/>
      <c r="I23" s="246"/>
      <c r="J23" s="246"/>
      <c r="K23" s="246"/>
      <c r="L23" s="246"/>
      <c r="M23" s="267">
        <v>31</v>
      </c>
      <c r="N23" s="266">
        <v>16.586966427338311</v>
      </c>
      <c r="O23" s="266">
        <v>3.7373920637427132</v>
      </c>
      <c r="P23" s="266">
        <v>20.324358491081025</v>
      </c>
      <c r="Q23" s="266">
        <v>12.849574363595597</v>
      </c>
    </row>
    <row r="24" spans="1:17" ht="16.5">
      <c r="A24" s="378"/>
      <c r="B24" s="118" t="s">
        <v>281</v>
      </c>
      <c r="C24" s="248"/>
      <c r="D24" s="247"/>
      <c r="E24" s="247"/>
      <c r="F24" s="247"/>
      <c r="G24" s="247"/>
      <c r="H24" s="248"/>
      <c r="I24" s="247"/>
      <c r="J24" s="247"/>
      <c r="K24" s="247"/>
      <c r="L24" s="247"/>
      <c r="M24" s="267">
        <v>0</v>
      </c>
      <c r="N24" s="265" t="s">
        <v>87</v>
      </c>
      <c r="O24" s="265" t="s">
        <v>87</v>
      </c>
      <c r="P24" s="265" t="s">
        <v>87</v>
      </c>
      <c r="Q24" s="265" t="s">
        <v>87</v>
      </c>
    </row>
    <row r="25" spans="1:17" ht="16.5">
      <c r="A25" s="378"/>
      <c r="B25" s="118" t="s">
        <v>282</v>
      </c>
      <c r="C25" s="248"/>
      <c r="D25" s="246"/>
      <c r="E25" s="246"/>
      <c r="F25" s="246"/>
      <c r="G25" s="246"/>
      <c r="H25" s="248"/>
      <c r="I25" s="246"/>
      <c r="J25" s="246"/>
      <c r="K25" s="246"/>
      <c r="L25" s="246"/>
      <c r="M25" s="267">
        <v>53</v>
      </c>
      <c r="N25" s="266">
        <v>2.9140698698973133</v>
      </c>
      <c r="O25" s="266">
        <v>2.9839145080051881</v>
      </c>
      <c r="P25" s="266">
        <v>5.8979843779025014</v>
      </c>
      <c r="Q25" s="266">
        <v>0</v>
      </c>
    </row>
    <row r="26" spans="1:17" ht="16.5">
      <c r="A26" s="224" t="s">
        <v>283</v>
      </c>
      <c r="B26" s="118" t="s">
        <v>284</v>
      </c>
      <c r="C26" s="248"/>
      <c r="D26" s="246"/>
      <c r="E26" s="246"/>
      <c r="F26" s="246"/>
      <c r="G26" s="246"/>
      <c r="H26" s="248"/>
      <c r="I26" s="246"/>
      <c r="J26" s="246"/>
      <c r="K26" s="246"/>
      <c r="L26" s="246"/>
      <c r="M26" s="267">
        <v>6</v>
      </c>
      <c r="N26" s="266">
        <v>0</v>
      </c>
      <c r="O26" s="266">
        <v>0</v>
      </c>
      <c r="P26" s="266">
        <v>0</v>
      </c>
      <c r="Q26" s="266">
        <v>0</v>
      </c>
    </row>
    <row r="27" spans="1:17" ht="16.5">
      <c r="A27" s="378" t="s">
        <v>285</v>
      </c>
      <c r="B27" s="118" t="s">
        <v>286</v>
      </c>
      <c r="C27" s="248"/>
      <c r="D27" s="246"/>
      <c r="E27" s="246"/>
      <c r="F27" s="246"/>
      <c r="G27" s="246"/>
      <c r="H27" s="248"/>
      <c r="I27" s="246"/>
      <c r="J27" s="246"/>
      <c r="K27" s="246"/>
      <c r="L27" s="246"/>
      <c r="M27" s="267">
        <v>0</v>
      </c>
      <c r="N27" s="266" t="s">
        <v>87</v>
      </c>
      <c r="O27" s="266" t="s">
        <v>87</v>
      </c>
      <c r="P27" s="266" t="s">
        <v>87</v>
      </c>
      <c r="Q27" s="266" t="s">
        <v>87</v>
      </c>
    </row>
    <row r="28" spans="1:17" ht="16.5">
      <c r="A28" s="378"/>
      <c r="B28" s="118" t="s">
        <v>287</v>
      </c>
      <c r="C28" s="248"/>
      <c r="D28" s="246"/>
      <c r="E28" s="246"/>
      <c r="F28" s="246"/>
      <c r="G28" s="246"/>
      <c r="H28" s="248"/>
      <c r="I28" s="246"/>
      <c r="J28" s="246"/>
      <c r="K28" s="246"/>
      <c r="L28" s="246"/>
      <c r="M28" s="267">
        <v>55</v>
      </c>
      <c r="N28" s="266">
        <v>0</v>
      </c>
      <c r="O28" s="266">
        <v>0</v>
      </c>
      <c r="P28" s="266">
        <v>0</v>
      </c>
      <c r="Q28" s="266">
        <v>0</v>
      </c>
    </row>
    <row r="29" spans="1:17" ht="16.5">
      <c r="A29" s="378" t="s">
        <v>288</v>
      </c>
      <c r="B29" s="118" t="s">
        <v>289</v>
      </c>
      <c r="C29" s="248"/>
      <c r="D29" s="246"/>
      <c r="E29" s="246"/>
      <c r="F29" s="246"/>
      <c r="G29" s="246"/>
      <c r="H29" s="248"/>
      <c r="I29" s="246"/>
      <c r="J29" s="246"/>
      <c r="K29" s="246"/>
      <c r="L29" s="246"/>
      <c r="M29" s="267">
        <v>37</v>
      </c>
      <c r="N29" s="266">
        <v>0.2810810810810811</v>
      </c>
      <c r="O29" s="266">
        <v>0.82186706070110005</v>
      </c>
      <c r="P29" s="266">
        <v>1.1029481417821811</v>
      </c>
      <c r="Q29" s="266">
        <v>0</v>
      </c>
    </row>
    <row r="30" spans="1:17" ht="16.5">
      <c r="A30" s="378"/>
      <c r="B30" s="118" t="s">
        <v>290</v>
      </c>
      <c r="C30" s="248"/>
      <c r="D30" s="246"/>
      <c r="E30" s="246"/>
      <c r="F30" s="246"/>
      <c r="G30" s="246"/>
      <c r="H30" s="248"/>
      <c r="I30" s="246"/>
      <c r="J30" s="246"/>
      <c r="K30" s="246"/>
      <c r="L30" s="246"/>
      <c r="M30" s="267">
        <v>35</v>
      </c>
      <c r="N30" s="266">
        <v>2.8571428571428571E-2</v>
      </c>
      <c r="O30" s="266">
        <v>0.1690308509457033</v>
      </c>
      <c r="P30" s="266">
        <v>0.19760227951713188</v>
      </c>
      <c r="Q30" s="266">
        <v>0</v>
      </c>
    </row>
    <row r="31" spans="1:17" ht="16.5">
      <c r="A31" s="380" t="s">
        <v>291</v>
      </c>
      <c r="B31" s="118" t="s">
        <v>292</v>
      </c>
      <c r="C31" s="248"/>
      <c r="D31" s="247"/>
      <c r="E31" s="247"/>
      <c r="F31" s="247"/>
      <c r="G31" s="247"/>
      <c r="H31" s="248"/>
      <c r="I31" s="247"/>
      <c r="J31" s="247"/>
      <c r="K31" s="247"/>
      <c r="L31" s="247"/>
      <c r="M31" s="267">
        <v>38</v>
      </c>
      <c r="N31" s="265">
        <v>0.99648648648648663</v>
      </c>
      <c r="O31" s="265">
        <v>1.1835965955091721E-2</v>
      </c>
      <c r="P31" s="265">
        <v>1</v>
      </c>
      <c r="Q31" s="265">
        <v>0.96097858862121144</v>
      </c>
    </row>
    <row r="32" spans="1:17" ht="16.5">
      <c r="A32" s="381"/>
      <c r="B32" s="118" t="s">
        <v>293</v>
      </c>
      <c r="C32" s="248"/>
      <c r="D32" s="246"/>
      <c r="E32" s="246"/>
      <c r="F32" s="246"/>
      <c r="G32" s="246"/>
      <c r="H32" s="248"/>
      <c r="I32" s="246"/>
      <c r="J32" s="246"/>
      <c r="K32" s="246"/>
      <c r="L32" s="246"/>
      <c r="M32" s="267">
        <v>52</v>
      </c>
      <c r="N32" s="268">
        <v>2.0229032258064512</v>
      </c>
      <c r="O32" s="268">
        <v>1.8133581987542482</v>
      </c>
      <c r="P32" s="268">
        <v>3.8362614245606994</v>
      </c>
      <c r="Q32" s="268">
        <v>0.20954502705220301</v>
      </c>
    </row>
    <row r="33" spans="1:17" ht="16.5">
      <c r="A33" s="381"/>
      <c r="B33" s="118" t="s">
        <v>294</v>
      </c>
      <c r="C33" s="248"/>
      <c r="D33" s="246"/>
      <c r="E33" s="246"/>
      <c r="F33" s="246"/>
      <c r="G33" s="246"/>
      <c r="H33" s="248"/>
      <c r="I33" s="250"/>
      <c r="J33" s="246"/>
      <c r="K33" s="246"/>
      <c r="L33" s="246"/>
      <c r="M33" s="267">
        <v>54</v>
      </c>
      <c r="N33" s="268">
        <v>11.693846153846152</v>
      </c>
      <c r="O33" s="268">
        <v>5.2459348657207538</v>
      </c>
      <c r="P33" s="268">
        <v>16.939781019566908</v>
      </c>
      <c r="Q33" s="268">
        <v>6.4479112881253986</v>
      </c>
    </row>
    <row r="34" spans="1:17" ht="16.5">
      <c r="A34" s="381"/>
      <c r="B34" s="118" t="s">
        <v>295</v>
      </c>
      <c r="C34" s="248"/>
      <c r="D34" s="246"/>
      <c r="E34" s="246"/>
      <c r="F34" s="246"/>
      <c r="G34" s="246"/>
      <c r="H34" s="248"/>
      <c r="I34" s="246"/>
      <c r="J34" s="246"/>
      <c r="K34" s="246"/>
      <c r="L34" s="246"/>
      <c r="M34" s="267">
        <v>51</v>
      </c>
      <c r="N34" s="268">
        <v>1.7374999999999998</v>
      </c>
      <c r="O34" s="268">
        <v>0.96600552103322224</v>
      </c>
      <c r="P34" s="268">
        <v>2.7035055210332222</v>
      </c>
      <c r="Q34" s="268">
        <v>0.77149447896677759</v>
      </c>
    </row>
    <row r="35" spans="1:17" ht="16.5">
      <c r="A35" s="382"/>
      <c r="B35" s="118" t="s">
        <v>296</v>
      </c>
      <c r="C35" s="248"/>
      <c r="D35" s="246"/>
      <c r="E35" s="246"/>
      <c r="F35" s="246"/>
      <c r="G35" s="246"/>
      <c r="H35" s="248"/>
      <c r="I35" s="246"/>
      <c r="J35" s="246"/>
      <c r="K35" s="246"/>
      <c r="L35" s="246"/>
      <c r="M35" s="267">
        <v>53</v>
      </c>
      <c r="N35" s="268">
        <v>1.2145444444444446</v>
      </c>
      <c r="O35" s="268">
        <v>0.55978347728198286</v>
      </c>
      <c r="P35" s="268">
        <v>1.7743279217264276</v>
      </c>
      <c r="Q35" s="268">
        <v>0.65476096716246179</v>
      </c>
    </row>
    <row r="36" spans="1:17" ht="16.5">
      <c r="A36" s="382"/>
      <c r="B36" s="118" t="s">
        <v>297</v>
      </c>
      <c r="C36" s="248"/>
      <c r="D36" s="246"/>
      <c r="E36" s="246"/>
      <c r="F36" s="246"/>
      <c r="G36" s="246"/>
      <c r="H36" s="248"/>
      <c r="I36" s="246"/>
      <c r="J36" s="246"/>
      <c r="K36" s="246"/>
      <c r="L36" s="246"/>
      <c r="M36" s="267">
        <v>51</v>
      </c>
      <c r="N36" s="268">
        <v>1.3066666666666664</v>
      </c>
      <c r="O36" s="268">
        <v>0.38953574320990841</v>
      </c>
      <c r="P36" s="268">
        <v>1.6962024098765749</v>
      </c>
      <c r="Q36" s="268">
        <v>0.91713092345675795</v>
      </c>
    </row>
    <row r="37" spans="1:17" ht="16.5">
      <c r="A37" s="383"/>
      <c r="B37" s="118" t="s">
        <v>298</v>
      </c>
      <c r="C37" s="248"/>
      <c r="D37" s="246"/>
      <c r="E37" s="246"/>
      <c r="F37" s="246"/>
      <c r="G37" s="246"/>
      <c r="H37" s="248"/>
      <c r="I37" s="246"/>
      <c r="J37" s="246"/>
      <c r="K37" s="246"/>
      <c r="L37" s="246"/>
      <c r="M37" s="267">
        <v>53</v>
      </c>
      <c r="N37" s="268">
        <v>1.4405263157894739</v>
      </c>
      <c r="O37" s="268">
        <v>0.38010924868473311</v>
      </c>
      <c r="P37" s="268">
        <v>1.8206355644742069</v>
      </c>
      <c r="Q37" s="268">
        <v>1.0604170671047408</v>
      </c>
    </row>
    <row r="38" spans="1:17" ht="16.5">
      <c r="A38" s="364" t="s">
        <v>299</v>
      </c>
      <c r="B38" s="118" t="s">
        <v>300</v>
      </c>
      <c r="C38" s="248"/>
      <c r="D38" s="246"/>
      <c r="E38" s="246"/>
      <c r="F38" s="246"/>
      <c r="G38" s="246"/>
      <c r="H38" s="248"/>
      <c r="I38" s="246"/>
      <c r="J38" s="246"/>
      <c r="K38" s="246"/>
      <c r="L38" s="246"/>
      <c r="M38" s="267">
        <v>49</v>
      </c>
      <c r="N38" s="266">
        <v>4.2553191489361701E-2</v>
      </c>
      <c r="O38" s="266">
        <v>0.29172998299578912</v>
      </c>
      <c r="P38" s="266">
        <v>0.33428317448515082</v>
      </c>
      <c r="Q38" s="266">
        <v>0</v>
      </c>
    </row>
    <row r="39" spans="1:17" ht="16.5">
      <c r="A39" s="364"/>
      <c r="B39" s="118" t="s">
        <v>301</v>
      </c>
      <c r="C39" s="248"/>
      <c r="D39" s="246"/>
      <c r="E39" s="246"/>
      <c r="F39" s="246"/>
      <c r="G39" s="246"/>
      <c r="H39" s="248"/>
      <c r="I39" s="246"/>
      <c r="J39" s="246"/>
      <c r="K39" s="246"/>
      <c r="L39" s="246"/>
      <c r="M39" s="267">
        <v>49</v>
      </c>
      <c r="N39" s="266">
        <v>5.3511363636363631</v>
      </c>
      <c r="O39" s="266">
        <v>3.6626380224229256</v>
      </c>
      <c r="P39" s="266">
        <v>9.0137743860592892</v>
      </c>
      <c r="Q39" s="266">
        <v>1.6884983412134376</v>
      </c>
    </row>
    <row r="40" spans="1:17" ht="16.5">
      <c r="A40" s="364"/>
      <c r="B40" s="118" t="s">
        <v>302</v>
      </c>
      <c r="C40" s="248"/>
      <c r="D40" s="247"/>
      <c r="E40" s="247"/>
      <c r="F40" s="247"/>
      <c r="G40" s="247"/>
      <c r="H40" s="248"/>
      <c r="I40" s="247"/>
      <c r="J40" s="247"/>
      <c r="K40" s="247"/>
      <c r="L40" s="247"/>
      <c r="M40" s="267">
        <v>55</v>
      </c>
      <c r="N40" s="265">
        <v>5.4991836734693884E-2</v>
      </c>
      <c r="O40" s="265">
        <v>4.7827388582688236E-2</v>
      </c>
      <c r="P40" s="265">
        <v>0.10281922531738212</v>
      </c>
      <c r="Q40" s="265">
        <v>7.164448152005648E-3</v>
      </c>
    </row>
    <row r="41" spans="1:17" ht="16.5">
      <c r="A41" s="364"/>
      <c r="B41" s="120" t="s">
        <v>303</v>
      </c>
      <c r="C41" s="248"/>
      <c r="D41" s="246"/>
      <c r="E41" s="246"/>
      <c r="F41" s="246"/>
      <c r="G41" s="246"/>
      <c r="H41" s="248"/>
      <c r="I41" s="246"/>
      <c r="J41" s="246"/>
      <c r="K41" s="246"/>
      <c r="L41" s="246"/>
      <c r="M41" s="267">
        <v>53</v>
      </c>
      <c r="N41" s="266">
        <v>8.1632653061224483E-2</v>
      </c>
      <c r="O41" s="266">
        <v>0.39982989580349199</v>
      </c>
      <c r="P41" s="266">
        <v>0.48146254886471646</v>
      </c>
      <c r="Q41" s="266">
        <v>0</v>
      </c>
    </row>
    <row r="42" spans="1:17" ht="16.5">
      <c r="A42" s="364"/>
      <c r="B42" s="120" t="s">
        <v>304</v>
      </c>
      <c r="C42" s="248"/>
      <c r="D42" s="246"/>
      <c r="E42" s="246"/>
      <c r="F42" s="246"/>
      <c r="G42" s="246"/>
      <c r="H42" s="248"/>
      <c r="I42" s="246"/>
      <c r="J42" s="246"/>
      <c r="K42" s="246"/>
      <c r="L42" s="246"/>
      <c r="M42" s="267">
        <v>53</v>
      </c>
      <c r="N42" s="266">
        <v>6.1224489795918366E-2</v>
      </c>
      <c r="O42" s="266">
        <v>0.42857142857142855</v>
      </c>
      <c r="P42" s="266">
        <v>0.48979591836734693</v>
      </c>
      <c r="Q42" s="266">
        <v>0</v>
      </c>
    </row>
    <row r="43" spans="1:17" ht="16.5">
      <c r="A43" s="364"/>
      <c r="B43" s="120" t="s">
        <v>305</v>
      </c>
      <c r="C43" s="248"/>
      <c r="D43" s="246"/>
      <c r="E43" s="246"/>
      <c r="F43" s="246"/>
      <c r="G43" s="246"/>
      <c r="H43" s="248"/>
      <c r="I43" s="246"/>
      <c r="J43" s="246"/>
      <c r="K43" s="246"/>
      <c r="L43" s="246"/>
      <c r="M43" s="267">
        <v>40</v>
      </c>
      <c r="N43" s="266">
        <v>85.929333333333332</v>
      </c>
      <c r="O43" s="266">
        <v>26.51340940156954</v>
      </c>
      <c r="P43" s="266">
        <v>112.44274273490288</v>
      </c>
      <c r="Q43" s="266">
        <v>59.415923931763793</v>
      </c>
    </row>
    <row r="44" spans="1:17" ht="16.5">
      <c r="A44" s="386" t="s">
        <v>335</v>
      </c>
      <c r="B44" s="118" t="s">
        <v>336</v>
      </c>
      <c r="C44" s="136"/>
      <c r="D44" s="136"/>
      <c r="E44" s="136"/>
      <c r="F44" s="136"/>
      <c r="G44" s="136"/>
      <c r="H44" s="136"/>
      <c r="I44" s="136"/>
      <c r="J44" s="136"/>
      <c r="K44" s="136"/>
      <c r="L44" s="136"/>
      <c r="M44" s="267">
        <v>54</v>
      </c>
      <c r="N44" s="266">
        <v>0</v>
      </c>
      <c r="O44" s="266">
        <v>0</v>
      </c>
      <c r="P44" s="266">
        <v>0</v>
      </c>
      <c r="Q44" s="266">
        <v>0</v>
      </c>
    </row>
    <row r="45" spans="1:17" ht="16.5">
      <c r="A45" s="387"/>
      <c r="B45" s="129" t="s">
        <v>337</v>
      </c>
      <c r="C45" s="136"/>
      <c r="D45" s="136"/>
      <c r="E45" s="136"/>
      <c r="F45" s="136"/>
      <c r="G45" s="136"/>
      <c r="H45" s="136"/>
      <c r="I45" s="136"/>
      <c r="J45" s="136"/>
      <c r="K45" s="136"/>
      <c r="L45" s="136"/>
      <c r="M45" s="269">
        <v>48</v>
      </c>
      <c r="N45" s="270">
        <v>0.70900684634509803</v>
      </c>
      <c r="O45" s="270">
        <v>1.5177167026238636</v>
      </c>
      <c r="P45" s="270">
        <v>2.2267235489689616</v>
      </c>
      <c r="Q45" s="270">
        <v>0</v>
      </c>
    </row>
    <row r="46" spans="1:17" ht="16.5">
      <c r="A46" s="388"/>
      <c r="B46" s="131" t="s">
        <v>458</v>
      </c>
      <c r="C46" s="136"/>
      <c r="D46" s="136"/>
      <c r="E46" s="136"/>
      <c r="F46" s="136"/>
      <c r="G46" s="136"/>
      <c r="H46" s="136"/>
      <c r="I46" s="136"/>
      <c r="J46" s="136"/>
      <c r="K46" s="136"/>
      <c r="L46" s="136"/>
      <c r="M46" s="271">
        <v>0</v>
      </c>
      <c r="N46" s="272" t="s">
        <v>87</v>
      </c>
      <c r="O46" s="272" t="s">
        <v>87</v>
      </c>
      <c r="P46" s="272" t="s">
        <v>87</v>
      </c>
      <c r="Q46" s="272" t="s">
        <v>87</v>
      </c>
    </row>
    <row r="47" spans="1:17" ht="16.5">
      <c r="A47" s="384" t="s">
        <v>490</v>
      </c>
      <c r="B47" s="127" t="s">
        <v>152</v>
      </c>
      <c r="C47" s="321" t="s">
        <v>308</v>
      </c>
      <c r="D47" s="136"/>
      <c r="E47" s="136"/>
      <c r="F47" s="136"/>
      <c r="G47" s="136"/>
      <c r="H47" s="136"/>
      <c r="I47" s="136"/>
      <c r="J47" s="136"/>
      <c r="K47" s="136"/>
      <c r="L47" s="136"/>
      <c r="M47" s="267">
        <v>8</v>
      </c>
      <c r="N47" s="266">
        <v>4.7056461679777666</v>
      </c>
      <c r="O47" s="266">
        <v>1.3428861548347437</v>
      </c>
      <c r="P47" s="266">
        <v>6.0485323228125107</v>
      </c>
      <c r="Q47" s="266">
        <v>3.3627600131430229</v>
      </c>
    </row>
    <row r="48" spans="1:17" ht="16.5">
      <c r="A48" s="385"/>
      <c r="B48" s="127" t="s">
        <v>459</v>
      </c>
      <c r="C48" s="321" t="s">
        <v>309</v>
      </c>
      <c r="D48" s="136"/>
      <c r="E48" s="136"/>
      <c r="F48" s="136"/>
      <c r="G48" s="136"/>
      <c r="H48" s="136"/>
      <c r="I48" s="136"/>
      <c r="J48" s="136"/>
      <c r="K48" s="136"/>
      <c r="L48" s="136"/>
      <c r="M48" s="267">
        <v>10</v>
      </c>
      <c r="N48" s="266">
        <v>5.8201926921079963</v>
      </c>
      <c r="O48" s="266">
        <v>1.7457634779590183</v>
      </c>
      <c r="P48" s="266">
        <v>7.5659561700670146</v>
      </c>
      <c r="Q48" s="266">
        <v>4.074429214148978</v>
      </c>
    </row>
    <row r="49" spans="1:17" ht="16.5">
      <c r="A49" s="385"/>
      <c r="B49" s="127" t="s">
        <v>154</v>
      </c>
      <c r="C49" s="321" t="s">
        <v>310</v>
      </c>
      <c r="D49" s="136"/>
      <c r="E49" s="136"/>
      <c r="F49" s="136"/>
      <c r="G49" s="136"/>
      <c r="H49" s="136"/>
      <c r="I49" s="136"/>
      <c r="J49" s="136"/>
      <c r="K49" s="136"/>
      <c r="L49" s="136"/>
      <c r="M49" s="267">
        <v>13</v>
      </c>
      <c r="N49" s="266">
        <v>13.708813102606207</v>
      </c>
      <c r="O49" s="266">
        <v>2.9092280317194681</v>
      </c>
      <c r="P49" s="266">
        <v>16.618041134325676</v>
      </c>
      <c r="Q49" s="266">
        <v>10.799585070886739</v>
      </c>
    </row>
    <row r="50" spans="1:17" ht="16.5">
      <c r="A50" s="385"/>
      <c r="B50" s="127" t="s">
        <v>155</v>
      </c>
      <c r="C50" s="321" t="s">
        <v>311</v>
      </c>
      <c r="D50" s="136"/>
      <c r="E50" s="136"/>
      <c r="F50" s="136"/>
      <c r="G50" s="136"/>
      <c r="H50" s="136"/>
      <c r="I50" s="136"/>
      <c r="J50" s="136"/>
      <c r="K50" s="136"/>
      <c r="L50" s="136"/>
      <c r="M50" s="267">
        <v>17</v>
      </c>
      <c r="N50" s="266">
        <v>18.058755068155673</v>
      </c>
      <c r="O50" s="266">
        <v>3.9936237527952527</v>
      </c>
      <c r="P50" s="266">
        <v>22.052378820950924</v>
      </c>
      <c r="Q50" s="266">
        <v>14.06513131536042</v>
      </c>
    </row>
    <row r="51" spans="1:17" ht="16.5">
      <c r="A51" s="385"/>
      <c r="B51" s="126" t="s">
        <v>65</v>
      </c>
      <c r="C51" s="321" t="s">
        <v>267</v>
      </c>
      <c r="D51" s="136"/>
      <c r="E51" s="136"/>
      <c r="F51" s="136"/>
      <c r="G51" s="136"/>
      <c r="H51" s="136"/>
      <c r="I51" s="136"/>
      <c r="J51" s="136"/>
      <c r="K51" s="136"/>
      <c r="L51" s="136"/>
      <c r="M51" s="267">
        <v>0</v>
      </c>
      <c r="N51" s="273" t="s">
        <v>87</v>
      </c>
      <c r="O51" s="273" t="s">
        <v>87</v>
      </c>
      <c r="P51" s="273" t="s">
        <v>87</v>
      </c>
      <c r="Q51" s="273" t="s">
        <v>87</v>
      </c>
    </row>
    <row r="52" spans="1:17" ht="16.5">
      <c r="A52" s="385"/>
      <c r="B52" s="127" t="s">
        <v>156</v>
      </c>
      <c r="C52" s="321"/>
      <c r="D52" s="136"/>
      <c r="E52" s="136"/>
      <c r="F52" s="136"/>
      <c r="G52" s="136"/>
      <c r="H52" s="136"/>
      <c r="I52" s="136"/>
      <c r="J52" s="136"/>
      <c r="K52" s="136"/>
      <c r="L52" s="136"/>
      <c r="M52" s="267">
        <v>14</v>
      </c>
      <c r="N52" s="268">
        <v>0.16970573208612161</v>
      </c>
      <c r="O52" s="268">
        <v>0.27453264754792883</v>
      </c>
      <c r="P52" s="268">
        <v>0.44423837963405044</v>
      </c>
      <c r="Q52" s="268">
        <v>0</v>
      </c>
    </row>
    <row r="53" spans="1:17" ht="16.5">
      <c r="A53" s="385"/>
      <c r="B53" s="126" t="s">
        <v>460</v>
      </c>
      <c r="C53" s="321" t="s">
        <v>312</v>
      </c>
      <c r="D53" s="136"/>
      <c r="E53" s="136"/>
      <c r="F53" s="136"/>
      <c r="G53" s="136"/>
      <c r="H53" s="136"/>
      <c r="I53" s="136"/>
      <c r="J53" s="136"/>
      <c r="K53" s="136"/>
      <c r="L53" s="136"/>
      <c r="M53" s="267">
        <v>14</v>
      </c>
      <c r="N53" s="266">
        <v>18.041677467977255</v>
      </c>
      <c r="O53" s="266">
        <v>6.245865115819095</v>
      </c>
      <c r="P53" s="266">
        <v>24.287542583796352</v>
      </c>
      <c r="Q53" s="266">
        <v>11.79581235215816</v>
      </c>
    </row>
    <row r="54" spans="1:17" ht="16.5">
      <c r="A54" s="385"/>
      <c r="B54" s="126" t="s">
        <v>157</v>
      </c>
      <c r="C54" s="321" t="s">
        <v>320</v>
      </c>
      <c r="D54" s="136"/>
      <c r="E54" s="136"/>
      <c r="F54" s="136"/>
      <c r="G54" s="136"/>
      <c r="H54" s="136"/>
      <c r="I54" s="136"/>
      <c r="J54" s="136"/>
      <c r="K54" s="136"/>
      <c r="L54" s="136"/>
      <c r="M54" s="267">
        <v>12</v>
      </c>
      <c r="N54" s="273">
        <v>0.33896005319472639</v>
      </c>
      <c r="O54" s="273">
        <v>0.36986719860521144</v>
      </c>
      <c r="P54" s="273">
        <v>0.70882725179993789</v>
      </c>
      <c r="Q54" s="273">
        <v>0</v>
      </c>
    </row>
    <row r="55" spans="1:17" ht="16.5">
      <c r="A55" s="385"/>
      <c r="B55" s="126" t="s">
        <v>461</v>
      </c>
      <c r="C55" s="321" t="s">
        <v>313</v>
      </c>
      <c r="D55" s="136"/>
      <c r="E55" s="136"/>
      <c r="F55" s="136"/>
      <c r="G55" s="136"/>
      <c r="H55" s="136"/>
      <c r="I55" s="136"/>
      <c r="J55" s="136"/>
      <c r="K55" s="136"/>
      <c r="L55" s="136"/>
      <c r="M55" s="267">
        <v>12</v>
      </c>
      <c r="N55" s="273">
        <v>0.4078556283917803</v>
      </c>
      <c r="O55" s="273">
        <v>0.30730865722110823</v>
      </c>
      <c r="P55" s="273">
        <v>0.71516428561288858</v>
      </c>
      <c r="Q55" s="273">
        <v>0.10054697117067207</v>
      </c>
    </row>
    <row r="56" spans="1:17" ht="16.5">
      <c r="A56" s="385"/>
      <c r="B56" s="127" t="s">
        <v>333</v>
      </c>
      <c r="C56" s="321" t="s">
        <v>314</v>
      </c>
      <c r="D56" s="136"/>
      <c r="E56" s="136"/>
      <c r="F56" s="136"/>
      <c r="G56" s="136"/>
      <c r="H56" s="136"/>
      <c r="I56" s="136"/>
      <c r="J56" s="136"/>
      <c r="K56" s="136"/>
      <c r="L56" s="136"/>
      <c r="M56" s="267">
        <v>12</v>
      </c>
      <c r="N56" s="273">
        <v>1.1022189893564049E-2</v>
      </c>
      <c r="O56" s="273">
        <v>1.5804177174489842E-2</v>
      </c>
      <c r="P56" s="273">
        <v>2.6826367068053893E-2</v>
      </c>
      <c r="Q56" s="273">
        <v>0</v>
      </c>
    </row>
    <row r="57" spans="1:17" ht="16.5">
      <c r="A57" s="385"/>
      <c r="B57" s="126" t="s">
        <v>332</v>
      </c>
      <c r="C57" s="322" t="s">
        <v>315</v>
      </c>
      <c r="D57" s="136"/>
      <c r="E57" s="136"/>
      <c r="F57" s="136"/>
      <c r="G57" s="136"/>
      <c r="H57" s="136"/>
      <c r="I57" s="136"/>
      <c r="J57" s="136"/>
      <c r="K57" s="136"/>
      <c r="L57" s="136"/>
      <c r="M57" s="267">
        <v>15</v>
      </c>
      <c r="N57" s="273">
        <v>0.95878917408824449</v>
      </c>
      <c r="O57" s="273">
        <v>6.8571348307243637E-2</v>
      </c>
      <c r="P57" s="273">
        <v>1.1645032190099753</v>
      </c>
      <c r="Q57" s="273">
        <v>0.75307512916651365</v>
      </c>
    </row>
    <row r="58" spans="1:17" ht="16.5">
      <c r="A58" s="385"/>
      <c r="B58" s="126" t="s">
        <v>158</v>
      </c>
      <c r="C58" s="323" t="s">
        <v>316</v>
      </c>
      <c r="D58" s="136"/>
      <c r="E58" s="136"/>
      <c r="F58" s="136"/>
      <c r="G58" s="136"/>
      <c r="H58" s="136"/>
      <c r="I58" s="136"/>
      <c r="J58" s="136"/>
      <c r="K58" s="136"/>
      <c r="L58" s="136"/>
      <c r="M58" s="267">
        <v>4</v>
      </c>
      <c r="N58" s="273">
        <v>0.95750000000000002</v>
      </c>
      <c r="O58" s="273">
        <v>1.5000000000000015E-2</v>
      </c>
      <c r="P58" s="273">
        <v>1.0025000000000002</v>
      </c>
      <c r="Q58" s="273">
        <v>0.91249999999999998</v>
      </c>
    </row>
    <row r="59" spans="1:17" ht="16.5">
      <c r="A59" s="385"/>
      <c r="B59" s="126" t="s">
        <v>462</v>
      </c>
      <c r="C59" s="321" t="s">
        <v>317</v>
      </c>
      <c r="D59" s="136"/>
      <c r="E59" s="136"/>
      <c r="F59" s="136"/>
      <c r="G59" s="136"/>
      <c r="H59" s="136"/>
      <c r="I59" s="136"/>
      <c r="J59" s="136"/>
      <c r="K59" s="136"/>
      <c r="L59" s="136"/>
      <c r="M59" s="267">
        <v>13</v>
      </c>
      <c r="N59" s="266">
        <v>3.9230769230769229</v>
      </c>
      <c r="O59" s="266">
        <v>1.3204505835470499</v>
      </c>
      <c r="P59" s="266">
        <v>5.2435275066239733</v>
      </c>
      <c r="Q59" s="266">
        <v>2.602626339529873</v>
      </c>
    </row>
    <row r="60" spans="1:17" ht="16.5">
      <c r="A60" s="385"/>
      <c r="B60" s="126" t="s">
        <v>82</v>
      </c>
      <c r="C60" s="321" t="s">
        <v>307</v>
      </c>
      <c r="D60" s="136"/>
      <c r="E60" s="136"/>
      <c r="F60" s="136"/>
      <c r="G60" s="136"/>
      <c r="H60" s="136"/>
      <c r="I60" s="136"/>
      <c r="J60" s="136"/>
      <c r="K60" s="136"/>
      <c r="L60" s="136"/>
      <c r="M60" s="267">
        <v>0</v>
      </c>
      <c r="N60" s="266" t="s">
        <v>87</v>
      </c>
      <c r="O60" s="266" t="s">
        <v>87</v>
      </c>
      <c r="P60" s="266" t="s">
        <v>87</v>
      </c>
      <c r="Q60" s="266" t="s">
        <v>87</v>
      </c>
    </row>
    <row r="61" spans="1:17">
      <c r="C61" s="136"/>
    </row>
  </sheetData>
  <mergeCells count="14">
    <mergeCell ref="A14:A16"/>
    <mergeCell ref="A1:B2"/>
    <mergeCell ref="C1:G1"/>
    <mergeCell ref="H1:L1"/>
    <mergeCell ref="M1:Q1"/>
    <mergeCell ref="A3:A13"/>
    <mergeCell ref="A47:A60"/>
    <mergeCell ref="A44:A46"/>
    <mergeCell ref="A31:A37"/>
    <mergeCell ref="A17:A20"/>
    <mergeCell ref="A21:A25"/>
    <mergeCell ref="A27:A28"/>
    <mergeCell ref="A29:A30"/>
    <mergeCell ref="A38:A43"/>
  </mergeCells>
  <phoneticPr fontId="26" type="noConversion"/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>
    <oddHeader>&amp;L&amp;G&amp;C&amp;F&amp;R文档密级</oddHeader>
    <oddFooter>&amp;L&amp;D&amp;C华为保密信息,未经授权禁止扩散&amp;R第&amp;P页，共&amp;N页</oddFooter>
  </headerFooter>
  <legacyDrawingHF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43"/>
  <sheetViews>
    <sheetView topLeftCell="A25" workbookViewId="0">
      <selection activeCell="A31" sqref="A31:A37"/>
    </sheetView>
  </sheetViews>
  <sheetFormatPr defaultRowHeight="14.25"/>
  <cols>
    <col min="1" max="1" width="9" style="116"/>
    <col min="2" max="2" width="35.5" style="116" bestFit="1" customWidth="1"/>
    <col min="3" max="3" width="7.25" style="116" customWidth="1"/>
    <col min="4" max="4" width="10.75" style="116" customWidth="1"/>
    <col min="5" max="5" width="7.5" style="116" customWidth="1"/>
    <col min="6" max="9" width="7.25" style="116" customWidth="1"/>
    <col min="10" max="10" width="5.875" style="116" customWidth="1"/>
    <col min="11" max="12" width="7.25" style="116" customWidth="1"/>
    <col min="13" max="16384" width="9" style="116"/>
  </cols>
  <sheetData>
    <row r="1" spans="1:17" ht="14.25" customHeight="1">
      <c r="A1" s="379" t="s">
        <v>339</v>
      </c>
      <c r="B1" s="379"/>
      <c r="C1" s="376" t="s">
        <v>455</v>
      </c>
      <c r="D1" s="377"/>
      <c r="E1" s="377"/>
      <c r="F1" s="377"/>
      <c r="G1" s="377"/>
      <c r="H1" s="376" t="s">
        <v>456</v>
      </c>
      <c r="I1" s="377"/>
      <c r="J1" s="377"/>
      <c r="K1" s="377"/>
      <c r="L1" s="377"/>
      <c r="M1" s="376" t="s">
        <v>457</v>
      </c>
      <c r="N1" s="377"/>
      <c r="O1" s="377"/>
      <c r="P1" s="377"/>
      <c r="Q1" s="377"/>
    </row>
    <row r="2" spans="1:17">
      <c r="A2" s="379"/>
      <c r="B2" s="379"/>
      <c r="C2" s="225" t="s">
        <v>340</v>
      </c>
      <c r="D2" s="225" t="s">
        <v>319</v>
      </c>
      <c r="E2" s="225" t="s">
        <v>260</v>
      </c>
      <c r="F2" s="225" t="s">
        <v>261</v>
      </c>
      <c r="G2" s="225" t="s">
        <v>262</v>
      </c>
      <c r="H2" s="225" t="s">
        <v>318</v>
      </c>
      <c r="I2" s="225" t="s">
        <v>319</v>
      </c>
      <c r="J2" s="225" t="s">
        <v>260</v>
      </c>
      <c r="K2" s="225" t="s">
        <v>326</v>
      </c>
      <c r="L2" s="225" t="s">
        <v>262</v>
      </c>
      <c r="M2" s="225" t="s">
        <v>318</v>
      </c>
      <c r="N2" s="225" t="s">
        <v>319</v>
      </c>
      <c r="O2" s="225" t="s">
        <v>260</v>
      </c>
      <c r="P2" s="225" t="s">
        <v>326</v>
      </c>
      <c r="Q2" s="225" t="s">
        <v>262</v>
      </c>
    </row>
    <row r="3" spans="1:17" ht="16.5">
      <c r="A3" s="351" t="s">
        <v>258</v>
      </c>
      <c r="B3" s="117" t="s">
        <v>259</v>
      </c>
      <c r="C3" s="267">
        <v>21</v>
      </c>
      <c r="D3" s="274">
        <v>32.723686149505689</v>
      </c>
      <c r="E3" s="275">
        <v>4.7763719909363269</v>
      </c>
      <c r="F3" s="275">
        <v>37.500058140442015</v>
      </c>
      <c r="G3" s="275">
        <v>27.947314158569363</v>
      </c>
      <c r="H3" s="248">
        <v>31</v>
      </c>
      <c r="I3" s="246">
        <v>33.4258064516129</v>
      </c>
      <c r="J3" s="246">
        <v>1.957668297054004</v>
      </c>
      <c r="K3" s="246">
        <v>39.298811342774911</v>
      </c>
      <c r="L3" s="246">
        <v>27.552801560450888</v>
      </c>
      <c r="M3" s="135">
        <f>IFERROR(C3+H3,"")</f>
        <v>52</v>
      </c>
      <c r="N3" s="136">
        <f>IFERROR((C3*D3+H3*I3)/M3,"")</f>
        <v>33.142257868069606</v>
      </c>
      <c r="O3" s="136">
        <f>IFERROR((E3+J3)/2,"")</f>
        <v>3.3670201439951652</v>
      </c>
      <c r="P3" s="136">
        <f>IFERROR(MAXA(F3,K3),"")</f>
        <v>39.298811342774911</v>
      </c>
      <c r="Q3" s="136">
        <f>IFERROR(MINA(G3,L3),"")</f>
        <v>27.552801560450888</v>
      </c>
    </row>
    <row r="4" spans="1:17" ht="16.5">
      <c r="A4" s="351"/>
      <c r="B4" s="118" t="s">
        <v>331</v>
      </c>
      <c r="C4" s="267">
        <v>11</v>
      </c>
      <c r="D4" s="274">
        <v>55.625383425631391</v>
      </c>
      <c r="E4" s="275">
        <v>9.3042068284433821</v>
      </c>
      <c r="F4" s="275">
        <v>64.929590254074768</v>
      </c>
      <c r="G4" s="275">
        <v>46.321176597188007</v>
      </c>
      <c r="H4" s="248">
        <v>16</v>
      </c>
      <c r="I4" s="246">
        <v>57.268125000000012</v>
      </c>
      <c r="J4" s="246">
        <v>1.4221308835687381</v>
      </c>
      <c r="K4" s="246">
        <v>61.534517650706228</v>
      </c>
      <c r="L4" s="246">
        <v>53.001732349293796</v>
      </c>
      <c r="M4" s="135">
        <f t="shared" ref="M4:M5" si="0">IFERROR(C4+H4,"")</f>
        <v>27</v>
      </c>
      <c r="N4" s="136">
        <f t="shared" ref="N4:N5" si="1">IFERROR((C4*D4+H4*I4)/M4,"")</f>
        <v>56.598859914146132</v>
      </c>
      <c r="O4" s="136">
        <f t="shared" ref="O4:O5" si="2">IFERROR((E4+J4)/2,"")</f>
        <v>5.3631688560060597</v>
      </c>
      <c r="P4" s="136">
        <f t="shared" ref="P4:P5" si="3">IFERROR(MAXA(F4,K4),"")</f>
        <v>64.929590254074768</v>
      </c>
      <c r="Q4" s="136">
        <f t="shared" ref="Q4:Q5" si="4">IFERROR(MINA(G4,L4),"")</f>
        <v>46.321176597188007</v>
      </c>
    </row>
    <row r="5" spans="1:17" ht="16.5">
      <c r="A5" s="351"/>
      <c r="B5" s="118" t="s">
        <v>263</v>
      </c>
      <c r="C5" s="267">
        <v>21</v>
      </c>
      <c r="D5" s="274">
        <v>0.70658833467730109</v>
      </c>
      <c r="E5" s="275">
        <v>0.31848367640398967</v>
      </c>
      <c r="F5" s="275">
        <v>1.0250720110812908</v>
      </c>
      <c r="G5" s="275">
        <v>0.38810465827331142</v>
      </c>
      <c r="H5" s="248">
        <v>29</v>
      </c>
      <c r="I5" s="246">
        <v>0.77517241379310353</v>
      </c>
      <c r="J5" s="246">
        <v>5.1451828348408453E-2</v>
      </c>
      <c r="K5" s="246">
        <v>0.92952789883832887</v>
      </c>
      <c r="L5" s="246">
        <v>0.62081692874787819</v>
      </c>
      <c r="M5" s="135">
        <f t="shared" si="0"/>
        <v>50</v>
      </c>
      <c r="N5" s="136">
        <f t="shared" si="1"/>
        <v>0.74636710056446642</v>
      </c>
      <c r="O5" s="136">
        <f t="shared" si="2"/>
        <v>0.18496775237619906</v>
      </c>
      <c r="P5" s="136">
        <f t="shared" si="3"/>
        <v>1.0250720110812908</v>
      </c>
      <c r="Q5" s="136">
        <f t="shared" si="4"/>
        <v>0.38810465827331142</v>
      </c>
    </row>
    <row r="6" spans="1:17" ht="16.5">
      <c r="A6" s="351"/>
      <c r="B6" s="118" t="s">
        <v>257</v>
      </c>
      <c r="C6" s="267">
        <v>19</v>
      </c>
      <c r="D6" s="274">
        <v>1.3786080172557447</v>
      </c>
      <c r="E6" s="275">
        <v>0.43328543259926744</v>
      </c>
      <c r="F6" s="275">
        <v>1.8118934498550121</v>
      </c>
      <c r="G6" s="275">
        <v>0.94532258465647723</v>
      </c>
      <c r="H6" s="248">
        <v>14</v>
      </c>
      <c r="I6" s="246">
        <v>1.5035714285714283</v>
      </c>
      <c r="J6" s="246">
        <v>0.20619658815565647</v>
      </c>
      <c r="K6" s="246">
        <v>1.7097680167270848</v>
      </c>
      <c r="L6" s="246">
        <v>1.2973748404157719</v>
      </c>
      <c r="M6" s="135">
        <f t="shared" ref="M6:M43" si="5">IFERROR(C6+H6,"")</f>
        <v>33</v>
      </c>
      <c r="N6" s="136">
        <f t="shared" ref="N6:N43" si="6">IFERROR((C6*D6+H6*I6)/M6,"")</f>
        <v>1.4316227978139136</v>
      </c>
      <c r="O6" s="136">
        <f t="shared" ref="O6:O43" si="7">IFERROR((E6+J6)/2,"")</f>
        <v>0.31974101037746194</v>
      </c>
      <c r="P6" s="136">
        <f t="shared" ref="P6:P43" si="8">IFERROR(MAXA(F6,K6),"")</f>
        <v>1.8118934498550121</v>
      </c>
      <c r="Q6" s="136">
        <f t="shared" ref="Q6:Q43" si="9">IFERROR(MINA(G6,L6),"")</f>
        <v>0.94532258465647723</v>
      </c>
    </row>
    <row r="7" spans="1:17" ht="16.5">
      <c r="A7" s="351"/>
      <c r="B7" s="118" t="s">
        <v>327</v>
      </c>
      <c r="C7" s="267">
        <v>20</v>
      </c>
      <c r="D7" s="274">
        <v>9.2771827271758305</v>
      </c>
      <c r="E7" s="275">
        <v>6.0869232002119835</v>
      </c>
      <c r="F7" s="275">
        <v>15.364105927387815</v>
      </c>
      <c r="G7" s="275">
        <v>3.190259526963847</v>
      </c>
      <c r="H7" s="248">
        <v>31</v>
      </c>
      <c r="I7" s="246">
        <v>9.8751612903225805</v>
      </c>
      <c r="J7" s="246">
        <v>2.8206132559755366</v>
      </c>
      <c r="K7" s="246">
        <v>12.695774546298118</v>
      </c>
      <c r="L7" s="246">
        <v>7.0545480343470439</v>
      </c>
      <c r="M7" s="135">
        <f t="shared" si="5"/>
        <v>51</v>
      </c>
      <c r="N7" s="136">
        <f t="shared" si="6"/>
        <v>9.6406598930101293</v>
      </c>
      <c r="O7" s="136">
        <f t="shared" si="7"/>
        <v>4.4537682280937601</v>
      </c>
      <c r="P7" s="136">
        <f t="shared" si="8"/>
        <v>15.364105927387815</v>
      </c>
      <c r="Q7" s="136">
        <f t="shared" si="9"/>
        <v>3.190259526963847</v>
      </c>
    </row>
    <row r="8" spans="1:17" ht="16.5">
      <c r="A8" s="351"/>
      <c r="B8" s="118" t="s">
        <v>264</v>
      </c>
      <c r="C8" s="267">
        <v>23</v>
      </c>
      <c r="D8" s="274">
        <v>12.598822743430654</v>
      </c>
      <c r="E8" s="275">
        <v>6.3647242274727081</v>
      </c>
      <c r="F8" s="275">
        <v>18.963546970903362</v>
      </c>
      <c r="G8" s="275">
        <v>6.2340985159579461</v>
      </c>
      <c r="H8" s="248">
        <v>32</v>
      </c>
      <c r="I8" s="278">
        <v>18.145</v>
      </c>
      <c r="J8" s="250">
        <v>6.4933832326801433</v>
      </c>
      <c r="K8" s="250">
        <v>24.638383232680141</v>
      </c>
      <c r="L8" s="250">
        <v>11.651616767319856</v>
      </c>
      <c r="M8" s="135">
        <f t="shared" si="5"/>
        <v>55</v>
      </c>
      <c r="N8" s="136">
        <f t="shared" si="6"/>
        <v>15.825689510889182</v>
      </c>
      <c r="O8" s="136">
        <f t="shared" si="7"/>
        <v>6.4290537300764257</v>
      </c>
      <c r="P8" s="136">
        <f t="shared" si="8"/>
        <v>24.638383232680141</v>
      </c>
      <c r="Q8" s="136">
        <f t="shared" si="9"/>
        <v>6.2340985159579461</v>
      </c>
    </row>
    <row r="9" spans="1:17" ht="16.5">
      <c r="A9" s="351"/>
      <c r="B9" s="118" t="s">
        <v>265</v>
      </c>
      <c r="C9" s="267">
        <v>20</v>
      </c>
      <c r="D9" s="274">
        <v>105.95086806827979</v>
      </c>
      <c r="E9" s="275">
        <v>26.706668174686456</v>
      </c>
      <c r="F9" s="275">
        <v>132.65753624296624</v>
      </c>
      <c r="G9" s="275">
        <v>79.244199893593333</v>
      </c>
      <c r="H9" s="248">
        <v>23</v>
      </c>
      <c r="I9" s="246">
        <v>104.74130434782607</v>
      </c>
      <c r="J9" s="246">
        <v>13.965521929623675</v>
      </c>
      <c r="K9" s="246">
        <v>118.70682627744975</v>
      </c>
      <c r="L9" s="246">
        <v>90.775782418202397</v>
      </c>
      <c r="M9" s="135">
        <f t="shared" si="5"/>
        <v>43</v>
      </c>
      <c r="N9" s="136">
        <f t="shared" si="6"/>
        <v>105.30389212478129</v>
      </c>
      <c r="O9" s="136">
        <f t="shared" si="7"/>
        <v>20.336095052155066</v>
      </c>
      <c r="P9" s="136">
        <f t="shared" si="8"/>
        <v>132.65753624296624</v>
      </c>
      <c r="Q9" s="136">
        <f t="shared" si="9"/>
        <v>79.244199893593333</v>
      </c>
    </row>
    <row r="10" spans="1:17" ht="16.5">
      <c r="A10" s="351"/>
      <c r="B10" s="118" t="s">
        <v>266</v>
      </c>
      <c r="C10" s="267">
        <v>13</v>
      </c>
      <c r="D10" s="274">
        <v>8.4607692307692322</v>
      </c>
      <c r="E10" s="275">
        <v>4.4152471836022604</v>
      </c>
      <c r="F10" s="275">
        <v>12.876016414371492</v>
      </c>
      <c r="G10" s="275">
        <v>4.0455220471669717</v>
      </c>
      <c r="H10" s="248">
        <v>21</v>
      </c>
      <c r="I10" s="279">
        <v>7.57095238095238</v>
      </c>
      <c r="J10" s="279">
        <v>1.8470622749704635</v>
      </c>
      <c r="K10" s="279">
        <v>9.4180146559228426</v>
      </c>
      <c r="L10" s="279">
        <v>5.7238901059819165</v>
      </c>
      <c r="M10" s="135">
        <f t="shared" si="5"/>
        <v>34</v>
      </c>
      <c r="N10" s="136">
        <f t="shared" si="6"/>
        <v>7.9111764705882361</v>
      </c>
      <c r="O10" s="136">
        <f t="shared" si="7"/>
        <v>3.131154729286362</v>
      </c>
      <c r="P10" s="136">
        <f t="shared" si="8"/>
        <v>12.876016414371492</v>
      </c>
      <c r="Q10" s="136">
        <f t="shared" si="9"/>
        <v>4.0455220471669717</v>
      </c>
    </row>
    <row r="11" spans="1:17" ht="16.5">
      <c r="A11" s="351"/>
      <c r="B11" s="118" t="s">
        <v>267</v>
      </c>
      <c r="C11" s="267">
        <v>21</v>
      </c>
      <c r="D11" s="276">
        <v>2.6078849172944413E-2</v>
      </c>
      <c r="E11" s="277">
        <v>2.8898380775128501E-2</v>
      </c>
      <c r="F11" s="277">
        <v>5.4977229948072914E-2</v>
      </c>
      <c r="G11" s="277">
        <v>0</v>
      </c>
      <c r="H11" s="248">
        <v>31</v>
      </c>
      <c r="I11" s="247">
        <v>2.0634352967980038E-2</v>
      </c>
      <c r="J11" s="247">
        <v>1.7950000615302462E-2</v>
      </c>
      <c r="K11" s="247">
        <v>3.85843535832825E-2</v>
      </c>
      <c r="L11" s="247">
        <v>2.6843523526775756E-3</v>
      </c>
      <c r="M11" s="135">
        <f t="shared" si="5"/>
        <v>52</v>
      </c>
      <c r="N11" s="247">
        <f t="shared" si="6"/>
        <v>2.2833091819984882E-2</v>
      </c>
      <c r="O11" s="247">
        <f t="shared" si="7"/>
        <v>2.342419069521548E-2</v>
      </c>
      <c r="P11" s="247">
        <f t="shared" si="8"/>
        <v>5.4977229948072914E-2</v>
      </c>
      <c r="Q11" s="247">
        <f t="shared" si="9"/>
        <v>0</v>
      </c>
    </row>
    <row r="12" spans="1:17" ht="16.5">
      <c r="A12" s="351"/>
      <c r="B12" s="118" t="s">
        <v>352</v>
      </c>
      <c r="C12" s="267">
        <v>28</v>
      </c>
      <c r="D12" s="276">
        <v>1.7857142857142859E-3</v>
      </c>
      <c r="E12" s="277">
        <v>9.449111825230682E-3</v>
      </c>
      <c r="F12" s="277">
        <v>1.1234826110944968E-2</v>
      </c>
      <c r="G12" s="277">
        <v>-7.6633975395163957E-3</v>
      </c>
      <c r="H12" s="248">
        <v>44</v>
      </c>
      <c r="I12" s="247">
        <v>0</v>
      </c>
      <c r="J12" s="247">
        <v>0</v>
      </c>
      <c r="K12" s="247">
        <v>0</v>
      </c>
      <c r="L12" s="247">
        <v>0</v>
      </c>
      <c r="M12" s="135">
        <f t="shared" si="5"/>
        <v>72</v>
      </c>
      <c r="N12" s="247">
        <f t="shared" si="6"/>
        <v>6.9444444444444447E-4</v>
      </c>
      <c r="O12" s="247">
        <f t="shared" si="7"/>
        <v>4.724555912615341E-3</v>
      </c>
      <c r="P12" s="247">
        <f t="shared" si="8"/>
        <v>1.1234826110944968E-2</v>
      </c>
      <c r="Q12" s="247">
        <f t="shared" si="9"/>
        <v>-7.6633975395163957E-3</v>
      </c>
    </row>
    <row r="13" spans="1:17" ht="16.5">
      <c r="A13" s="351"/>
      <c r="B13" s="118" t="s">
        <v>268</v>
      </c>
      <c r="C13" s="267">
        <v>20</v>
      </c>
      <c r="D13" s="276">
        <v>2.2711405540501387E-2</v>
      </c>
      <c r="E13" s="277">
        <v>2.8088247214631691E-2</v>
      </c>
      <c r="F13" s="277">
        <v>5.0799652755133082E-2</v>
      </c>
      <c r="G13" s="277">
        <v>-5.3768416741303039E-3</v>
      </c>
      <c r="H13" s="248">
        <v>43</v>
      </c>
      <c r="I13" s="247">
        <v>1.4215877728297324E-2</v>
      </c>
      <c r="J13" s="247">
        <v>1.4692540214480769E-2</v>
      </c>
      <c r="K13" s="247">
        <v>2.890841794277809E-2</v>
      </c>
      <c r="L13" s="247">
        <v>-4.7666248618344516E-4</v>
      </c>
      <c r="M13" s="135">
        <f t="shared" si="5"/>
        <v>63</v>
      </c>
      <c r="N13" s="247">
        <f t="shared" si="6"/>
        <v>1.6912870684552581E-2</v>
      </c>
      <c r="O13" s="247">
        <f t="shared" si="7"/>
        <v>2.1390393714556231E-2</v>
      </c>
      <c r="P13" s="247">
        <f t="shared" si="8"/>
        <v>5.0799652755133082E-2</v>
      </c>
      <c r="Q13" s="247">
        <f t="shared" si="9"/>
        <v>-5.3768416741303039E-3</v>
      </c>
    </row>
    <row r="14" spans="1:17" ht="16.5">
      <c r="A14" s="378" t="s">
        <v>269</v>
      </c>
      <c r="B14" s="118" t="s">
        <v>270</v>
      </c>
      <c r="C14" s="267">
        <v>21</v>
      </c>
      <c r="D14" s="276">
        <v>0.95553107899846135</v>
      </c>
      <c r="E14" s="277">
        <v>6.0854235526472934E-2</v>
      </c>
      <c r="F14" s="277">
        <v>1</v>
      </c>
      <c r="G14" s="277">
        <v>0.77296837241904259</v>
      </c>
      <c r="H14" s="248">
        <v>47</v>
      </c>
      <c r="I14" s="247">
        <v>0.97038297872340418</v>
      </c>
      <c r="J14" s="247">
        <v>4.9196391344986913E-2</v>
      </c>
      <c r="K14" s="247">
        <v>1</v>
      </c>
      <c r="L14" s="247">
        <v>0.82279380468844343</v>
      </c>
      <c r="M14" s="135">
        <f t="shared" si="5"/>
        <v>68</v>
      </c>
      <c r="N14" s="247">
        <f t="shared" si="6"/>
        <v>0.96579636263187774</v>
      </c>
      <c r="O14" s="247">
        <f t="shared" si="7"/>
        <v>5.5025313435729924E-2</v>
      </c>
      <c r="P14" s="247">
        <f t="shared" si="8"/>
        <v>1</v>
      </c>
      <c r="Q14" s="247">
        <f t="shared" si="9"/>
        <v>0.77296837241904259</v>
      </c>
    </row>
    <row r="15" spans="1:17" ht="16.5">
      <c r="A15" s="378"/>
      <c r="B15" s="118" t="s">
        <v>271</v>
      </c>
      <c r="C15" s="267">
        <v>9</v>
      </c>
      <c r="D15" s="274">
        <v>0.79130434782608705</v>
      </c>
      <c r="E15" s="275">
        <v>9.9050310868646449E-2</v>
      </c>
      <c r="F15" s="275">
        <v>0.89035465869473351</v>
      </c>
      <c r="G15" s="275">
        <v>0.69225403695744059</v>
      </c>
      <c r="H15" s="248">
        <v>23</v>
      </c>
      <c r="I15" s="246">
        <v>0.76086956521739135</v>
      </c>
      <c r="J15" s="246">
        <v>0.19078576856297769</v>
      </c>
      <c r="K15" s="246">
        <v>0.95165533378036904</v>
      </c>
      <c r="L15" s="246">
        <v>0.57008379665441367</v>
      </c>
      <c r="M15" s="135">
        <f t="shared" si="5"/>
        <v>32</v>
      </c>
      <c r="N15" s="136">
        <f t="shared" si="6"/>
        <v>0.76942934782608696</v>
      </c>
      <c r="O15" s="136">
        <f t="shared" si="7"/>
        <v>0.14491803971581207</v>
      </c>
      <c r="P15" s="136">
        <f t="shared" si="8"/>
        <v>0.95165533378036904</v>
      </c>
      <c r="Q15" s="136">
        <f t="shared" si="9"/>
        <v>0.57008379665441367</v>
      </c>
    </row>
    <row r="16" spans="1:17" ht="16.5">
      <c r="A16" s="378"/>
      <c r="B16" s="118" t="s">
        <v>272</v>
      </c>
      <c r="C16" s="267">
        <v>17</v>
      </c>
      <c r="D16" s="274">
        <v>0.53529549671531029</v>
      </c>
      <c r="E16" s="275">
        <v>0.24217951272020116</v>
      </c>
      <c r="F16" s="275">
        <v>0.7774750094355114</v>
      </c>
      <c r="G16" s="275">
        <v>0.29311598399510913</v>
      </c>
      <c r="H16" s="248">
        <v>29</v>
      </c>
      <c r="I16" s="246">
        <v>0.51310344827586218</v>
      </c>
      <c r="J16" s="246">
        <v>0.27483895866847263</v>
      </c>
      <c r="K16" s="246">
        <v>0.78794240694433482</v>
      </c>
      <c r="L16" s="246">
        <v>0.23826448960738955</v>
      </c>
      <c r="M16" s="135">
        <f t="shared" si="5"/>
        <v>46</v>
      </c>
      <c r="N16" s="136">
        <f t="shared" si="6"/>
        <v>0.52130485748174515</v>
      </c>
      <c r="O16" s="136">
        <f t="shared" si="7"/>
        <v>0.25850923569433693</v>
      </c>
      <c r="P16" s="136">
        <f t="shared" si="8"/>
        <v>0.78794240694433482</v>
      </c>
      <c r="Q16" s="136">
        <f t="shared" si="9"/>
        <v>0.23826448960738955</v>
      </c>
    </row>
    <row r="17" spans="1:17" ht="16.5">
      <c r="A17" s="378" t="s">
        <v>273</v>
      </c>
      <c r="B17" s="118" t="s">
        <v>306</v>
      </c>
      <c r="C17" s="267">
        <v>25</v>
      </c>
      <c r="D17" s="274">
        <v>7.62386283963815</v>
      </c>
      <c r="E17" s="275">
        <v>2.5965700233248827</v>
      </c>
      <c r="F17" s="275">
        <v>10.220432862963033</v>
      </c>
      <c r="G17" s="275">
        <v>5.0272928163132669</v>
      </c>
      <c r="H17" s="248">
        <v>37</v>
      </c>
      <c r="I17" s="246">
        <v>6.9473243243243221</v>
      </c>
      <c r="J17" s="246">
        <v>2.190481657510948</v>
      </c>
      <c r="K17" s="246">
        <v>9.137805981835271</v>
      </c>
      <c r="L17" s="246">
        <v>4.7568426668133741</v>
      </c>
      <c r="M17" s="135">
        <f t="shared" si="5"/>
        <v>62</v>
      </c>
      <c r="N17" s="136">
        <f t="shared" si="6"/>
        <v>7.2201221127573172</v>
      </c>
      <c r="O17" s="136">
        <f t="shared" si="7"/>
        <v>2.3935258404179152</v>
      </c>
      <c r="P17" s="136">
        <f t="shared" si="8"/>
        <v>10.220432862963033</v>
      </c>
      <c r="Q17" s="136">
        <f t="shared" si="9"/>
        <v>4.7568426668133741</v>
      </c>
    </row>
    <row r="18" spans="1:17" ht="16.5">
      <c r="A18" s="378"/>
      <c r="B18" s="118" t="s">
        <v>274</v>
      </c>
      <c r="C18" s="267">
        <v>10</v>
      </c>
      <c r="D18" s="274">
        <v>1.4</v>
      </c>
      <c r="E18" s="275">
        <v>0.60369234254249482</v>
      </c>
      <c r="F18" s="275">
        <v>2.0036923425424948</v>
      </c>
      <c r="G18" s="275">
        <v>0.79630765745750509</v>
      </c>
      <c r="H18" s="280">
        <v>9</v>
      </c>
      <c r="I18" s="246">
        <v>1.5111111111111111</v>
      </c>
      <c r="J18" s="246">
        <v>0.82225975890293423</v>
      </c>
      <c r="K18" s="246">
        <v>2.3333708700140452</v>
      </c>
      <c r="L18" s="246">
        <v>0.68885135220817684</v>
      </c>
      <c r="M18" s="135">
        <f t="shared" si="5"/>
        <v>19</v>
      </c>
      <c r="N18" s="136">
        <f t="shared" si="6"/>
        <v>1.4526315789473685</v>
      </c>
      <c r="O18" s="136">
        <f t="shared" si="7"/>
        <v>0.71297605072271453</v>
      </c>
      <c r="P18" s="136">
        <f t="shared" si="8"/>
        <v>2.3333708700140452</v>
      </c>
      <c r="Q18" s="136">
        <f t="shared" si="9"/>
        <v>0.68885135220817684</v>
      </c>
    </row>
    <row r="19" spans="1:17" ht="16.5">
      <c r="A19" s="378"/>
      <c r="B19" s="118" t="s">
        <v>275</v>
      </c>
      <c r="C19" s="267">
        <v>25</v>
      </c>
      <c r="D19" s="274">
        <v>0</v>
      </c>
      <c r="E19" s="275">
        <v>0</v>
      </c>
      <c r="F19" s="275">
        <v>0</v>
      </c>
      <c r="G19" s="275">
        <v>0</v>
      </c>
      <c r="H19" s="248">
        <v>47</v>
      </c>
      <c r="I19" s="246">
        <v>0.51063829787234039</v>
      </c>
      <c r="J19" s="246">
        <v>1.8281891780325417</v>
      </c>
      <c r="K19" s="246">
        <v>2.3388274759048819</v>
      </c>
      <c r="L19" s="246">
        <v>0</v>
      </c>
      <c r="M19" s="135">
        <f t="shared" si="5"/>
        <v>72</v>
      </c>
      <c r="N19" s="136">
        <f t="shared" si="6"/>
        <v>0.33333333333333326</v>
      </c>
      <c r="O19" s="136">
        <f t="shared" si="7"/>
        <v>0.91409458901627083</v>
      </c>
      <c r="P19" s="136">
        <f t="shared" si="8"/>
        <v>2.3388274759048819</v>
      </c>
      <c r="Q19" s="136">
        <f t="shared" si="9"/>
        <v>0</v>
      </c>
    </row>
    <row r="20" spans="1:17" ht="16.5">
      <c r="A20" s="378"/>
      <c r="B20" s="118" t="s">
        <v>276</v>
      </c>
      <c r="C20" s="267">
        <v>28</v>
      </c>
      <c r="D20" s="274">
        <v>0</v>
      </c>
      <c r="E20" s="275">
        <v>0</v>
      </c>
      <c r="F20" s="275">
        <v>0</v>
      </c>
      <c r="G20" s="275">
        <v>0</v>
      </c>
      <c r="H20" s="248">
        <v>47</v>
      </c>
      <c r="I20" s="246">
        <v>0</v>
      </c>
      <c r="J20" s="246">
        <v>0</v>
      </c>
      <c r="K20" s="246">
        <v>0</v>
      </c>
      <c r="L20" s="246">
        <v>0</v>
      </c>
      <c r="M20" s="135">
        <f t="shared" si="5"/>
        <v>75</v>
      </c>
      <c r="N20" s="136">
        <f t="shared" si="6"/>
        <v>0</v>
      </c>
      <c r="O20" s="136">
        <f t="shared" si="7"/>
        <v>0</v>
      </c>
      <c r="P20" s="136">
        <f t="shared" si="8"/>
        <v>0</v>
      </c>
      <c r="Q20" s="136">
        <f t="shared" si="9"/>
        <v>0</v>
      </c>
    </row>
    <row r="21" spans="1:17" ht="16.5">
      <c r="A21" s="378" t="s">
        <v>277</v>
      </c>
      <c r="B21" s="118" t="s">
        <v>278</v>
      </c>
      <c r="C21" s="267">
        <v>21</v>
      </c>
      <c r="D21" s="274">
        <v>0.3577429072981701</v>
      </c>
      <c r="E21" s="275">
        <v>0.38085023482838792</v>
      </c>
      <c r="F21" s="275">
        <v>0.73859314212655802</v>
      </c>
      <c r="G21" s="275">
        <v>0</v>
      </c>
      <c r="H21" s="248">
        <v>32</v>
      </c>
      <c r="I21" s="246">
        <v>0.43843749999999992</v>
      </c>
      <c r="J21" s="246">
        <v>0.41223317372104967</v>
      </c>
      <c r="K21" s="246">
        <v>0.85067067372104965</v>
      </c>
      <c r="L21" s="246">
        <v>2.6204326278950252E-2</v>
      </c>
      <c r="M21" s="135">
        <f t="shared" si="5"/>
        <v>53</v>
      </c>
      <c r="N21" s="136">
        <f t="shared" si="6"/>
        <v>0.40646417081625608</v>
      </c>
      <c r="O21" s="136">
        <f t="shared" si="7"/>
        <v>0.3965417042747188</v>
      </c>
      <c r="P21" s="136">
        <f t="shared" si="8"/>
        <v>0.85067067372104965</v>
      </c>
      <c r="Q21" s="136">
        <f t="shared" si="9"/>
        <v>0</v>
      </c>
    </row>
    <row r="22" spans="1:17" ht="16.5">
      <c r="A22" s="378"/>
      <c r="B22" s="118" t="s">
        <v>279</v>
      </c>
      <c r="C22" s="267">
        <v>23</v>
      </c>
      <c r="D22" s="274">
        <v>6.2943022216876449E-2</v>
      </c>
      <c r="E22" s="275">
        <v>0.10786538456212279</v>
      </c>
      <c r="F22" s="275">
        <v>0.17080840677899922</v>
      </c>
      <c r="G22" s="275">
        <v>0</v>
      </c>
      <c r="H22" s="248">
        <v>31</v>
      </c>
      <c r="I22" s="246">
        <v>7.9793548387096791E-2</v>
      </c>
      <c r="J22" s="246">
        <v>5.2773616738441484E-2</v>
      </c>
      <c r="K22" s="246">
        <v>0.13256716512553829</v>
      </c>
      <c r="L22" s="246">
        <v>2.7019931648655307E-2</v>
      </c>
      <c r="M22" s="135">
        <f t="shared" si="5"/>
        <v>54</v>
      </c>
      <c r="N22" s="136">
        <f t="shared" si="6"/>
        <v>7.2616472425706652E-2</v>
      </c>
      <c r="O22" s="136">
        <f t="shared" si="7"/>
        <v>8.0319500650282136E-2</v>
      </c>
      <c r="P22" s="136">
        <f t="shared" si="8"/>
        <v>0.17080840677899922</v>
      </c>
      <c r="Q22" s="136">
        <f t="shared" si="9"/>
        <v>0</v>
      </c>
    </row>
    <row r="23" spans="1:17" ht="16.5">
      <c r="A23" s="378"/>
      <c r="B23" s="118" t="s">
        <v>280</v>
      </c>
      <c r="C23" s="267">
        <v>26</v>
      </c>
      <c r="D23" s="274">
        <v>36.752099065366842</v>
      </c>
      <c r="E23" s="275">
        <v>34.629393049001372</v>
      </c>
      <c r="F23" s="275">
        <v>71.381492114368214</v>
      </c>
      <c r="G23" s="275">
        <v>2.1227060163654698</v>
      </c>
      <c r="H23" s="248">
        <v>39</v>
      </c>
      <c r="I23" s="246">
        <v>19.64096332212403</v>
      </c>
      <c r="J23" s="246">
        <v>8.8202930076552253</v>
      </c>
      <c r="K23" s="246">
        <v>28.461256329779253</v>
      </c>
      <c r="L23" s="246">
        <v>10.820670314468805</v>
      </c>
      <c r="M23" s="135">
        <f t="shared" si="5"/>
        <v>65</v>
      </c>
      <c r="N23" s="136">
        <f t="shared" si="6"/>
        <v>26.485417619421153</v>
      </c>
      <c r="O23" s="136">
        <f t="shared" si="7"/>
        <v>21.724843028328298</v>
      </c>
      <c r="P23" s="136">
        <f t="shared" si="8"/>
        <v>71.381492114368214</v>
      </c>
      <c r="Q23" s="136">
        <f t="shared" si="9"/>
        <v>2.1227060163654698</v>
      </c>
    </row>
    <row r="24" spans="1:17" ht="16.5">
      <c r="A24" s="378"/>
      <c r="B24" s="118" t="s">
        <v>281</v>
      </c>
      <c r="C24" s="267">
        <v>18</v>
      </c>
      <c r="D24" s="276">
        <v>0.48805306623890654</v>
      </c>
      <c r="E24" s="277">
        <v>0.24633640581355351</v>
      </c>
      <c r="F24" s="277">
        <v>0.73438947205246008</v>
      </c>
      <c r="G24" s="277">
        <v>0.24171666042535303</v>
      </c>
      <c r="H24" s="248">
        <v>29</v>
      </c>
      <c r="I24" s="247">
        <v>0.50374137931034479</v>
      </c>
      <c r="J24" s="247">
        <v>0.25835081840291929</v>
      </c>
      <c r="K24" s="247">
        <v>0.76209219771326409</v>
      </c>
      <c r="L24" s="247">
        <v>0.2453905609074255</v>
      </c>
      <c r="M24" s="135">
        <f t="shared" si="5"/>
        <v>47</v>
      </c>
      <c r="N24" s="247">
        <f t="shared" si="6"/>
        <v>0.49773308919787906</v>
      </c>
      <c r="O24" s="247">
        <f t="shared" si="7"/>
        <v>0.25234361210823641</v>
      </c>
      <c r="P24" s="247">
        <f t="shared" si="8"/>
        <v>0.76209219771326409</v>
      </c>
      <c r="Q24" s="247">
        <f t="shared" si="9"/>
        <v>0.24171666042535303</v>
      </c>
    </row>
    <row r="25" spans="1:17" ht="16.5">
      <c r="A25" s="378"/>
      <c r="B25" s="118" t="s">
        <v>282</v>
      </c>
      <c r="C25" s="267">
        <v>27</v>
      </c>
      <c r="D25" s="274">
        <v>4.8517070017741162</v>
      </c>
      <c r="E25" s="275">
        <v>2.862225771031222</v>
      </c>
      <c r="F25" s="275">
        <v>7.7139327728053377</v>
      </c>
      <c r="G25" s="275">
        <v>1.9894812307428942</v>
      </c>
      <c r="H25" s="248">
        <v>43</v>
      </c>
      <c r="I25" s="246">
        <v>6.7330232558139542</v>
      </c>
      <c r="J25" s="246">
        <v>6.107181383570266</v>
      </c>
      <c r="K25" s="246">
        <v>12.84020463938422</v>
      </c>
      <c r="L25" s="246">
        <v>0.62584187224368826</v>
      </c>
      <c r="M25" s="135">
        <f t="shared" si="5"/>
        <v>70</v>
      </c>
      <c r="N25" s="136">
        <f t="shared" si="6"/>
        <v>6.0073727006843027</v>
      </c>
      <c r="O25" s="136">
        <f t="shared" si="7"/>
        <v>4.4847035773007438</v>
      </c>
      <c r="P25" s="136">
        <f t="shared" si="8"/>
        <v>12.84020463938422</v>
      </c>
      <c r="Q25" s="136">
        <f t="shared" si="9"/>
        <v>0.62584187224368826</v>
      </c>
    </row>
    <row r="26" spans="1:17" ht="16.5">
      <c r="A26" s="224" t="s">
        <v>283</v>
      </c>
      <c r="B26" s="118" t="s">
        <v>284</v>
      </c>
      <c r="C26" s="267">
        <v>12</v>
      </c>
      <c r="D26" s="274">
        <v>0.42113489200078819</v>
      </c>
      <c r="E26" s="275">
        <v>0.3796514085756203</v>
      </c>
      <c r="F26" s="275">
        <v>0.80078630057640843</v>
      </c>
      <c r="G26" s="275">
        <v>4.1483483425167889E-2</v>
      </c>
      <c r="H26" s="248">
        <v>21</v>
      </c>
      <c r="I26" s="246">
        <v>0.42476190476190484</v>
      </c>
      <c r="J26" s="246">
        <v>0.13840589032331838</v>
      </c>
      <c r="K26" s="246">
        <v>0.56316779508522319</v>
      </c>
      <c r="L26" s="246">
        <v>0.28635601443858649</v>
      </c>
      <c r="M26" s="135">
        <f t="shared" si="5"/>
        <v>33</v>
      </c>
      <c r="N26" s="136">
        <f t="shared" si="6"/>
        <v>0.42344299103058969</v>
      </c>
      <c r="O26" s="136">
        <f t="shared" si="7"/>
        <v>0.25902864944946935</v>
      </c>
      <c r="P26" s="136">
        <f t="shared" si="8"/>
        <v>0.80078630057640843</v>
      </c>
      <c r="Q26" s="136">
        <f t="shared" si="9"/>
        <v>4.1483483425167889E-2</v>
      </c>
    </row>
    <row r="27" spans="1:17" ht="16.5">
      <c r="A27" s="378" t="s">
        <v>285</v>
      </c>
      <c r="B27" s="118" t="s">
        <v>286</v>
      </c>
      <c r="C27" s="267">
        <v>3</v>
      </c>
      <c r="D27" s="274">
        <v>3.3333333333333333E-2</v>
      </c>
      <c r="E27" s="275">
        <v>5.7735026918962581E-2</v>
      </c>
      <c r="F27" s="275">
        <v>9.1068360252295921E-2</v>
      </c>
      <c r="G27" s="275">
        <v>0</v>
      </c>
      <c r="H27" s="248">
        <v>23</v>
      </c>
      <c r="I27" s="246">
        <v>8.6956521739130436E-3</v>
      </c>
      <c r="J27" s="246">
        <v>2.8810406552003041E-2</v>
      </c>
      <c r="K27" s="246">
        <v>3.7506058725916086E-2</v>
      </c>
      <c r="L27" s="246">
        <v>0</v>
      </c>
      <c r="M27" s="135">
        <f t="shared" si="5"/>
        <v>26</v>
      </c>
      <c r="N27" s="136">
        <f t="shared" si="6"/>
        <v>1.1538461538461541E-2</v>
      </c>
      <c r="O27" s="136">
        <f t="shared" si="7"/>
        <v>4.3272716735482809E-2</v>
      </c>
      <c r="P27" s="136">
        <f t="shared" si="8"/>
        <v>9.1068360252295921E-2</v>
      </c>
      <c r="Q27" s="136">
        <f t="shared" si="9"/>
        <v>0</v>
      </c>
    </row>
    <row r="28" spans="1:17" ht="16.5">
      <c r="A28" s="378"/>
      <c r="B28" s="118" t="s">
        <v>287</v>
      </c>
      <c r="C28" s="267">
        <v>3</v>
      </c>
      <c r="D28" s="274">
        <v>6.6666666666666671E-3</v>
      </c>
      <c r="E28" s="275">
        <v>1.1547005383792516E-2</v>
      </c>
      <c r="F28" s="275">
        <v>1.8213672050459182E-2</v>
      </c>
      <c r="G28" s="275">
        <v>0</v>
      </c>
      <c r="H28" s="248">
        <v>31</v>
      </c>
      <c r="I28" s="246">
        <v>2.5483870967741937E-2</v>
      </c>
      <c r="J28" s="246">
        <v>8.2090954015547876E-2</v>
      </c>
      <c r="K28" s="246">
        <v>0.10757482498328981</v>
      </c>
      <c r="L28" s="246">
        <v>0</v>
      </c>
      <c r="M28" s="135">
        <f t="shared" si="5"/>
        <v>34</v>
      </c>
      <c r="N28" s="136">
        <f t="shared" si="6"/>
        <v>2.3823529411764709E-2</v>
      </c>
      <c r="O28" s="136">
        <f t="shared" si="7"/>
        <v>4.6818979699670193E-2</v>
      </c>
      <c r="P28" s="136">
        <f t="shared" si="8"/>
        <v>0.10757482498328981</v>
      </c>
      <c r="Q28" s="136">
        <f t="shared" si="9"/>
        <v>0</v>
      </c>
    </row>
    <row r="29" spans="1:17" ht="16.5">
      <c r="A29" s="378" t="s">
        <v>288</v>
      </c>
      <c r="B29" s="118" t="s">
        <v>289</v>
      </c>
      <c r="C29" s="267">
        <v>28</v>
      </c>
      <c r="D29" s="274">
        <v>0.85035714285714281</v>
      </c>
      <c r="E29" s="275">
        <v>1.2568198614046342</v>
      </c>
      <c r="F29" s="275">
        <v>2.1071770042617768</v>
      </c>
      <c r="G29" s="275">
        <v>0</v>
      </c>
      <c r="H29" s="248">
        <v>47</v>
      </c>
      <c r="I29" s="246">
        <v>0.87765957446808507</v>
      </c>
      <c r="J29" s="246">
        <v>1.1579502369084504</v>
      </c>
      <c r="K29" s="246">
        <v>2.0356098113765357</v>
      </c>
      <c r="L29" s="246">
        <v>0</v>
      </c>
      <c r="M29" s="135">
        <f t="shared" si="5"/>
        <v>75</v>
      </c>
      <c r="N29" s="136">
        <f t="shared" si="6"/>
        <v>0.86746666666666672</v>
      </c>
      <c r="O29" s="136">
        <f t="shared" si="7"/>
        <v>1.2073850491565423</v>
      </c>
      <c r="P29" s="136">
        <f t="shared" si="8"/>
        <v>2.1071770042617768</v>
      </c>
      <c r="Q29" s="136">
        <f t="shared" si="9"/>
        <v>0</v>
      </c>
    </row>
    <row r="30" spans="1:17" ht="16.5">
      <c r="A30" s="378"/>
      <c r="B30" s="118" t="s">
        <v>290</v>
      </c>
      <c r="C30" s="267">
        <v>23</v>
      </c>
      <c r="D30" s="274">
        <v>0</v>
      </c>
      <c r="E30" s="275">
        <v>0</v>
      </c>
      <c r="F30" s="275">
        <v>0</v>
      </c>
      <c r="G30" s="275">
        <v>0</v>
      </c>
      <c r="H30" s="248">
        <v>45</v>
      </c>
      <c r="I30" s="246">
        <v>0</v>
      </c>
      <c r="J30" s="246">
        <v>0</v>
      </c>
      <c r="K30" s="246">
        <v>0</v>
      </c>
      <c r="L30" s="246">
        <v>0</v>
      </c>
      <c r="M30" s="135">
        <f t="shared" si="5"/>
        <v>68</v>
      </c>
      <c r="N30" s="136">
        <f t="shared" si="6"/>
        <v>0</v>
      </c>
      <c r="O30" s="136">
        <f t="shared" si="7"/>
        <v>0</v>
      </c>
      <c r="P30" s="136">
        <f t="shared" si="8"/>
        <v>0</v>
      </c>
      <c r="Q30" s="136">
        <f t="shared" si="9"/>
        <v>0</v>
      </c>
    </row>
    <row r="31" spans="1:17" ht="16.5">
      <c r="A31" s="380" t="s">
        <v>291</v>
      </c>
      <c r="B31" s="118" t="s">
        <v>292</v>
      </c>
      <c r="C31" s="267">
        <v>27</v>
      </c>
      <c r="D31" s="276">
        <v>0.94007407407407395</v>
      </c>
      <c r="E31" s="277">
        <v>0.12153028300226146</v>
      </c>
      <c r="F31" s="277">
        <v>1</v>
      </c>
      <c r="G31" s="277">
        <v>0.81854379107181252</v>
      </c>
      <c r="H31" s="248">
        <v>40</v>
      </c>
      <c r="I31" s="247">
        <v>0.94924999999999993</v>
      </c>
      <c r="J31" s="247">
        <v>9.4614941629148519E-2</v>
      </c>
      <c r="K31" s="247">
        <v>1</v>
      </c>
      <c r="L31" s="247">
        <v>0.66540517511255437</v>
      </c>
      <c r="M31" s="135">
        <f t="shared" si="5"/>
        <v>67</v>
      </c>
      <c r="N31" s="247">
        <f t="shared" si="6"/>
        <v>0.94555223880597006</v>
      </c>
      <c r="O31" s="247">
        <f t="shared" si="7"/>
        <v>0.10807261231570499</v>
      </c>
      <c r="P31" s="247">
        <f t="shared" si="8"/>
        <v>1</v>
      </c>
      <c r="Q31" s="247">
        <f t="shared" si="9"/>
        <v>0.66540517511255437</v>
      </c>
    </row>
    <row r="32" spans="1:17" ht="16.5">
      <c r="A32" s="381"/>
      <c r="B32" s="118" t="s">
        <v>293</v>
      </c>
      <c r="C32" s="267">
        <v>10</v>
      </c>
      <c r="D32" s="274">
        <v>2.9129999999999998</v>
      </c>
      <c r="E32" s="275">
        <v>0.93452364573853597</v>
      </c>
      <c r="F32" s="275">
        <v>3.8475236457385358</v>
      </c>
      <c r="G32" s="275">
        <v>1.9784763542614638</v>
      </c>
      <c r="H32" s="280">
        <v>10</v>
      </c>
      <c r="I32" s="246">
        <v>2.2310000000000003</v>
      </c>
      <c r="J32" s="246">
        <v>0.41666533333119959</v>
      </c>
      <c r="K32" s="246">
        <v>2.6476653333311999</v>
      </c>
      <c r="L32" s="246">
        <v>1.8143346666688007</v>
      </c>
      <c r="M32" s="135">
        <f t="shared" si="5"/>
        <v>20</v>
      </c>
      <c r="N32" s="136">
        <f t="shared" si="6"/>
        <v>2.5720000000000001</v>
      </c>
      <c r="O32" s="136">
        <f t="shared" si="7"/>
        <v>0.67559448953486778</v>
      </c>
      <c r="P32" s="136">
        <f t="shared" si="8"/>
        <v>3.8475236457385358</v>
      </c>
      <c r="Q32" s="136">
        <f t="shared" si="9"/>
        <v>1.8143346666688007</v>
      </c>
    </row>
    <row r="33" spans="1:17" ht="16.5">
      <c r="A33" s="381"/>
      <c r="B33" s="118" t="s">
        <v>294</v>
      </c>
      <c r="C33" s="267">
        <v>16</v>
      </c>
      <c r="D33" s="274">
        <v>15.534999999999998</v>
      </c>
      <c r="E33" s="275">
        <v>3.5377865019434633</v>
      </c>
      <c r="F33" s="275">
        <v>19.072786501943462</v>
      </c>
      <c r="G33" s="275">
        <v>11.997213498056535</v>
      </c>
      <c r="H33" s="248">
        <v>22</v>
      </c>
      <c r="I33" s="246">
        <v>11.880454545454546</v>
      </c>
      <c r="J33" s="246">
        <v>2.684412638198761</v>
      </c>
      <c r="K33" s="246">
        <v>14.564867183653307</v>
      </c>
      <c r="L33" s="246">
        <v>9.1960419072557844</v>
      </c>
      <c r="M33" s="135">
        <f t="shared" si="5"/>
        <v>38</v>
      </c>
      <c r="N33" s="136">
        <f t="shared" si="6"/>
        <v>13.419210526315789</v>
      </c>
      <c r="O33" s="136">
        <f t="shared" si="7"/>
        <v>3.1110995700711124</v>
      </c>
      <c r="P33" s="136">
        <f t="shared" si="8"/>
        <v>19.072786501943462</v>
      </c>
      <c r="Q33" s="136">
        <f t="shared" si="9"/>
        <v>9.1960419072557844</v>
      </c>
    </row>
    <row r="34" spans="1:17" ht="16.5">
      <c r="A34" s="381"/>
      <c r="B34" s="118" t="s">
        <v>295</v>
      </c>
      <c r="C34" s="267">
        <v>9</v>
      </c>
      <c r="D34" s="274">
        <v>1.6555555555555557</v>
      </c>
      <c r="E34" s="275">
        <v>0.33208098075285447</v>
      </c>
      <c r="F34" s="275">
        <v>1.9876365363084101</v>
      </c>
      <c r="G34" s="275">
        <v>1.3234745748027013</v>
      </c>
      <c r="H34" s="248">
        <v>16</v>
      </c>
      <c r="I34" s="246">
        <v>1.775625</v>
      </c>
      <c r="J34" s="246">
        <v>0.23773847676245718</v>
      </c>
      <c r="K34" s="246">
        <v>2.0133634767624571</v>
      </c>
      <c r="L34" s="246">
        <v>1.5378865232375429</v>
      </c>
      <c r="M34" s="135">
        <f t="shared" si="5"/>
        <v>25</v>
      </c>
      <c r="N34" s="136">
        <f t="shared" si="6"/>
        <v>1.7324000000000002</v>
      </c>
      <c r="O34" s="136">
        <f t="shared" si="7"/>
        <v>0.28490972875765586</v>
      </c>
      <c r="P34" s="136">
        <f t="shared" si="8"/>
        <v>2.0133634767624571</v>
      </c>
      <c r="Q34" s="136">
        <f t="shared" si="9"/>
        <v>1.3234745748027013</v>
      </c>
    </row>
    <row r="35" spans="1:17" ht="16.5">
      <c r="A35" s="382"/>
      <c r="B35" s="118" t="s">
        <v>296</v>
      </c>
      <c r="C35" s="267">
        <v>6</v>
      </c>
      <c r="D35" s="274">
        <v>2.52</v>
      </c>
      <c r="E35" s="275">
        <v>1.2737346662472522</v>
      </c>
      <c r="F35" s="275">
        <v>3.7937346662472522</v>
      </c>
      <c r="G35" s="275">
        <v>1.2462653337527478</v>
      </c>
      <c r="H35" s="248">
        <v>18</v>
      </c>
      <c r="I35" s="251">
        <v>2.0555555555555554</v>
      </c>
      <c r="J35" s="246">
        <v>0.23570226039551564</v>
      </c>
      <c r="K35" s="251">
        <v>2.291257815951071</v>
      </c>
      <c r="L35" s="246">
        <v>1.8198532951600397</v>
      </c>
      <c r="M35" s="135">
        <f t="shared" si="5"/>
        <v>24</v>
      </c>
      <c r="N35" s="136">
        <f t="shared" si="6"/>
        <v>2.1716666666666669</v>
      </c>
      <c r="O35" s="136">
        <f t="shared" si="7"/>
        <v>0.75471846332138393</v>
      </c>
      <c r="P35" s="136">
        <f t="shared" si="8"/>
        <v>3.7937346662472522</v>
      </c>
      <c r="Q35" s="136">
        <f t="shared" si="9"/>
        <v>1.2462653337527478</v>
      </c>
    </row>
    <row r="36" spans="1:17" ht="16.5">
      <c r="A36" s="382"/>
      <c r="B36" s="118" t="s">
        <v>297</v>
      </c>
      <c r="C36" s="275"/>
      <c r="D36" s="275" t="s">
        <v>87</v>
      </c>
      <c r="E36" s="275" t="s">
        <v>87</v>
      </c>
      <c r="F36" s="275" t="s">
        <v>87</v>
      </c>
      <c r="G36" s="275" t="s">
        <v>87</v>
      </c>
      <c r="H36" s="248">
        <v>15</v>
      </c>
      <c r="I36" s="246">
        <v>0.5</v>
      </c>
      <c r="J36" s="246">
        <v>0</v>
      </c>
      <c r="K36" s="246">
        <v>0.5</v>
      </c>
      <c r="L36" s="246">
        <v>0.5</v>
      </c>
      <c r="M36" s="248">
        <v>15</v>
      </c>
      <c r="N36" s="246">
        <v>0.5</v>
      </c>
      <c r="O36" s="246">
        <v>0</v>
      </c>
      <c r="P36" s="246">
        <v>0.5</v>
      </c>
      <c r="Q36" s="246">
        <v>0.5</v>
      </c>
    </row>
    <row r="37" spans="1:17" ht="16.5">
      <c r="A37" s="383"/>
      <c r="B37" s="118" t="s">
        <v>298</v>
      </c>
      <c r="C37" s="267">
        <v>8</v>
      </c>
      <c r="D37" s="274">
        <v>1.25</v>
      </c>
      <c r="E37" s="275">
        <v>0.46291004988627571</v>
      </c>
      <c r="F37" s="275">
        <v>1.7129100498862757</v>
      </c>
      <c r="G37" s="275">
        <v>0.78708995011372429</v>
      </c>
      <c r="H37" s="248">
        <v>20</v>
      </c>
      <c r="I37" s="246">
        <v>1.216</v>
      </c>
      <c r="J37" s="246">
        <v>0.3425661672543982</v>
      </c>
      <c r="K37" s="246">
        <v>1.5585661672543982</v>
      </c>
      <c r="L37" s="246">
        <v>0.87343383274560171</v>
      </c>
      <c r="M37" s="135">
        <f t="shared" si="5"/>
        <v>28</v>
      </c>
      <c r="N37" s="136">
        <f t="shared" si="6"/>
        <v>1.2257142857142858</v>
      </c>
      <c r="O37" s="136">
        <f t="shared" si="7"/>
        <v>0.40273810857033698</v>
      </c>
      <c r="P37" s="136">
        <f t="shared" si="8"/>
        <v>1.7129100498862757</v>
      </c>
      <c r="Q37" s="136">
        <f t="shared" si="9"/>
        <v>0.78708995011372429</v>
      </c>
    </row>
    <row r="38" spans="1:17" ht="16.5">
      <c r="A38" s="364" t="s">
        <v>299</v>
      </c>
      <c r="B38" s="118" t="s">
        <v>300</v>
      </c>
      <c r="C38" s="267">
        <v>23</v>
      </c>
      <c r="D38" s="274">
        <v>0</v>
      </c>
      <c r="E38" s="275">
        <v>0</v>
      </c>
      <c r="F38" s="275">
        <v>0</v>
      </c>
      <c r="G38" s="275">
        <v>0</v>
      </c>
      <c r="H38" s="248">
        <v>47</v>
      </c>
      <c r="I38" s="246">
        <v>0</v>
      </c>
      <c r="J38" s="246">
        <v>0</v>
      </c>
      <c r="K38" s="246">
        <v>0</v>
      </c>
      <c r="L38" s="246">
        <v>0</v>
      </c>
      <c r="M38" s="135">
        <f t="shared" si="5"/>
        <v>70</v>
      </c>
      <c r="N38" s="136">
        <f t="shared" si="6"/>
        <v>0</v>
      </c>
      <c r="O38" s="136">
        <f t="shared" si="7"/>
        <v>0</v>
      </c>
      <c r="P38" s="136">
        <f t="shared" si="8"/>
        <v>0</v>
      </c>
      <c r="Q38" s="136">
        <f t="shared" si="9"/>
        <v>0</v>
      </c>
    </row>
    <row r="39" spans="1:17" ht="16.5">
      <c r="A39" s="364"/>
      <c r="B39" s="118" t="s">
        <v>301</v>
      </c>
      <c r="C39" s="267">
        <v>29</v>
      </c>
      <c r="D39" s="274">
        <v>2.2480689655172421</v>
      </c>
      <c r="E39" s="275">
        <v>0.9790911941706254</v>
      </c>
      <c r="F39" s="275">
        <v>3.2271601596878674</v>
      </c>
      <c r="G39" s="275">
        <v>1.2689777713466168</v>
      </c>
      <c r="H39" s="248">
        <v>45</v>
      </c>
      <c r="I39" s="246">
        <v>2.6206666666666667</v>
      </c>
      <c r="J39" s="246">
        <v>0.7448166339320168</v>
      </c>
      <c r="K39" s="246">
        <v>3.3654833005986835</v>
      </c>
      <c r="L39" s="246">
        <v>1.8758500327346499</v>
      </c>
      <c r="M39" s="135">
        <f t="shared" si="5"/>
        <v>74</v>
      </c>
      <c r="N39" s="136">
        <f t="shared" si="6"/>
        <v>2.4746486486486488</v>
      </c>
      <c r="O39" s="136">
        <f t="shared" si="7"/>
        <v>0.86195391405132105</v>
      </c>
      <c r="P39" s="136">
        <f t="shared" si="8"/>
        <v>3.3654833005986835</v>
      </c>
      <c r="Q39" s="136">
        <f t="shared" si="9"/>
        <v>1.2689777713466168</v>
      </c>
    </row>
    <row r="40" spans="1:17" ht="16.5">
      <c r="A40" s="364"/>
      <c r="B40" s="118" t="s">
        <v>302</v>
      </c>
      <c r="C40" s="267">
        <v>26</v>
      </c>
      <c r="D40" s="276">
        <v>4.2573076923076915E-2</v>
      </c>
      <c r="E40" s="277">
        <v>1.5210984391348464E-2</v>
      </c>
      <c r="F40" s="277">
        <v>5.7784061314425379E-2</v>
      </c>
      <c r="G40" s="277">
        <v>2.7362092531728451E-2</v>
      </c>
      <c r="H40" s="248">
        <v>43</v>
      </c>
      <c r="I40" s="247">
        <v>4.1495348837209289E-2</v>
      </c>
      <c r="J40" s="247">
        <v>1.6474395046171531E-2</v>
      </c>
      <c r="K40" s="247">
        <v>5.7969743883380817E-2</v>
      </c>
      <c r="L40" s="247">
        <v>2.5020953791037758E-2</v>
      </c>
      <c r="M40" s="135">
        <f t="shared" si="5"/>
        <v>69</v>
      </c>
      <c r="N40" s="247">
        <f t="shared" si="6"/>
        <v>4.190144927536231E-2</v>
      </c>
      <c r="O40" s="247">
        <f t="shared" si="7"/>
        <v>1.5842689718759996E-2</v>
      </c>
      <c r="P40" s="247">
        <f t="shared" si="8"/>
        <v>5.7969743883380817E-2</v>
      </c>
      <c r="Q40" s="247">
        <f t="shared" si="9"/>
        <v>2.5020953791037758E-2</v>
      </c>
    </row>
    <row r="41" spans="1:17" ht="16.5">
      <c r="A41" s="364"/>
      <c r="B41" s="120" t="s">
        <v>303</v>
      </c>
      <c r="C41" s="267">
        <v>26</v>
      </c>
      <c r="D41" s="274">
        <v>0</v>
      </c>
      <c r="E41" s="275">
        <v>0</v>
      </c>
      <c r="F41" s="275">
        <v>0</v>
      </c>
      <c r="G41" s="275">
        <v>0</v>
      </c>
      <c r="H41" s="248">
        <v>43</v>
      </c>
      <c r="I41" s="246">
        <v>0</v>
      </c>
      <c r="J41" s="246">
        <v>0</v>
      </c>
      <c r="K41" s="246">
        <v>0</v>
      </c>
      <c r="L41" s="246">
        <v>0</v>
      </c>
      <c r="M41" s="135">
        <f t="shared" si="5"/>
        <v>69</v>
      </c>
      <c r="N41" s="136">
        <f t="shared" si="6"/>
        <v>0</v>
      </c>
      <c r="O41" s="136">
        <f t="shared" si="7"/>
        <v>0</v>
      </c>
      <c r="P41" s="136">
        <f t="shared" si="8"/>
        <v>0</v>
      </c>
      <c r="Q41" s="136">
        <f t="shared" si="9"/>
        <v>0</v>
      </c>
    </row>
    <row r="42" spans="1:17" ht="16.5">
      <c r="A42" s="364"/>
      <c r="B42" s="120" t="s">
        <v>304</v>
      </c>
      <c r="C42" s="267">
        <v>24</v>
      </c>
      <c r="D42" s="274">
        <v>0</v>
      </c>
      <c r="E42" s="275">
        <v>0</v>
      </c>
      <c r="F42" s="275">
        <v>0</v>
      </c>
      <c r="G42" s="275">
        <v>0</v>
      </c>
      <c r="H42" s="248">
        <v>43</v>
      </c>
      <c r="I42" s="246">
        <v>0</v>
      </c>
      <c r="J42" s="246">
        <v>0</v>
      </c>
      <c r="K42" s="246">
        <v>0</v>
      </c>
      <c r="L42" s="246">
        <v>0</v>
      </c>
      <c r="M42" s="135">
        <f t="shared" si="5"/>
        <v>67</v>
      </c>
      <c r="N42" s="136">
        <f t="shared" si="6"/>
        <v>0</v>
      </c>
      <c r="O42" s="136">
        <f t="shared" si="7"/>
        <v>0</v>
      </c>
      <c r="P42" s="136">
        <f t="shared" si="8"/>
        <v>0</v>
      </c>
      <c r="Q42" s="136">
        <f t="shared" si="9"/>
        <v>0</v>
      </c>
    </row>
    <row r="43" spans="1:17" ht="16.5">
      <c r="A43" s="364"/>
      <c r="B43" s="120" t="s">
        <v>305</v>
      </c>
      <c r="C43" s="267">
        <v>19</v>
      </c>
      <c r="D43" s="274">
        <v>89.612631578947358</v>
      </c>
      <c r="E43" s="275">
        <v>36.107079460051942</v>
      </c>
      <c r="F43" s="275">
        <v>125.71971103899929</v>
      </c>
      <c r="G43" s="275">
        <v>53.505552118895416</v>
      </c>
      <c r="H43" s="248">
        <v>29</v>
      </c>
      <c r="I43" s="246">
        <v>83.88000000000001</v>
      </c>
      <c r="J43" s="246">
        <v>44.853728703101439</v>
      </c>
      <c r="K43" s="246">
        <v>128.73372870310146</v>
      </c>
      <c r="L43" s="246">
        <v>39.026271296898571</v>
      </c>
      <c r="M43" s="135">
        <f t="shared" si="5"/>
        <v>48</v>
      </c>
      <c r="N43" s="136">
        <f t="shared" si="6"/>
        <v>86.149166666666659</v>
      </c>
      <c r="O43" s="136">
        <f t="shared" si="7"/>
        <v>40.480404081576694</v>
      </c>
      <c r="P43" s="136">
        <f t="shared" si="8"/>
        <v>128.73372870310146</v>
      </c>
      <c r="Q43" s="136">
        <f t="shared" si="9"/>
        <v>39.026271296898571</v>
      </c>
    </row>
  </sheetData>
  <mergeCells count="12">
    <mergeCell ref="A14:A16"/>
    <mergeCell ref="A1:B2"/>
    <mergeCell ref="C1:G1"/>
    <mergeCell ref="H1:L1"/>
    <mergeCell ref="M1:Q1"/>
    <mergeCell ref="A3:A13"/>
    <mergeCell ref="A17:A20"/>
    <mergeCell ref="A21:A25"/>
    <mergeCell ref="A27:A28"/>
    <mergeCell ref="A29:A30"/>
    <mergeCell ref="A38:A43"/>
    <mergeCell ref="A31:A37"/>
  </mergeCells>
  <phoneticPr fontId="26" type="noConversion"/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>
    <oddHeader>&amp;L&amp;G&amp;C&amp;F&amp;R文档密级</oddHeader>
    <oddFooter>&amp;L&amp;D&amp;C华为保密信息,未经授权禁止扩散&amp;R第&amp;P页，共&amp;N页</oddFooter>
  </headerFooter>
  <legacyDrawingHF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43"/>
  <sheetViews>
    <sheetView topLeftCell="A28" workbookViewId="0">
      <selection activeCell="A31" sqref="A31:A37"/>
    </sheetView>
  </sheetViews>
  <sheetFormatPr defaultRowHeight="14.25"/>
  <cols>
    <col min="1" max="1" width="9" style="116"/>
    <col min="2" max="2" width="35.5" style="116" bestFit="1" customWidth="1"/>
    <col min="3" max="4" width="7.25" style="116" customWidth="1"/>
    <col min="5" max="5" width="7.5" style="116" customWidth="1"/>
    <col min="6" max="9" width="7.25" style="116" customWidth="1"/>
    <col min="10" max="10" width="5.875" style="116" customWidth="1"/>
    <col min="11" max="12" width="7.25" style="116" customWidth="1"/>
    <col min="13" max="16384" width="9" style="116"/>
  </cols>
  <sheetData>
    <row r="1" spans="1:17" ht="14.25" customHeight="1">
      <c r="A1" s="379" t="s">
        <v>339</v>
      </c>
      <c r="B1" s="379"/>
      <c r="C1" s="376" t="s">
        <v>455</v>
      </c>
      <c r="D1" s="377"/>
      <c r="E1" s="377"/>
      <c r="F1" s="377"/>
      <c r="G1" s="377"/>
      <c r="H1" s="376" t="s">
        <v>456</v>
      </c>
      <c r="I1" s="377"/>
      <c r="J1" s="377"/>
      <c r="K1" s="377"/>
      <c r="L1" s="377"/>
      <c r="M1" s="376" t="s">
        <v>457</v>
      </c>
      <c r="N1" s="377"/>
      <c r="O1" s="377"/>
      <c r="P1" s="377"/>
      <c r="Q1" s="377"/>
    </row>
    <row r="2" spans="1:17">
      <c r="A2" s="379"/>
      <c r="B2" s="379"/>
      <c r="C2" s="225" t="s">
        <v>340</v>
      </c>
      <c r="D2" s="225" t="s">
        <v>319</v>
      </c>
      <c r="E2" s="225" t="s">
        <v>260</v>
      </c>
      <c r="F2" s="225" t="s">
        <v>261</v>
      </c>
      <c r="G2" s="225" t="s">
        <v>262</v>
      </c>
      <c r="H2" s="225" t="s">
        <v>318</v>
      </c>
      <c r="I2" s="225" t="s">
        <v>319</v>
      </c>
      <c r="J2" s="225" t="s">
        <v>260</v>
      </c>
      <c r="K2" s="225" t="s">
        <v>326</v>
      </c>
      <c r="L2" s="225" t="s">
        <v>262</v>
      </c>
      <c r="M2" s="225" t="s">
        <v>318</v>
      </c>
      <c r="N2" s="225" t="s">
        <v>319</v>
      </c>
      <c r="O2" s="225" t="s">
        <v>260</v>
      </c>
      <c r="P2" s="225" t="s">
        <v>326</v>
      </c>
      <c r="Q2" s="225" t="s">
        <v>262</v>
      </c>
    </row>
    <row r="3" spans="1:17">
      <c r="A3" s="351" t="s">
        <v>258</v>
      </c>
      <c r="B3" s="117" t="s">
        <v>259</v>
      </c>
      <c r="C3" s="248"/>
      <c r="D3" s="246"/>
      <c r="E3" s="246"/>
      <c r="F3" s="246"/>
      <c r="G3" s="246"/>
      <c r="H3" s="248"/>
      <c r="I3" s="246"/>
      <c r="J3" s="246"/>
      <c r="K3" s="246"/>
      <c r="L3" s="246"/>
      <c r="M3" s="281">
        <v>194</v>
      </c>
      <c r="N3" s="282">
        <v>35.726151732597366</v>
      </c>
      <c r="O3" s="283">
        <v>14.015663025085477</v>
      </c>
      <c r="P3" s="283">
        <v>49.741814757682846</v>
      </c>
      <c r="Q3" s="283">
        <v>21.710488707511889</v>
      </c>
    </row>
    <row r="4" spans="1:17">
      <c r="A4" s="351"/>
      <c r="B4" s="118" t="s">
        <v>331</v>
      </c>
      <c r="C4" s="248"/>
      <c r="D4" s="246"/>
      <c r="E4" s="246"/>
      <c r="F4" s="246"/>
      <c r="G4" s="246"/>
      <c r="H4" s="248"/>
      <c r="I4" s="246"/>
      <c r="J4" s="246"/>
      <c r="K4" s="246"/>
      <c r="L4" s="246"/>
      <c r="M4" s="281">
        <v>146</v>
      </c>
      <c r="N4" s="282">
        <v>66.03342737229238</v>
      </c>
      <c r="O4" s="283">
        <v>24.919253992430864</v>
      </c>
      <c r="P4" s="283">
        <v>90.952681364723247</v>
      </c>
      <c r="Q4" s="283">
        <v>41.114173379861512</v>
      </c>
    </row>
    <row r="5" spans="1:17">
      <c r="A5" s="351"/>
      <c r="B5" s="118" t="s">
        <v>263</v>
      </c>
      <c r="C5" s="248"/>
      <c r="D5" s="246"/>
      <c r="E5" s="246"/>
      <c r="F5" s="246"/>
      <c r="G5" s="246"/>
      <c r="H5" s="248"/>
      <c r="I5" s="246"/>
      <c r="J5" s="246"/>
      <c r="K5" s="246"/>
      <c r="L5" s="246"/>
      <c r="M5" s="281">
        <v>159</v>
      </c>
      <c r="N5" s="282">
        <v>1.5159041999032354</v>
      </c>
      <c r="O5" s="283">
        <v>1.0725872948810093</v>
      </c>
      <c r="P5" s="283">
        <v>2.588491494784245</v>
      </c>
      <c r="Q5" s="283">
        <v>0.44331690502222609</v>
      </c>
    </row>
    <row r="6" spans="1:17">
      <c r="A6" s="351"/>
      <c r="B6" s="118" t="s">
        <v>257</v>
      </c>
      <c r="C6" s="248"/>
      <c r="D6" s="246"/>
      <c r="E6" s="246"/>
      <c r="F6" s="246"/>
      <c r="G6" s="246"/>
      <c r="H6" s="248"/>
      <c r="I6" s="246"/>
      <c r="J6" s="246"/>
      <c r="K6" s="246"/>
      <c r="L6" s="246"/>
      <c r="M6" s="281">
        <v>43</v>
      </c>
      <c r="N6" s="282">
        <v>2.1735112706730964</v>
      </c>
      <c r="O6" s="283">
        <v>1.1943912776238064</v>
      </c>
      <c r="P6" s="283">
        <v>3.3679025482969029</v>
      </c>
      <c r="Q6" s="283">
        <v>0.97911999304928998</v>
      </c>
    </row>
    <row r="7" spans="1:17">
      <c r="A7" s="351"/>
      <c r="B7" s="118" t="s">
        <v>327</v>
      </c>
      <c r="C7" s="248"/>
      <c r="D7" s="246"/>
      <c r="E7" s="246"/>
      <c r="F7" s="246"/>
      <c r="G7" s="246"/>
      <c r="H7" s="248"/>
      <c r="I7" s="246"/>
      <c r="J7" s="246"/>
      <c r="K7" s="246"/>
      <c r="L7" s="246"/>
      <c r="M7" s="281">
        <v>172</v>
      </c>
      <c r="N7" s="282">
        <v>14.175144962453595</v>
      </c>
      <c r="O7" s="283">
        <v>9.4765783362249802</v>
      </c>
      <c r="P7" s="283">
        <v>23.651723298678576</v>
      </c>
      <c r="Q7" s="283">
        <v>4.6985666262286152</v>
      </c>
    </row>
    <row r="8" spans="1:17">
      <c r="A8" s="351"/>
      <c r="B8" s="118" t="s">
        <v>264</v>
      </c>
      <c r="C8" s="248"/>
      <c r="D8" s="246"/>
      <c r="E8" s="246"/>
      <c r="F8" s="246"/>
      <c r="G8" s="246"/>
      <c r="H8" s="248"/>
      <c r="I8" s="246"/>
      <c r="J8" s="246"/>
      <c r="K8" s="246"/>
      <c r="L8" s="246"/>
      <c r="M8" s="281">
        <v>178</v>
      </c>
      <c r="N8" s="282">
        <v>15.034242077929752</v>
      </c>
      <c r="O8" s="283">
        <v>19.094902639910323</v>
      </c>
      <c r="P8" s="283">
        <v>34.129144717840077</v>
      </c>
      <c r="Q8" s="283">
        <v>0</v>
      </c>
    </row>
    <row r="9" spans="1:17">
      <c r="A9" s="351"/>
      <c r="B9" s="118" t="s">
        <v>265</v>
      </c>
      <c r="C9" s="248"/>
      <c r="D9" s="246"/>
      <c r="E9" s="246"/>
      <c r="F9" s="246"/>
      <c r="G9" s="246"/>
      <c r="H9" s="248"/>
      <c r="I9" s="246"/>
      <c r="J9" s="246"/>
      <c r="K9" s="246"/>
      <c r="L9" s="246"/>
      <c r="M9" s="281">
        <v>17</v>
      </c>
      <c r="N9" s="282">
        <v>105.54046408804557</v>
      </c>
      <c r="O9" s="283">
        <v>55.162203572902783</v>
      </c>
      <c r="P9" s="283">
        <v>160.70266766094835</v>
      </c>
      <c r="Q9" s="283">
        <v>50.378260515142784</v>
      </c>
    </row>
    <row r="10" spans="1:17">
      <c r="A10" s="351"/>
      <c r="B10" s="118" t="s">
        <v>266</v>
      </c>
      <c r="C10" s="248"/>
      <c r="D10" s="246"/>
      <c r="E10" s="246"/>
      <c r="F10" s="246"/>
      <c r="G10" s="246"/>
      <c r="H10" s="248"/>
      <c r="I10" s="246"/>
      <c r="J10" s="246"/>
      <c r="K10" s="246"/>
      <c r="L10" s="246"/>
      <c r="M10" s="281">
        <v>29</v>
      </c>
      <c r="N10" s="282">
        <v>9.2069088201574587</v>
      </c>
      <c r="O10" s="283">
        <v>4.0261921510704815</v>
      </c>
      <c r="P10" s="283">
        <v>13.233100971227941</v>
      </c>
      <c r="Q10" s="283">
        <v>5.1807166690869773</v>
      </c>
    </row>
    <row r="11" spans="1:17">
      <c r="A11" s="351"/>
      <c r="B11" s="118" t="s">
        <v>267</v>
      </c>
      <c r="C11" s="248"/>
      <c r="D11" s="247"/>
      <c r="E11" s="247"/>
      <c r="F11" s="247"/>
      <c r="G11" s="247"/>
      <c r="H11" s="248"/>
      <c r="I11" s="249"/>
      <c r="J11" s="247"/>
      <c r="K11" s="247"/>
      <c r="L11" s="247"/>
      <c r="M11" s="281">
        <v>10</v>
      </c>
      <c r="N11" s="284">
        <v>5.7387552692870623E-2</v>
      </c>
      <c r="O11" s="285">
        <v>3.762291585761348E-2</v>
      </c>
      <c r="P11" s="285">
        <v>9.5010468550484103E-2</v>
      </c>
      <c r="Q11" s="285">
        <v>1.9764636835257143E-2</v>
      </c>
    </row>
    <row r="12" spans="1:17">
      <c r="A12" s="351"/>
      <c r="B12" s="118" t="s">
        <v>352</v>
      </c>
      <c r="C12" s="248"/>
      <c r="D12" s="247"/>
      <c r="E12" s="247"/>
      <c r="F12" s="247"/>
      <c r="G12" s="247"/>
      <c r="H12" s="248"/>
      <c r="I12" s="247"/>
      <c r="J12" s="247"/>
      <c r="K12" s="247"/>
      <c r="L12" s="247"/>
      <c r="M12" s="281">
        <v>211</v>
      </c>
      <c r="N12" s="284">
        <v>2.8279962050756112E-3</v>
      </c>
      <c r="O12" s="285">
        <v>1.6839861766936831E-2</v>
      </c>
      <c r="P12" s="285">
        <v>1.9667857972012443E-2</v>
      </c>
      <c r="Q12" s="285">
        <v>-1.4011865561861219E-2</v>
      </c>
    </row>
    <row r="13" spans="1:17">
      <c r="A13" s="351"/>
      <c r="B13" s="118" t="s">
        <v>268</v>
      </c>
      <c r="C13" s="248"/>
      <c r="D13" s="247"/>
      <c r="E13" s="247"/>
      <c r="F13" s="247"/>
      <c r="G13" s="247"/>
      <c r="H13" s="248"/>
      <c r="I13" s="247"/>
      <c r="J13" s="247"/>
      <c r="K13" s="247"/>
      <c r="L13" s="247"/>
      <c r="M13" s="281">
        <v>105</v>
      </c>
      <c r="N13" s="284">
        <v>3.6164918347177902E-2</v>
      </c>
      <c r="O13" s="285">
        <v>0.11895829902565906</v>
      </c>
      <c r="P13" s="285">
        <v>0.15512321737283696</v>
      </c>
      <c r="Q13" s="285">
        <v>-8.279338067848116E-2</v>
      </c>
    </row>
    <row r="14" spans="1:17">
      <c r="A14" s="378" t="s">
        <v>269</v>
      </c>
      <c r="B14" s="118" t="s">
        <v>270</v>
      </c>
      <c r="C14" s="248"/>
      <c r="D14" s="247"/>
      <c r="E14" s="247"/>
      <c r="F14" s="247"/>
      <c r="G14" s="247"/>
      <c r="H14" s="248"/>
      <c r="I14" s="247"/>
      <c r="J14" s="247"/>
      <c r="K14" s="247"/>
      <c r="L14" s="247"/>
      <c r="M14" s="281">
        <v>213</v>
      </c>
      <c r="N14" s="284">
        <v>0.92973300997059027</v>
      </c>
      <c r="O14" s="285">
        <v>0.18860355698226941</v>
      </c>
      <c r="P14" s="285">
        <v>1</v>
      </c>
      <c r="Q14" s="285">
        <v>0.74112945298832089</v>
      </c>
    </row>
    <row r="15" spans="1:17">
      <c r="A15" s="378"/>
      <c r="B15" s="118" t="s">
        <v>271</v>
      </c>
      <c r="C15" s="248"/>
      <c r="D15" s="246"/>
      <c r="E15" s="246"/>
      <c r="F15" s="246"/>
      <c r="G15" s="246"/>
      <c r="H15" s="248"/>
      <c r="I15" s="246"/>
      <c r="J15" s="246"/>
      <c r="K15" s="246"/>
      <c r="L15" s="246"/>
      <c r="M15" s="281">
        <v>172</v>
      </c>
      <c r="N15" s="282">
        <v>0.5432766529202786</v>
      </c>
      <c r="O15" s="283">
        <v>0.32951398665267501</v>
      </c>
      <c r="P15" s="283">
        <v>0.87279063957295366</v>
      </c>
      <c r="Q15" s="283">
        <v>0.2137626662676036</v>
      </c>
    </row>
    <row r="16" spans="1:17">
      <c r="A16" s="378"/>
      <c r="B16" s="118" t="s">
        <v>272</v>
      </c>
      <c r="C16" s="248"/>
      <c r="D16" s="246"/>
      <c r="E16" s="246"/>
      <c r="F16" s="246"/>
      <c r="G16" s="246"/>
      <c r="H16" s="248"/>
      <c r="I16" s="246"/>
      <c r="J16" s="246"/>
      <c r="K16" s="246"/>
      <c r="L16" s="246"/>
      <c r="M16" s="281">
        <v>123</v>
      </c>
      <c r="N16" s="282">
        <v>0.5381393214214435</v>
      </c>
      <c r="O16" s="283">
        <v>0.4610347712249343</v>
      </c>
      <c r="P16" s="283">
        <v>0.9991740926463778</v>
      </c>
      <c r="Q16" s="283">
        <v>7.7104550196509192E-2</v>
      </c>
    </row>
    <row r="17" spans="1:17">
      <c r="A17" s="378" t="s">
        <v>273</v>
      </c>
      <c r="B17" s="118" t="s">
        <v>306</v>
      </c>
      <c r="C17" s="248"/>
      <c r="D17" s="246"/>
      <c r="E17" s="246"/>
      <c r="F17" s="246"/>
      <c r="G17" s="246"/>
      <c r="H17" s="248"/>
      <c r="I17" s="246"/>
      <c r="J17" s="246"/>
      <c r="K17" s="246"/>
      <c r="L17" s="246"/>
      <c r="M17" s="281">
        <v>173</v>
      </c>
      <c r="N17" s="282">
        <v>4.1347433305995347</v>
      </c>
      <c r="O17" s="283">
        <v>2.6466321379941165</v>
      </c>
      <c r="P17" s="283">
        <v>6.7813754685936516</v>
      </c>
      <c r="Q17" s="283">
        <v>1.4881111926054182</v>
      </c>
    </row>
    <row r="18" spans="1:17">
      <c r="A18" s="378"/>
      <c r="B18" s="118" t="s">
        <v>274</v>
      </c>
      <c r="C18" s="248"/>
      <c r="D18" s="246"/>
      <c r="E18" s="246"/>
      <c r="F18" s="246"/>
      <c r="G18" s="246"/>
      <c r="H18" s="248"/>
      <c r="I18" s="246"/>
      <c r="J18" s="246"/>
      <c r="K18" s="246"/>
      <c r="L18" s="246"/>
      <c r="M18" s="281">
        <v>155</v>
      </c>
      <c r="N18" s="282">
        <v>2.1190547146523677</v>
      </c>
      <c r="O18" s="283">
        <v>2.0174767010280448</v>
      </c>
      <c r="P18" s="283">
        <v>4.1365314156804125</v>
      </c>
      <c r="Q18" s="283">
        <v>0.10157801362432295</v>
      </c>
    </row>
    <row r="19" spans="1:17">
      <c r="A19" s="378"/>
      <c r="B19" s="118" t="s">
        <v>275</v>
      </c>
      <c r="C19" s="248"/>
      <c r="D19" s="246"/>
      <c r="E19" s="246"/>
      <c r="F19" s="246"/>
      <c r="G19" s="246"/>
      <c r="H19" s="248"/>
      <c r="I19" s="250"/>
      <c r="J19" s="246"/>
      <c r="K19" s="246"/>
      <c r="L19" s="246"/>
      <c r="M19" s="281">
        <v>219</v>
      </c>
      <c r="N19" s="282">
        <v>5.4794520547945202E-2</v>
      </c>
      <c r="O19" s="283">
        <v>0.29787062145468657</v>
      </c>
      <c r="P19" s="283">
        <v>0.35266514200263177</v>
      </c>
      <c r="Q19" s="283">
        <v>0</v>
      </c>
    </row>
    <row r="20" spans="1:17">
      <c r="A20" s="378"/>
      <c r="B20" s="118" t="s">
        <v>276</v>
      </c>
      <c r="C20" s="248"/>
      <c r="D20" s="246"/>
      <c r="E20" s="246"/>
      <c r="F20" s="246"/>
      <c r="G20" s="246"/>
      <c r="H20" s="248"/>
      <c r="I20" s="246"/>
      <c r="J20" s="246"/>
      <c r="K20" s="246"/>
      <c r="L20" s="246"/>
      <c r="M20" s="281">
        <v>220</v>
      </c>
      <c r="N20" s="282">
        <v>0</v>
      </c>
      <c r="O20" s="283">
        <v>0</v>
      </c>
      <c r="P20" s="283">
        <v>0</v>
      </c>
      <c r="Q20" s="283">
        <v>0</v>
      </c>
    </row>
    <row r="21" spans="1:17">
      <c r="A21" s="378" t="s">
        <v>277</v>
      </c>
      <c r="B21" s="118" t="s">
        <v>278</v>
      </c>
      <c r="C21" s="248"/>
      <c r="D21" s="246"/>
      <c r="E21" s="246"/>
      <c r="F21" s="246"/>
      <c r="G21" s="246"/>
      <c r="H21" s="248"/>
      <c r="I21" s="246"/>
      <c r="J21" s="246"/>
      <c r="K21" s="246"/>
      <c r="L21" s="246"/>
      <c r="M21" s="281">
        <v>143</v>
      </c>
      <c r="N21" s="282">
        <v>0.65507459414149483</v>
      </c>
      <c r="O21" s="283">
        <v>0.4615808423797742</v>
      </c>
      <c r="P21" s="283">
        <v>1.1166554365212691</v>
      </c>
      <c r="Q21" s="283">
        <v>0.19349375176172062</v>
      </c>
    </row>
    <row r="22" spans="1:17">
      <c r="A22" s="378"/>
      <c r="B22" s="118" t="s">
        <v>279</v>
      </c>
      <c r="C22" s="248"/>
      <c r="D22" s="246"/>
      <c r="E22" s="246"/>
      <c r="F22" s="246"/>
      <c r="G22" s="246"/>
      <c r="H22" s="248"/>
      <c r="I22" s="246"/>
      <c r="J22" s="246"/>
      <c r="K22" s="246"/>
      <c r="L22" s="246"/>
      <c r="M22" s="281">
        <v>170</v>
      </c>
      <c r="N22" s="282">
        <v>0.57751950294046872</v>
      </c>
      <c r="O22" s="283">
        <v>1.2628666225611538</v>
      </c>
      <c r="P22" s="283">
        <v>1.8403861255016225</v>
      </c>
      <c r="Q22" s="283">
        <v>0</v>
      </c>
    </row>
    <row r="23" spans="1:17">
      <c r="A23" s="378"/>
      <c r="B23" s="118" t="s">
        <v>280</v>
      </c>
      <c r="C23" s="248"/>
      <c r="D23" s="246"/>
      <c r="E23" s="246"/>
      <c r="F23" s="246"/>
      <c r="G23" s="246"/>
      <c r="H23" s="248"/>
      <c r="I23" s="246"/>
      <c r="J23" s="246"/>
      <c r="K23" s="246"/>
      <c r="L23" s="246"/>
      <c r="M23" s="281">
        <v>141</v>
      </c>
      <c r="N23" s="282">
        <v>51.750232656799419</v>
      </c>
      <c r="O23" s="283">
        <v>37.875141348705441</v>
      </c>
      <c r="P23" s="283">
        <v>89.625374005504852</v>
      </c>
      <c r="Q23" s="283">
        <v>13.875091308093978</v>
      </c>
    </row>
    <row r="24" spans="1:17">
      <c r="A24" s="378"/>
      <c r="B24" s="118" t="s">
        <v>281</v>
      </c>
      <c r="C24" s="248"/>
      <c r="D24" s="247"/>
      <c r="E24" s="247"/>
      <c r="F24" s="247"/>
      <c r="G24" s="247"/>
      <c r="H24" s="248"/>
      <c r="I24" s="247"/>
      <c r="J24" s="247"/>
      <c r="K24" s="247"/>
      <c r="L24" s="247"/>
      <c r="M24" s="281">
        <v>114</v>
      </c>
      <c r="N24" s="286">
        <v>0.84957657901968253</v>
      </c>
      <c r="O24" s="285">
        <v>0.2010659118654419</v>
      </c>
      <c r="P24" s="285">
        <v>1</v>
      </c>
      <c r="Q24" s="285">
        <v>0.64851066715424066</v>
      </c>
    </row>
    <row r="25" spans="1:17">
      <c r="A25" s="378"/>
      <c r="B25" s="118" t="s">
        <v>282</v>
      </c>
      <c r="C25" s="248"/>
      <c r="D25" s="246"/>
      <c r="E25" s="246"/>
      <c r="F25" s="246"/>
      <c r="G25" s="246"/>
      <c r="H25" s="248"/>
      <c r="I25" s="246"/>
      <c r="J25" s="246"/>
      <c r="K25" s="246"/>
      <c r="L25" s="246"/>
      <c r="M25" s="281">
        <v>181</v>
      </c>
      <c r="N25" s="282">
        <v>1.6696851948996021</v>
      </c>
      <c r="O25" s="283">
        <v>1.6429753271872178</v>
      </c>
      <c r="P25" s="283">
        <v>3.3126605220868202</v>
      </c>
      <c r="Q25" s="283">
        <v>2.6709867712384261E-2</v>
      </c>
    </row>
    <row r="26" spans="1:17">
      <c r="A26" s="224" t="s">
        <v>283</v>
      </c>
      <c r="B26" s="118" t="s">
        <v>284</v>
      </c>
      <c r="C26" s="248"/>
      <c r="D26" s="246"/>
      <c r="E26" s="246"/>
      <c r="F26" s="246"/>
      <c r="G26" s="246"/>
      <c r="H26" s="248"/>
      <c r="I26" s="246"/>
      <c r="J26" s="246"/>
      <c r="K26" s="246"/>
      <c r="L26" s="246"/>
      <c r="M26" s="281">
        <v>31</v>
      </c>
      <c r="N26" s="282">
        <v>5.37771889095707E-2</v>
      </c>
      <c r="O26" s="283">
        <v>5.1948021488439015E-2</v>
      </c>
      <c r="P26" s="283">
        <v>0.10572521039800972</v>
      </c>
      <c r="Q26" s="283">
        <v>1.8291674211316847E-3</v>
      </c>
    </row>
    <row r="27" spans="1:17">
      <c r="A27" s="378" t="s">
        <v>285</v>
      </c>
      <c r="B27" s="118" t="s">
        <v>286</v>
      </c>
      <c r="C27" s="248"/>
      <c r="D27" s="246"/>
      <c r="E27" s="246"/>
      <c r="F27" s="246"/>
      <c r="G27" s="246"/>
      <c r="H27" s="248"/>
      <c r="I27" s="246"/>
      <c r="J27" s="246"/>
      <c r="K27" s="246"/>
      <c r="L27" s="246"/>
      <c r="M27" s="281">
        <v>33</v>
      </c>
      <c r="N27" s="282">
        <v>0.1547600497309386</v>
      </c>
      <c r="O27" s="283">
        <v>0.22392740400657846</v>
      </c>
      <c r="P27" s="283">
        <v>0.37868745373751705</v>
      </c>
      <c r="Q27" s="283">
        <v>0</v>
      </c>
    </row>
    <row r="28" spans="1:17">
      <c r="A28" s="378"/>
      <c r="B28" s="118" t="s">
        <v>287</v>
      </c>
      <c r="C28" s="248"/>
      <c r="D28" s="246"/>
      <c r="E28" s="246"/>
      <c r="F28" s="246"/>
      <c r="G28" s="246"/>
      <c r="H28" s="248"/>
      <c r="I28" s="246"/>
      <c r="J28" s="246"/>
      <c r="K28" s="246"/>
      <c r="L28" s="246"/>
      <c r="M28" s="281">
        <v>32</v>
      </c>
      <c r="N28" s="282">
        <v>2.3643410852713178E-2</v>
      </c>
      <c r="O28" s="283">
        <v>9.6387847926750578E-2</v>
      </c>
      <c r="P28" s="283">
        <v>0.12003125877946376</v>
      </c>
      <c r="Q28" s="283">
        <v>0</v>
      </c>
    </row>
    <row r="29" spans="1:17">
      <c r="A29" s="378" t="s">
        <v>288</v>
      </c>
      <c r="B29" s="118" t="s">
        <v>289</v>
      </c>
      <c r="C29" s="248"/>
      <c r="D29" s="246"/>
      <c r="E29" s="246"/>
      <c r="F29" s="246"/>
      <c r="G29" s="246"/>
      <c r="H29" s="248"/>
      <c r="I29" s="246"/>
      <c r="J29" s="246"/>
      <c r="K29" s="246"/>
      <c r="L29" s="246"/>
      <c r="M29" s="281">
        <v>202</v>
      </c>
      <c r="N29" s="282">
        <v>1.1738118811881189</v>
      </c>
      <c r="O29" s="283">
        <v>2.6118402090993404</v>
      </c>
      <c r="P29" s="283">
        <v>3.7856520902874591</v>
      </c>
      <c r="Q29" s="283">
        <v>0</v>
      </c>
    </row>
    <row r="30" spans="1:17">
      <c r="A30" s="378"/>
      <c r="B30" s="118" t="s">
        <v>290</v>
      </c>
      <c r="C30" s="248"/>
      <c r="D30" s="246"/>
      <c r="E30" s="246"/>
      <c r="F30" s="246"/>
      <c r="G30" s="246"/>
      <c r="H30" s="248"/>
      <c r="I30" s="246"/>
      <c r="J30" s="246"/>
      <c r="K30" s="246"/>
      <c r="L30" s="246"/>
      <c r="M30" s="281">
        <v>195</v>
      </c>
      <c r="N30" s="282">
        <v>0</v>
      </c>
      <c r="O30" s="283">
        <v>0</v>
      </c>
      <c r="P30" s="283">
        <v>0</v>
      </c>
      <c r="Q30" s="283">
        <v>0</v>
      </c>
    </row>
    <row r="31" spans="1:17">
      <c r="A31" s="380" t="s">
        <v>291</v>
      </c>
      <c r="B31" s="118" t="s">
        <v>292</v>
      </c>
      <c r="C31" s="248"/>
      <c r="D31" s="247"/>
      <c r="E31" s="247"/>
      <c r="F31" s="247"/>
      <c r="G31" s="247"/>
      <c r="H31" s="248"/>
      <c r="I31" s="247"/>
      <c r="J31" s="247"/>
      <c r="K31" s="247"/>
      <c r="L31" s="247"/>
      <c r="M31" s="281">
        <v>160</v>
      </c>
      <c r="N31" s="286">
        <v>0.97599999999999976</v>
      </c>
      <c r="O31" s="285">
        <v>4.7003278354819392E-2</v>
      </c>
      <c r="P31" s="285">
        <v>1</v>
      </c>
      <c r="Q31" s="285">
        <v>0.83499016493554157</v>
      </c>
    </row>
    <row r="32" spans="1:17">
      <c r="A32" s="381"/>
      <c r="B32" s="118" t="s">
        <v>293</v>
      </c>
      <c r="C32" s="248"/>
      <c r="D32" s="246"/>
      <c r="E32" s="246"/>
      <c r="F32" s="246"/>
      <c r="G32" s="246"/>
      <c r="H32" s="248"/>
      <c r="I32" s="246"/>
      <c r="J32" s="246"/>
      <c r="K32" s="246"/>
      <c r="L32" s="246"/>
      <c r="M32" s="281">
        <v>58</v>
      </c>
      <c r="N32" s="282">
        <v>4.9206896551724126</v>
      </c>
      <c r="O32" s="283">
        <v>2.7958464569372032</v>
      </c>
      <c r="P32" s="283">
        <v>7.7165361121096154</v>
      </c>
      <c r="Q32" s="283">
        <v>2.1248431982352094</v>
      </c>
    </row>
    <row r="33" spans="1:17">
      <c r="A33" s="381"/>
      <c r="B33" s="118" t="s">
        <v>294</v>
      </c>
      <c r="C33" s="248"/>
      <c r="D33" s="246"/>
      <c r="E33" s="246"/>
      <c r="F33" s="246"/>
      <c r="G33" s="246"/>
      <c r="H33" s="248"/>
      <c r="I33" s="250"/>
      <c r="J33" s="246"/>
      <c r="K33" s="246"/>
      <c r="L33" s="246"/>
      <c r="M33" s="281">
        <v>105</v>
      </c>
      <c r="N33" s="282">
        <v>15.84095238095238</v>
      </c>
      <c r="O33" s="283">
        <v>8.2199533879234217</v>
      </c>
      <c r="P33" s="283">
        <v>24.060905768875802</v>
      </c>
      <c r="Q33" s="283">
        <v>7.6209989930289588</v>
      </c>
    </row>
    <row r="34" spans="1:17">
      <c r="A34" s="381"/>
      <c r="B34" s="118" t="s">
        <v>295</v>
      </c>
      <c r="C34" s="248"/>
      <c r="D34" s="246"/>
      <c r="E34" s="246"/>
      <c r="F34" s="246"/>
      <c r="G34" s="246"/>
      <c r="H34" s="248"/>
      <c r="I34" s="246"/>
      <c r="J34" s="246"/>
      <c r="K34" s="246"/>
      <c r="L34" s="246"/>
      <c r="M34" s="281">
        <v>38</v>
      </c>
      <c r="N34" s="282">
        <v>1.5921052631578947</v>
      </c>
      <c r="O34" s="283">
        <v>0.18509541578473412</v>
      </c>
      <c r="P34" s="283">
        <v>1.7772006789426289</v>
      </c>
      <c r="Q34" s="283">
        <v>1.4070098473731605</v>
      </c>
    </row>
    <row r="35" spans="1:17">
      <c r="A35" s="382"/>
      <c r="B35" s="118" t="s">
        <v>296</v>
      </c>
      <c r="C35" s="248"/>
      <c r="D35" s="246"/>
      <c r="E35" s="246"/>
      <c r="F35" s="246"/>
      <c r="G35" s="246"/>
      <c r="H35" s="248"/>
      <c r="I35" s="246"/>
      <c r="J35" s="246"/>
      <c r="K35" s="246"/>
      <c r="L35" s="246"/>
      <c r="M35" s="281">
        <v>35</v>
      </c>
      <c r="N35" s="282">
        <v>1.0628571428571429</v>
      </c>
      <c r="O35" s="283">
        <v>0.55510238286480518</v>
      </c>
      <c r="P35" s="283">
        <v>1.6179595257219481</v>
      </c>
      <c r="Q35" s="283">
        <v>0.50775475999233777</v>
      </c>
    </row>
    <row r="36" spans="1:17">
      <c r="A36" s="382"/>
      <c r="B36" s="118" t="s">
        <v>297</v>
      </c>
      <c r="C36" s="248"/>
      <c r="D36" s="246"/>
      <c r="E36" s="246"/>
      <c r="F36" s="246"/>
      <c r="G36" s="246"/>
      <c r="H36" s="248"/>
      <c r="I36" s="246"/>
      <c r="J36" s="246"/>
      <c r="K36" s="246"/>
      <c r="L36" s="246"/>
      <c r="M36" s="287">
        <v>2</v>
      </c>
      <c r="N36" s="282">
        <v>1.1000000000000001</v>
      </c>
      <c r="O36" s="283">
        <v>0</v>
      </c>
      <c r="P36" s="283">
        <v>1.1000000000000001</v>
      </c>
      <c r="Q36" s="283">
        <v>1.1000000000000001</v>
      </c>
    </row>
    <row r="37" spans="1:17">
      <c r="A37" s="383"/>
      <c r="B37" s="118" t="s">
        <v>298</v>
      </c>
      <c r="C37" s="248"/>
      <c r="D37" s="246"/>
      <c r="E37" s="246"/>
      <c r="F37" s="246"/>
      <c r="G37" s="246"/>
      <c r="H37" s="248"/>
      <c r="I37" s="246"/>
      <c r="J37" s="246"/>
      <c r="K37" s="246"/>
      <c r="L37" s="246"/>
      <c r="M37" s="287">
        <v>39</v>
      </c>
      <c r="N37" s="282">
        <v>1.2012820512820512</v>
      </c>
      <c r="O37" s="283">
        <v>0.34350499488576719</v>
      </c>
      <c r="P37" s="283">
        <v>1.5447870461678184</v>
      </c>
      <c r="Q37" s="283">
        <v>0.8577770563962841</v>
      </c>
    </row>
    <row r="38" spans="1:17">
      <c r="A38" s="364" t="s">
        <v>299</v>
      </c>
      <c r="B38" s="118" t="s">
        <v>300</v>
      </c>
      <c r="C38" s="248"/>
      <c r="D38" s="246"/>
      <c r="E38" s="246"/>
      <c r="F38" s="246"/>
      <c r="G38" s="246"/>
      <c r="H38" s="248"/>
      <c r="I38" s="246"/>
      <c r="J38" s="246"/>
      <c r="K38" s="246"/>
      <c r="L38" s="246"/>
      <c r="M38" s="281">
        <v>209</v>
      </c>
      <c r="N38" s="282">
        <v>40.013157894736842</v>
      </c>
      <c r="O38" s="283">
        <v>223.38336448886335</v>
      </c>
      <c r="P38" s="283">
        <v>263.3965223836002</v>
      </c>
      <c r="Q38" s="283">
        <v>0</v>
      </c>
    </row>
    <row r="39" spans="1:17">
      <c r="A39" s="364"/>
      <c r="B39" s="118" t="s">
        <v>301</v>
      </c>
      <c r="C39" s="248"/>
      <c r="D39" s="246"/>
      <c r="E39" s="246"/>
      <c r="F39" s="246"/>
      <c r="G39" s="246"/>
      <c r="H39" s="248"/>
      <c r="I39" s="246"/>
      <c r="J39" s="246"/>
      <c r="K39" s="246"/>
      <c r="L39" s="246"/>
      <c r="M39" s="281">
        <v>188</v>
      </c>
      <c r="N39" s="282">
        <v>4.1488015957446853</v>
      </c>
      <c r="O39" s="283">
        <v>3.3293936187711468</v>
      </c>
      <c r="P39" s="283">
        <v>7.4781952145158321</v>
      </c>
      <c r="Q39" s="283">
        <v>0.81940797697353851</v>
      </c>
    </row>
    <row r="40" spans="1:17">
      <c r="A40" s="364"/>
      <c r="B40" s="118" t="s">
        <v>302</v>
      </c>
      <c r="C40" s="248"/>
      <c r="D40" s="247"/>
      <c r="E40" s="247"/>
      <c r="F40" s="247"/>
      <c r="G40" s="247"/>
      <c r="H40" s="248"/>
      <c r="I40" s="247"/>
      <c r="J40" s="247"/>
      <c r="K40" s="247"/>
      <c r="L40" s="247"/>
      <c r="M40" s="281">
        <v>187</v>
      </c>
      <c r="N40" s="286">
        <v>0.10711283422459901</v>
      </c>
      <c r="O40" s="285">
        <v>0.12230367610679514</v>
      </c>
      <c r="P40" s="285">
        <v>0.22941651033139415</v>
      </c>
      <c r="Q40" s="285">
        <v>0</v>
      </c>
    </row>
    <row r="41" spans="1:17">
      <c r="A41" s="364"/>
      <c r="B41" s="120" t="s">
        <v>303</v>
      </c>
      <c r="C41" s="248"/>
      <c r="D41" s="246"/>
      <c r="E41" s="246"/>
      <c r="F41" s="246"/>
      <c r="G41" s="246"/>
      <c r="H41" s="248"/>
      <c r="I41" s="246"/>
      <c r="J41" s="246"/>
      <c r="K41" s="246"/>
      <c r="L41" s="246"/>
      <c r="M41" s="281">
        <v>179</v>
      </c>
      <c r="N41" s="282">
        <v>5.2905027932960893</v>
      </c>
      <c r="O41" s="283">
        <v>28.077030263143289</v>
      </c>
      <c r="P41" s="283">
        <v>33.367533056439378</v>
      </c>
      <c r="Q41" s="283">
        <v>0</v>
      </c>
    </row>
    <row r="42" spans="1:17">
      <c r="A42" s="364"/>
      <c r="B42" s="120" t="s">
        <v>304</v>
      </c>
      <c r="C42" s="248"/>
      <c r="D42" s="246"/>
      <c r="E42" s="246"/>
      <c r="F42" s="246"/>
      <c r="G42" s="246"/>
      <c r="H42" s="248"/>
      <c r="I42" s="246"/>
      <c r="J42" s="246"/>
      <c r="K42" s="246"/>
      <c r="L42" s="246"/>
      <c r="M42" s="281">
        <v>143</v>
      </c>
      <c r="N42" s="282">
        <v>0</v>
      </c>
      <c r="O42" s="283">
        <v>0</v>
      </c>
      <c r="P42" s="283">
        <v>0</v>
      </c>
      <c r="Q42" s="283">
        <v>0</v>
      </c>
    </row>
    <row r="43" spans="1:17">
      <c r="A43" s="364"/>
      <c r="B43" s="120" t="s">
        <v>305</v>
      </c>
      <c r="C43" s="248"/>
      <c r="D43" s="246"/>
      <c r="E43" s="246"/>
      <c r="F43" s="246"/>
      <c r="G43" s="246"/>
      <c r="H43" s="248"/>
      <c r="I43" s="246"/>
      <c r="J43" s="246"/>
      <c r="K43" s="246"/>
      <c r="L43" s="246"/>
      <c r="M43" s="287">
        <v>169</v>
      </c>
      <c r="N43" s="282">
        <v>83.763727810650948</v>
      </c>
      <c r="O43" s="283">
        <v>41.740106152428019</v>
      </c>
      <c r="P43" s="283">
        <v>125.50383396307896</v>
      </c>
      <c r="Q43" s="283">
        <v>42.023621658222929</v>
      </c>
    </row>
  </sheetData>
  <mergeCells count="12">
    <mergeCell ref="A14:A16"/>
    <mergeCell ref="A1:B2"/>
    <mergeCell ref="C1:G1"/>
    <mergeCell ref="H1:L1"/>
    <mergeCell ref="M1:Q1"/>
    <mergeCell ref="A3:A13"/>
    <mergeCell ref="A17:A20"/>
    <mergeCell ref="A21:A25"/>
    <mergeCell ref="A27:A28"/>
    <mergeCell ref="A29:A30"/>
    <mergeCell ref="A38:A43"/>
    <mergeCell ref="A31:A37"/>
  </mergeCells>
  <phoneticPr fontId="26" type="noConversion"/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>
    <oddHeader>&amp;L&amp;G&amp;C&amp;F&amp;R文档密级</oddHeader>
    <oddFooter>&amp;L&amp;D&amp;C华为保密信息,未经授权禁止扩散&amp;R第&amp;P页，共&amp;N页</oddFooter>
  </headerFooter>
  <legacyDrawingHF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56"/>
  <sheetViews>
    <sheetView topLeftCell="A37" workbookViewId="0">
      <selection activeCell="D58" sqref="D58"/>
    </sheetView>
  </sheetViews>
  <sheetFormatPr defaultRowHeight="14.25"/>
  <cols>
    <col min="1" max="1" width="9" style="116"/>
    <col min="2" max="2" width="35.5" style="116" bestFit="1" customWidth="1"/>
    <col min="3" max="4" width="7.25" style="116" customWidth="1"/>
    <col min="5" max="5" width="7.5" style="116" customWidth="1"/>
    <col min="6" max="6" width="8.125" style="116" customWidth="1"/>
    <col min="7" max="8" width="7.25" style="116" customWidth="1"/>
    <col min="9" max="9" width="8.5" style="116" customWidth="1"/>
    <col min="10" max="10" width="5.875" style="116" customWidth="1"/>
    <col min="11" max="11" width="8.375" style="116" customWidth="1"/>
    <col min="12" max="12" width="8.25" style="116" customWidth="1"/>
    <col min="13" max="16384" width="9" style="116"/>
  </cols>
  <sheetData>
    <row r="1" spans="1:17" ht="14.25" customHeight="1">
      <c r="A1" s="379" t="s">
        <v>339</v>
      </c>
      <c r="B1" s="379"/>
      <c r="C1" s="376" t="s">
        <v>455</v>
      </c>
      <c r="D1" s="377"/>
      <c r="E1" s="377"/>
      <c r="F1" s="377"/>
      <c r="G1" s="377"/>
      <c r="H1" s="376" t="s">
        <v>456</v>
      </c>
      <c r="I1" s="377"/>
      <c r="J1" s="377"/>
      <c r="K1" s="377"/>
      <c r="L1" s="377"/>
      <c r="M1" s="376" t="s">
        <v>457</v>
      </c>
      <c r="N1" s="377"/>
      <c r="O1" s="377"/>
      <c r="P1" s="377"/>
      <c r="Q1" s="377"/>
    </row>
    <row r="2" spans="1:17">
      <c r="A2" s="379"/>
      <c r="B2" s="379"/>
      <c r="C2" s="225" t="s">
        <v>340</v>
      </c>
      <c r="D2" s="225" t="s">
        <v>319</v>
      </c>
      <c r="E2" s="225" t="s">
        <v>260</v>
      </c>
      <c r="F2" s="225" t="s">
        <v>261</v>
      </c>
      <c r="G2" s="225" t="s">
        <v>262</v>
      </c>
      <c r="H2" s="225" t="s">
        <v>318</v>
      </c>
      <c r="I2" s="225" t="s">
        <v>319</v>
      </c>
      <c r="J2" s="225" t="s">
        <v>260</v>
      </c>
      <c r="K2" s="225" t="s">
        <v>326</v>
      </c>
      <c r="L2" s="225" t="s">
        <v>262</v>
      </c>
      <c r="M2" s="225" t="s">
        <v>318</v>
      </c>
      <c r="N2" s="225" t="s">
        <v>319</v>
      </c>
      <c r="O2" s="225" t="s">
        <v>260</v>
      </c>
      <c r="P2" s="225" t="s">
        <v>326</v>
      </c>
      <c r="Q2" s="225" t="s">
        <v>262</v>
      </c>
    </row>
    <row r="3" spans="1:17">
      <c r="A3" s="351" t="s">
        <v>258</v>
      </c>
      <c r="B3" s="117" t="s">
        <v>259</v>
      </c>
      <c r="C3" s="248">
        <v>17</v>
      </c>
      <c r="D3" s="288">
        <v>38.24266608135791</v>
      </c>
      <c r="E3" s="288">
        <v>18.260348842935009</v>
      </c>
      <c r="F3" s="288">
        <v>56.50301492429292</v>
      </c>
      <c r="G3" s="288">
        <v>19.982317238422901</v>
      </c>
      <c r="H3" s="248">
        <v>12</v>
      </c>
      <c r="I3" s="288">
        <v>48.695135347514764</v>
      </c>
      <c r="J3" s="288">
        <v>13.19740148237952</v>
      </c>
      <c r="K3" s="288">
        <v>61.892536829894283</v>
      </c>
      <c r="L3" s="288">
        <v>35.497733865135245</v>
      </c>
      <c r="M3" s="135">
        <f>IFERROR(C3+H3,"")</f>
        <v>29</v>
      </c>
      <c r="N3" s="136">
        <f>IFERROR((C3*D3+H3*I3)/M3,"")</f>
        <v>42.56782577769868</v>
      </c>
      <c r="O3" s="136">
        <f>IFERROR((E3+J3)/2,"")</f>
        <v>15.728875162657264</v>
      </c>
      <c r="P3" s="136">
        <f>IFERROR(MAXA(F3,K3),"")</f>
        <v>61.892536829894283</v>
      </c>
      <c r="Q3" s="136">
        <f>IFERROR(MINA(G3,L3),"")</f>
        <v>19.982317238422901</v>
      </c>
    </row>
    <row r="4" spans="1:17">
      <c r="A4" s="351"/>
      <c r="B4" s="118" t="s">
        <v>331</v>
      </c>
      <c r="C4" s="248">
        <v>24</v>
      </c>
      <c r="D4" s="288">
        <v>36.810833333333335</v>
      </c>
      <c r="E4" s="288">
        <v>13.91010233971876</v>
      </c>
      <c r="F4" s="288">
        <v>50.720935673052097</v>
      </c>
      <c r="G4" s="288">
        <v>22.900730993614573</v>
      </c>
      <c r="H4" s="248">
        <v>6</v>
      </c>
      <c r="I4" s="288">
        <v>26.19147244623656</v>
      </c>
      <c r="J4" s="288">
        <v>4.9428597883836156</v>
      </c>
      <c r="K4" s="288">
        <v>31.134332234620175</v>
      </c>
      <c r="L4" s="288">
        <v>21.248612657852945</v>
      </c>
      <c r="M4" s="135">
        <f t="shared" ref="M4:M43" si="0">IFERROR(C4+H4,"")</f>
        <v>30</v>
      </c>
      <c r="N4" s="136">
        <f t="shared" ref="N4:N43" si="1">IFERROR((C4*D4+H4*I4)/M4,"")</f>
        <v>34.686961155913984</v>
      </c>
      <c r="O4" s="136">
        <f t="shared" ref="O4:O43" si="2">IFERROR((E4+J4)/2,"")</f>
        <v>9.4264810640511882</v>
      </c>
      <c r="P4" s="136">
        <f t="shared" ref="P4:P43" si="3">IFERROR(MAXA(F4,K4),"")</f>
        <v>50.720935673052097</v>
      </c>
      <c r="Q4" s="136">
        <f t="shared" ref="Q4:Q43" si="4">IFERROR(MINA(G4,L4),"")</f>
        <v>21.248612657852945</v>
      </c>
    </row>
    <row r="5" spans="1:17">
      <c r="A5" s="351"/>
      <c r="B5" s="118" t="s">
        <v>263</v>
      </c>
      <c r="C5" s="248">
        <v>2</v>
      </c>
      <c r="D5" s="288">
        <v>15.549701492537313</v>
      </c>
      <c r="E5" s="288">
        <v>21.82173742071906</v>
      </c>
      <c r="F5" s="288">
        <v>37.37143891325637</v>
      </c>
      <c r="G5" s="288">
        <v>0</v>
      </c>
      <c r="H5" s="248">
        <v>2</v>
      </c>
      <c r="I5" s="288">
        <v>0.54499999999999993</v>
      </c>
      <c r="J5" s="288">
        <v>3.5355339059327327E-2</v>
      </c>
      <c r="K5" s="288">
        <v>0.65106601717798185</v>
      </c>
      <c r="L5" s="288">
        <v>0.43893398282201795</v>
      </c>
      <c r="M5" s="135">
        <f t="shared" si="0"/>
        <v>4</v>
      </c>
      <c r="N5" s="136">
        <f t="shared" si="1"/>
        <v>8.0473507462686555</v>
      </c>
      <c r="O5" s="136">
        <f t="shared" si="2"/>
        <v>10.928546379889195</v>
      </c>
      <c r="P5" s="136">
        <f t="shared" si="3"/>
        <v>37.37143891325637</v>
      </c>
      <c r="Q5" s="136">
        <f t="shared" si="4"/>
        <v>0</v>
      </c>
    </row>
    <row r="6" spans="1:17">
      <c r="A6" s="351"/>
      <c r="B6" s="118" t="s">
        <v>257</v>
      </c>
      <c r="C6" s="248">
        <v>0</v>
      </c>
      <c r="D6" s="288" t="s">
        <v>87</v>
      </c>
      <c r="E6" s="288" t="s">
        <v>87</v>
      </c>
      <c r="F6" s="288" t="s">
        <v>87</v>
      </c>
      <c r="G6" s="288" t="s">
        <v>87</v>
      </c>
      <c r="H6" s="248"/>
      <c r="I6" s="288"/>
      <c r="J6" s="288"/>
      <c r="K6" s="288"/>
      <c r="L6" s="288"/>
      <c r="M6" s="135">
        <f t="shared" si="0"/>
        <v>0</v>
      </c>
      <c r="N6" s="136" t="str">
        <f t="shared" si="1"/>
        <v/>
      </c>
      <c r="O6" s="136" t="str">
        <f t="shared" si="2"/>
        <v/>
      </c>
      <c r="P6" s="136">
        <f t="shared" si="3"/>
        <v>0</v>
      </c>
      <c r="Q6" s="136">
        <f t="shared" si="4"/>
        <v>0</v>
      </c>
    </row>
    <row r="7" spans="1:17">
      <c r="A7" s="351"/>
      <c r="B7" s="118" t="s">
        <v>327</v>
      </c>
      <c r="C7" s="248">
        <v>3</v>
      </c>
      <c r="D7" s="289">
        <v>7.09</v>
      </c>
      <c r="E7" s="289">
        <v>0.23302360395462096</v>
      </c>
      <c r="F7" s="289">
        <v>7.789070811863863</v>
      </c>
      <c r="G7" s="289">
        <v>6.3909291881361368</v>
      </c>
      <c r="H7" s="248"/>
      <c r="I7" s="289"/>
      <c r="J7" s="289"/>
      <c r="K7" s="289"/>
      <c r="L7" s="289"/>
      <c r="M7" s="135">
        <f t="shared" si="0"/>
        <v>3</v>
      </c>
      <c r="N7" s="136">
        <f t="shared" si="1"/>
        <v>7.09</v>
      </c>
      <c r="O7" s="136">
        <f t="shared" si="2"/>
        <v>0.11651180197731048</v>
      </c>
      <c r="P7" s="136">
        <f t="shared" si="3"/>
        <v>7.789070811863863</v>
      </c>
      <c r="Q7" s="136">
        <f t="shared" si="4"/>
        <v>6.3909291881361368</v>
      </c>
    </row>
    <row r="8" spans="1:17">
      <c r="A8" s="351"/>
      <c r="B8" s="118" t="s">
        <v>264</v>
      </c>
      <c r="C8" s="248">
        <v>3</v>
      </c>
      <c r="D8" s="289">
        <v>10.06</v>
      </c>
      <c r="E8" s="289">
        <v>0.16522711641858309</v>
      </c>
      <c r="F8" s="289">
        <v>10.55568134925575</v>
      </c>
      <c r="G8" s="289">
        <v>9.5643186507442515</v>
      </c>
      <c r="H8" s="248">
        <v>2</v>
      </c>
      <c r="I8" s="289">
        <v>11.691091676718937</v>
      </c>
      <c r="J8" s="289">
        <v>0.11159322096819807</v>
      </c>
      <c r="K8" s="289">
        <v>12.025871339623531</v>
      </c>
      <c r="L8" s="289">
        <v>11.356312013814343</v>
      </c>
      <c r="M8" s="135">
        <f t="shared" si="0"/>
        <v>5</v>
      </c>
      <c r="N8" s="136">
        <f t="shared" si="1"/>
        <v>10.712436670687575</v>
      </c>
      <c r="O8" s="136">
        <f t="shared" si="2"/>
        <v>0.13841016869339057</v>
      </c>
      <c r="P8" s="136">
        <f t="shared" si="3"/>
        <v>12.025871339623531</v>
      </c>
      <c r="Q8" s="136">
        <f t="shared" si="4"/>
        <v>9.5643186507442515</v>
      </c>
    </row>
    <row r="9" spans="1:17">
      <c r="A9" s="351"/>
      <c r="B9" s="118" t="s">
        <v>265</v>
      </c>
      <c r="C9" s="248">
        <v>0</v>
      </c>
      <c r="D9" s="289" t="s">
        <v>87</v>
      </c>
      <c r="E9" s="289" t="s">
        <v>87</v>
      </c>
      <c r="F9" s="289" t="s">
        <v>87</v>
      </c>
      <c r="G9" s="289" t="s">
        <v>87</v>
      </c>
      <c r="H9" s="248"/>
      <c r="I9" s="289"/>
      <c r="J9" s="289"/>
      <c r="K9" s="289"/>
      <c r="L9" s="289"/>
      <c r="M9" s="135">
        <f t="shared" si="0"/>
        <v>0</v>
      </c>
      <c r="N9" s="136" t="str">
        <f t="shared" si="1"/>
        <v/>
      </c>
      <c r="O9" s="136" t="str">
        <f t="shared" si="2"/>
        <v/>
      </c>
      <c r="P9" s="136">
        <f t="shared" si="3"/>
        <v>0</v>
      </c>
      <c r="Q9" s="136">
        <f t="shared" si="4"/>
        <v>0</v>
      </c>
    </row>
    <row r="10" spans="1:17">
      <c r="A10" s="351"/>
      <c r="B10" s="118" t="s">
        <v>266</v>
      </c>
      <c r="C10" s="248">
        <v>1</v>
      </c>
      <c r="D10" s="289">
        <v>621</v>
      </c>
      <c r="E10" s="289" t="s">
        <v>87</v>
      </c>
      <c r="F10" s="289" t="s">
        <v>87</v>
      </c>
      <c r="G10" s="289" t="s">
        <v>87</v>
      </c>
      <c r="H10" s="248"/>
      <c r="I10" s="289"/>
      <c r="J10" s="289"/>
      <c r="K10" s="289"/>
      <c r="L10" s="289"/>
      <c r="M10" s="135">
        <f t="shared" si="0"/>
        <v>1</v>
      </c>
      <c r="N10" s="136">
        <f t="shared" si="1"/>
        <v>621</v>
      </c>
      <c r="O10" s="136" t="str">
        <f t="shared" si="2"/>
        <v/>
      </c>
      <c r="P10" s="136">
        <f t="shared" si="3"/>
        <v>0</v>
      </c>
      <c r="Q10" s="136">
        <f t="shared" si="4"/>
        <v>0</v>
      </c>
    </row>
    <row r="11" spans="1:17">
      <c r="A11" s="351"/>
      <c r="B11" s="118" t="s">
        <v>267</v>
      </c>
      <c r="C11" s="248">
        <v>13</v>
      </c>
      <c r="D11" s="290">
        <v>1.653846153846154E-2</v>
      </c>
      <c r="E11" s="290">
        <v>3.7145245062716055E-2</v>
      </c>
      <c r="F11" s="290">
        <v>5.3683706601177592E-2</v>
      </c>
      <c r="G11" s="290">
        <v>0</v>
      </c>
      <c r="H11" s="248">
        <v>3</v>
      </c>
      <c r="I11" s="290">
        <v>0</v>
      </c>
      <c r="J11" s="290">
        <v>0</v>
      </c>
      <c r="K11" s="290">
        <v>0</v>
      </c>
      <c r="L11" s="290">
        <v>0</v>
      </c>
      <c r="M11" s="135">
        <f t="shared" si="0"/>
        <v>16</v>
      </c>
      <c r="N11" s="247">
        <f t="shared" si="1"/>
        <v>1.3437500000000002E-2</v>
      </c>
      <c r="O11" s="247">
        <f t="shared" si="2"/>
        <v>1.8572622531358027E-2</v>
      </c>
      <c r="P11" s="247">
        <f t="shared" si="3"/>
        <v>5.3683706601177592E-2</v>
      </c>
      <c r="Q11" s="247">
        <f t="shared" si="4"/>
        <v>0</v>
      </c>
    </row>
    <row r="12" spans="1:17">
      <c r="A12" s="351"/>
      <c r="B12" s="118" t="s">
        <v>352</v>
      </c>
      <c r="C12" s="248">
        <v>61</v>
      </c>
      <c r="D12" s="290">
        <v>1.2950819672131148E-2</v>
      </c>
      <c r="E12" s="290">
        <v>5.1618609767378858E-2</v>
      </c>
      <c r="F12" s="290">
        <v>6.4569429439510009E-2</v>
      </c>
      <c r="G12" s="290">
        <v>-3.8667790095247706E-2</v>
      </c>
      <c r="H12" s="248">
        <v>10</v>
      </c>
      <c r="I12" s="290">
        <v>0</v>
      </c>
      <c r="J12" s="290">
        <v>0</v>
      </c>
      <c r="K12" s="290">
        <v>0</v>
      </c>
      <c r="L12" s="290">
        <v>0</v>
      </c>
      <c r="M12" s="135">
        <f t="shared" si="0"/>
        <v>71</v>
      </c>
      <c r="N12" s="247">
        <f t="shared" si="1"/>
        <v>1.1126760563380283E-2</v>
      </c>
      <c r="O12" s="247">
        <f t="shared" si="2"/>
        <v>2.5809304883689429E-2</v>
      </c>
      <c r="P12" s="247">
        <f t="shared" si="3"/>
        <v>6.4569429439510009E-2</v>
      </c>
      <c r="Q12" s="247">
        <f t="shared" si="4"/>
        <v>-3.8667790095247706E-2</v>
      </c>
    </row>
    <row r="13" spans="1:17">
      <c r="A13" s="351"/>
      <c r="B13" s="118" t="s">
        <v>268</v>
      </c>
      <c r="C13" s="248">
        <v>37</v>
      </c>
      <c r="D13" s="290">
        <v>6.7042928944884201E-4</v>
      </c>
      <c r="E13" s="290">
        <v>4.0780621610738759E-3</v>
      </c>
      <c r="F13" s="290">
        <v>4.7484914505227177E-3</v>
      </c>
      <c r="G13" s="290">
        <v>-3.4076328716250342E-3</v>
      </c>
      <c r="H13" s="248">
        <v>9</v>
      </c>
      <c r="I13" s="290">
        <v>2.9977777777777777E-2</v>
      </c>
      <c r="J13" s="290">
        <v>4.2753999163171214E-2</v>
      </c>
      <c r="K13" s="290">
        <v>7.2731776940948983E-2</v>
      </c>
      <c r="L13" s="290">
        <v>-1.2776221385393437E-2</v>
      </c>
      <c r="M13" s="135">
        <f t="shared" si="0"/>
        <v>46</v>
      </c>
      <c r="N13" s="247">
        <f t="shared" si="1"/>
        <v>6.4044757328175468E-3</v>
      </c>
      <c r="O13" s="247">
        <f t="shared" si="2"/>
        <v>2.3416030662122545E-2</v>
      </c>
      <c r="P13" s="247">
        <f t="shared" si="3"/>
        <v>7.2731776940948983E-2</v>
      </c>
      <c r="Q13" s="247">
        <f t="shared" si="4"/>
        <v>-1.2776221385393437E-2</v>
      </c>
    </row>
    <row r="14" spans="1:17">
      <c r="A14" s="378" t="s">
        <v>269</v>
      </c>
      <c r="B14" s="118" t="s">
        <v>270</v>
      </c>
      <c r="C14" s="248">
        <v>33</v>
      </c>
      <c r="D14" s="291">
        <v>0.8724747474747474</v>
      </c>
      <c r="E14" s="291">
        <v>0.33005211110333954</v>
      </c>
      <c r="F14" s="291">
        <v>1</v>
      </c>
      <c r="G14" s="291">
        <v>0.54242263637140786</v>
      </c>
      <c r="H14" s="248">
        <v>4</v>
      </c>
      <c r="I14" s="291">
        <v>1</v>
      </c>
      <c r="J14" s="291">
        <v>0</v>
      </c>
      <c r="K14" s="291">
        <v>1</v>
      </c>
      <c r="L14" s="291">
        <v>1</v>
      </c>
      <c r="M14" s="135">
        <f t="shared" si="0"/>
        <v>37</v>
      </c>
      <c r="N14" s="247">
        <f t="shared" si="1"/>
        <v>0.88626126126126115</v>
      </c>
      <c r="O14" s="247">
        <f t="shared" si="2"/>
        <v>0.16502605555166977</v>
      </c>
      <c r="P14" s="247">
        <f t="shared" si="3"/>
        <v>1</v>
      </c>
      <c r="Q14" s="247">
        <f t="shared" si="4"/>
        <v>0.54242263637140786</v>
      </c>
    </row>
    <row r="15" spans="1:17">
      <c r="A15" s="378"/>
      <c r="B15" s="118" t="s">
        <v>271</v>
      </c>
      <c r="C15" s="248">
        <v>1</v>
      </c>
      <c r="D15" s="288">
        <v>0.43</v>
      </c>
      <c r="E15" s="288" t="s">
        <v>87</v>
      </c>
      <c r="F15" s="288" t="s">
        <v>87</v>
      </c>
      <c r="G15" s="288" t="s">
        <v>87</v>
      </c>
      <c r="H15" s="248"/>
      <c r="I15" s="288"/>
      <c r="J15" s="288"/>
      <c r="K15" s="288"/>
      <c r="L15" s="288"/>
      <c r="M15" s="135">
        <f t="shared" si="0"/>
        <v>1</v>
      </c>
      <c r="N15" s="136">
        <f t="shared" si="1"/>
        <v>0.43</v>
      </c>
      <c r="O15" s="136" t="str">
        <f t="shared" si="2"/>
        <v/>
      </c>
      <c r="P15" s="136">
        <f t="shared" si="3"/>
        <v>0</v>
      </c>
      <c r="Q15" s="136">
        <f t="shared" si="4"/>
        <v>0</v>
      </c>
    </row>
    <row r="16" spans="1:17">
      <c r="A16" s="378"/>
      <c r="B16" s="118" t="s">
        <v>272</v>
      </c>
      <c r="C16" s="248">
        <v>0</v>
      </c>
      <c r="D16" s="288" t="s">
        <v>87</v>
      </c>
      <c r="E16" s="288" t="s">
        <v>87</v>
      </c>
      <c r="F16" s="288" t="s">
        <v>87</v>
      </c>
      <c r="G16" s="288" t="s">
        <v>87</v>
      </c>
      <c r="H16" s="248"/>
      <c r="I16" s="288"/>
      <c r="J16" s="288"/>
      <c r="K16" s="288"/>
      <c r="L16" s="288"/>
      <c r="M16" s="135">
        <f t="shared" si="0"/>
        <v>0</v>
      </c>
      <c r="N16" s="136" t="str">
        <f t="shared" si="1"/>
        <v/>
      </c>
      <c r="O16" s="136" t="str">
        <f t="shared" si="2"/>
        <v/>
      </c>
      <c r="P16" s="136">
        <f t="shared" si="3"/>
        <v>0</v>
      </c>
      <c r="Q16" s="136">
        <f t="shared" si="4"/>
        <v>0</v>
      </c>
    </row>
    <row r="17" spans="1:17">
      <c r="A17" s="378" t="s">
        <v>273</v>
      </c>
      <c r="B17" s="118" t="s">
        <v>306</v>
      </c>
      <c r="C17" s="248">
        <v>30</v>
      </c>
      <c r="D17" s="288">
        <v>8.5911607575816209</v>
      </c>
      <c r="E17" s="288">
        <v>3.1499289216330482</v>
      </c>
      <c r="F17" s="288">
        <v>11.741089679214669</v>
      </c>
      <c r="G17" s="288">
        <v>5.4412318359485727</v>
      </c>
      <c r="H17" s="248">
        <v>11</v>
      </c>
      <c r="I17" s="288">
        <v>5.6072727272727283</v>
      </c>
      <c r="J17" s="288">
        <v>1.8648758184345178</v>
      </c>
      <c r="K17" s="288">
        <v>7.4721485457072463</v>
      </c>
      <c r="L17" s="288">
        <v>3.7423969088382103</v>
      </c>
      <c r="M17" s="135">
        <f t="shared" si="0"/>
        <v>41</v>
      </c>
      <c r="N17" s="136">
        <f t="shared" si="1"/>
        <v>7.790605432376795</v>
      </c>
      <c r="O17" s="136">
        <f t="shared" si="2"/>
        <v>2.5074023700337831</v>
      </c>
      <c r="P17" s="136">
        <f t="shared" si="3"/>
        <v>11.741089679214669</v>
      </c>
      <c r="Q17" s="136">
        <f t="shared" si="4"/>
        <v>3.7423969088382103</v>
      </c>
    </row>
    <row r="18" spans="1:17">
      <c r="A18" s="378"/>
      <c r="B18" s="118" t="s">
        <v>274</v>
      </c>
      <c r="C18" s="248">
        <v>25</v>
      </c>
      <c r="D18" s="288"/>
      <c r="E18" s="288"/>
      <c r="F18" s="288"/>
      <c r="G18" s="288"/>
      <c r="H18" s="248">
        <v>2</v>
      </c>
      <c r="I18" s="288"/>
      <c r="J18" s="288"/>
      <c r="K18" s="288"/>
      <c r="L18" s="288"/>
      <c r="M18" s="135">
        <f t="shared" si="0"/>
        <v>27</v>
      </c>
      <c r="N18" s="136">
        <f t="shared" si="1"/>
        <v>0</v>
      </c>
      <c r="O18" s="136">
        <f t="shared" si="2"/>
        <v>0</v>
      </c>
      <c r="P18" s="136">
        <f t="shared" si="3"/>
        <v>0</v>
      </c>
      <c r="Q18" s="136">
        <f t="shared" si="4"/>
        <v>0</v>
      </c>
    </row>
    <row r="19" spans="1:17">
      <c r="A19" s="378"/>
      <c r="B19" s="118" t="s">
        <v>275</v>
      </c>
      <c r="C19" s="248">
        <v>59</v>
      </c>
      <c r="D19" s="288">
        <v>0.10169491525423729</v>
      </c>
      <c r="E19" s="288">
        <v>0.44314375554344421</v>
      </c>
      <c r="F19" s="288">
        <v>0.54483867079768156</v>
      </c>
      <c r="G19" s="288">
        <v>0</v>
      </c>
      <c r="H19" s="248">
        <v>17</v>
      </c>
      <c r="I19" s="288">
        <v>0</v>
      </c>
      <c r="J19" s="288">
        <v>0</v>
      </c>
      <c r="K19" s="288">
        <v>0</v>
      </c>
      <c r="L19" s="288">
        <v>0</v>
      </c>
      <c r="M19" s="135">
        <f t="shared" si="0"/>
        <v>76</v>
      </c>
      <c r="N19" s="136">
        <f t="shared" si="1"/>
        <v>7.8947368421052627E-2</v>
      </c>
      <c r="O19" s="136">
        <f t="shared" si="2"/>
        <v>0.2215718777717221</v>
      </c>
      <c r="P19" s="136">
        <f t="shared" si="3"/>
        <v>0.54483867079768156</v>
      </c>
      <c r="Q19" s="136">
        <f t="shared" si="4"/>
        <v>0</v>
      </c>
    </row>
    <row r="20" spans="1:17">
      <c r="A20" s="378"/>
      <c r="B20" s="118" t="s">
        <v>276</v>
      </c>
      <c r="C20" s="248">
        <v>59</v>
      </c>
      <c r="D20" s="288">
        <v>0</v>
      </c>
      <c r="E20" s="288">
        <v>0</v>
      </c>
      <c r="F20" s="288">
        <v>0</v>
      </c>
      <c r="G20" s="288">
        <v>0</v>
      </c>
      <c r="H20" s="248">
        <v>17</v>
      </c>
      <c r="I20" s="288">
        <v>0</v>
      </c>
      <c r="J20" s="288">
        <v>0</v>
      </c>
      <c r="K20" s="288">
        <v>0</v>
      </c>
      <c r="L20" s="288">
        <v>0</v>
      </c>
      <c r="M20" s="135">
        <f t="shared" si="0"/>
        <v>76</v>
      </c>
      <c r="N20" s="136">
        <f t="shared" si="1"/>
        <v>0</v>
      </c>
      <c r="O20" s="136">
        <f t="shared" si="2"/>
        <v>0</v>
      </c>
      <c r="P20" s="136">
        <f t="shared" si="3"/>
        <v>0</v>
      </c>
      <c r="Q20" s="136">
        <f t="shared" si="4"/>
        <v>0</v>
      </c>
    </row>
    <row r="21" spans="1:17">
      <c r="A21" s="378" t="s">
        <v>277</v>
      </c>
      <c r="B21" s="118" t="s">
        <v>278</v>
      </c>
      <c r="C21" s="248">
        <v>0</v>
      </c>
      <c r="D21" s="288" t="s">
        <v>87</v>
      </c>
      <c r="E21" s="288" t="s">
        <v>87</v>
      </c>
      <c r="F21" s="288" t="s">
        <v>87</v>
      </c>
      <c r="G21" s="288" t="s">
        <v>87</v>
      </c>
      <c r="H21" s="248"/>
      <c r="I21" s="288"/>
      <c r="J21" s="288"/>
      <c r="K21" s="288"/>
      <c r="L21" s="288"/>
      <c r="M21" s="135">
        <f t="shared" si="0"/>
        <v>0</v>
      </c>
      <c r="N21" s="136" t="str">
        <f t="shared" si="1"/>
        <v/>
      </c>
      <c r="O21" s="136" t="str">
        <f t="shared" si="2"/>
        <v/>
      </c>
      <c r="P21" s="136">
        <f t="shared" si="3"/>
        <v>0</v>
      </c>
      <c r="Q21" s="136">
        <f t="shared" si="4"/>
        <v>0</v>
      </c>
    </row>
    <row r="22" spans="1:17">
      <c r="A22" s="378"/>
      <c r="B22" s="118" t="s">
        <v>279</v>
      </c>
      <c r="C22" s="248">
        <v>0</v>
      </c>
      <c r="D22" s="288" t="s">
        <v>87</v>
      </c>
      <c r="E22" s="288" t="s">
        <v>87</v>
      </c>
      <c r="F22" s="288" t="s">
        <v>87</v>
      </c>
      <c r="G22" s="288" t="s">
        <v>87</v>
      </c>
      <c r="H22" s="248"/>
      <c r="I22" s="288"/>
      <c r="J22" s="288"/>
      <c r="K22" s="288"/>
      <c r="L22" s="288"/>
      <c r="M22" s="135">
        <f t="shared" si="0"/>
        <v>0</v>
      </c>
      <c r="N22" s="136" t="str">
        <f t="shared" si="1"/>
        <v/>
      </c>
      <c r="O22" s="136" t="str">
        <f t="shared" si="2"/>
        <v/>
      </c>
      <c r="P22" s="136">
        <f t="shared" si="3"/>
        <v>0</v>
      </c>
      <c r="Q22" s="136">
        <f t="shared" si="4"/>
        <v>0</v>
      </c>
    </row>
    <row r="23" spans="1:17">
      <c r="A23" s="378"/>
      <c r="B23" s="118" t="s">
        <v>280</v>
      </c>
      <c r="C23" s="248">
        <v>0</v>
      </c>
      <c r="D23" s="288" t="s">
        <v>87</v>
      </c>
      <c r="E23" s="288" t="s">
        <v>87</v>
      </c>
      <c r="F23" s="288" t="s">
        <v>87</v>
      </c>
      <c r="G23" s="288" t="s">
        <v>87</v>
      </c>
      <c r="H23" s="248"/>
      <c r="I23" s="288"/>
      <c r="J23" s="288"/>
      <c r="K23" s="288"/>
      <c r="L23" s="288"/>
      <c r="M23" s="135">
        <f t="shared" si="0"/>
        <v>0</v>
      </c>
      <c r="N23" s="136" t="str">
        <f t="shared" si="1"/>
        <v/>
      </c>
      <c r="O23" s="136" t="str">
        <f t="shared" si="2"/>
        <v/>
      </c>
      <c r="P23" s="136">
        <f t="shared" si="3"/>
        <v>0</v>
      </c>
      <c r="Q23" s="136">
        <f t="shared" si="4"/>
        <v>0</v>
      </c>
    </row>
    <row r="24" spans="1:17">
      <c r="A24" s="378"/>
      <c r="B24" s="118" t="s">
        <v>281</v>
      </c>
      <c r="C24" s="248">
        <v>15</v>
      </c>
      <c r="D24" s="290">
        <v>0.70155333333333336</v>
      </c>
      <c r="E24" s="290">
        <v>0.19191456382860511</v>
      </c>
      <c r="F24" s="290">
        <v>0.89346789716193853</v>
      </c>
      <c r="G24" s="290">
        <v>0.5096387695047282</v>
      </c>
      <c r="H24" s="248">
        <v>2</v>
      </c>
      <c r="I24" s="290">
        <v>0.71500000000000008</v>
      </c>
      <c r="J24" s="290">
        <v>0.12020815280171246</v>
      </c>
      <c r="K24" s="290">
        <v>0.83520815280171257</v>
      </c>
      <c r="L24" s="290">
        <v>0.59479184719828759</v>
      </c>
      <c r="M24" s="135">
        <f t="shared" si="0"/>
        <v>17</v>
      </c>
      <c r="N24" s="247">
        <f t="shared" si="1"/>
        <v>0.70313529411764708</v>
      </c>
      <c r="O24" s="247">
        <f t="shared" si="2"/>
        <v>0.15606135831515877</v>
      </c>
      <c r="P24" s="247">
        <f t="shared" si="3"/>
        <v>0.89346789716193853</v>
      </c>
      <c r="Q24" s="247">
        <f t="shared" si="4"/>
        <v>0.5096387695047282</v>
      </c>
    </row>
    <row r="25" spans="1:17">
      <c r="A25" s="378"/>
      <c r="B25" s="118" t="s">
        <v>282</v>
      </c>
      <c r="C25" s="248">
        <v>8</v>
      </c>
      <c r="D25" s="288">
        <v>3.6837500000000003</v>
      </c>
      <c r="E25" s="288">
        <v>2.332123113020776</v>
      </c>
      <c r="F25" s="288">
        <v>6.0158731130207759</v>
      </c>
      <c r="G25" s="288">
        <v>1.3516268869792243</v>
      </c>
      <c r="H25" s="248"/>
      <c r="I25" s="288"/>
      <c r="J25" s="288"/>
      <c r="K25" s="288"/>
      <c r="L25" s="288"/>
      <c r="M25" s="135">
        <f t="shared" si="0"/>
        <v>8</v>
      </c>
      <c r="N25" s="136">
        <f t="shared" si="1"/>
        <v>3.6837500000000003</v>
      </c>
      <c r="O25" s="136">
        <f t="shared" si="2"/>
        <v>1.166061556510388</v>
      </c>
      <c r="P25" s="136">
        <f t="shared" si="3"/>
        <v>6.0158731130207759</v>
      </c>
      <c r="Q25" s="136">
        <f t="shared" si="4"/>
        <v>1.3516268869792243</v>
      </c>
    </row>
    <row r="26" spans="1:17">
      <c r="A26" s="224" t="s">
        <v>283</v>
      </c>
      <c r="B26" s="118" t="s">
        <v>284</v>
      </c>
      <c r="C26" s="248"/>
      <c r="D26" s="288"/>
      <c r="E26" s="288"/>
      <c r="F26" s="288"/>
      <c r="G26" s="288"/>
      <c r="H26" s="248"/>
      <c r="I26" s="288"/>
      <c r="J26" s="288"/>
      <c r="K26" s="288"/>
      <c r="L26" s="288"/>
      <c r="M26" s="135">
        <f t="shared" si="0"/>
        <v>0</v>
      </c>
      <c r="N26" s="136" t="str">
        <f t="shared" si="1"/>
        <v/>
      </c>
      <c r="O26" s="136">
        <f t="shared" si="2"/>
        <v>0</v>
      </c>
      <c r="P26" s="136">
        <f t="shared" si="3"/>
        <v>0</v>
      </c>
      <c r="Q26" s="136">
        <f t="shared" si="4"/>
        <v>0</v>
      </c>
    </row>
    <row r="27" spans="1:17">
      <c r="A27" s="378" t="s">
        <v>285</v>
      </c>
      <c r="B27" s="118" t="s">
        <v>286</v>
      </c>
      <c r="C27" s="248">
        <v>0</v>
      </c>
      <c r="D27" s="288" t="s">
        <v>87</v>
      </c>
      <c r="E27" s="288" t="s">
        <v>87</v>
      </c>
      <c r="F27" s="288" t="s">
        <v>87</v>
      </c>
      <c r="G27" s="288" t="s">
        <v>87</v>
      </c>
      <c r="H27" s="248"/>
      <c r="I27" s="288"/>
      <c r="J27" s="288"/>
      <c r="K27" s="288"/>
      <c r="L27" s="288"/>
      <c r="M27" s="135">
        <f t="shared" si="0"/>
        <v>0</v>
      </c>
      <c r="N27" s="136" t="str">
        <f t="shared" si="1"/>
        <v/>
      </c>
      <c r="O27" s="136" t="str">
        <f t="shared" si="2"/>
        <v/>
      </c>
      <c r="P27" s="136">
        <f t="shared" si="3"/>
        <v>0</v>
      </c>
      <c r="Q27" s="136">
        <f t="shared" si="4"/>
        <v>0</v>
      </c>
    </row>
    <row r="28" spans="1:17">
      <c r="A28" s="378"/>
      <c r="B28" s="118" t="s">
        <v>287</v>
      </c>
      <c r="C28" s="248">
        <v>7</v>
      </c>
      <c r="D28" s="288">
        <v>0.30142857142857149</v>
      </c>
      <c r="E28" s="288">
        <v>0.31211261703796228</v>
      </c>
      <c r="F28" s="288">
        <v>0.61354118846653383</v>
      </c>
      <c r="G28" s="288">
        <v>0</v>
      </c>
      <c r="H28" s="248">
        <v>4</v>
      </c>
      <c r="I28" s="288">
        <v>1.00075</v>
      </c>
      <c r="J28" s="288">
        <v>0.58528817688383217</v>
      </c>
      <c r="K28" s="288">
        <v>1.5860381768838323</v>
      </c>
      <c r="L28" s="288">
        <v>0.41546182311616786</v>
      </c>
      <c r="M28" s="135">
        <f t="shared" si="0"/>
        <v>11</v>
      </c>
      <c r="N28" s="136">
        <f t="shared" si="1"/>
        <v>0.55572727272727274</v>
      </c>
      <c r="O28" s="136">
        <f t="shared" si="2"/>
        <v>0.44870039696089725</v>
      </c>
      <c r="P28" s="136">
        <f t="shared" si="3"/>
        <v>1.5860381768838323</v>
      </c>
      <c r="Q28" s="136">
        <f t="shared" si="4"/>
        <v>0</v>
      </c>
    </row>
    <row r="29" spans="1:17">
      <c r="A29" s="378" t="s">
        <v>288</v>
      </c>
      <c r="B29" s="118" t="s">
        <v>289</v>
      </c>
      <c r="C29" s="248">
        <v>29</v>
      </c>
      <c r="D29" s="288">
        <v>0.41724137931034483</v>
      </c>
      <c r="E29" s="288">
        <v>1.2950645228044049</v>
      </c>
      <c r="F29" s="288">
        <v>1.7123059021147498</v>
      </c>
      <c r="G29" s="288">
        <v>0</v>
      </c>
      <c r="H29" s="248">
        <v>7</v>
      </c>
      <c r="I29" s="288">
        <v>0.39999999999999997</v>
      </c>
      <c r="J29" s="288">
        <v>1.0583005244258361</v>
      </c>
      <c r="K29" s="288">
        <v>1.458300524425836</v>
      </c>
      <c r="L29" s="288">
        <v>0</v>
      </c>
      <c r="M29" s="135">
        <f t="shared" si="0"/>
        <v>36</v>
      </c>
      <c r="N29" s="136">
        <f t="shared" si="1"/>
        <v>0.41388888888888886</v>
      </c>
      <c r="O29" s="136">
        <f t="shared" si="2"/>
        <v>1.1766825236151206</v>
      </c>
      <c r="P29" s="136">
        <f t="shared" si="3"/>
        <v>1.7123059021147498</v>
      </c>
      <c r="Q29" s="136">
        <f t="shared" si="4"/>
        <v>0</v>
      </c>
    </row>
    <row r="30" spans="1:17">
      <c r="A30" s="378"/>
      <c r="B30" s="118" t="s">
        <v>290</v>
      </c>
      <c r="C30" s="248">
        <v>41</v>
      </c>
      <c r="D30" s="288">
        <v>0</v>
      </c>
      <c r="E30" s="288">
        <v>0</v>
      </c>
      <c r="F30" s="288">
        <v>0</v>
      </c>
      <c r="G30" s="288">
        <v>0</v>
      </c>
      <c r="H30" s="248">
        <v>17</v>
      </c>
      <c r="I30" s="288">
        <v>0</v>
      </c>
      <c r="J30" s="288">
        <v>0</v>
      </c>
      <c r="K30" s="288">
        <v>0</v>
      </c>
      <c r="L30" s="288">
        <v>0</v>
      </c>
      <c r="M30" s="135">
        <f t="shared" si="0"/>
        <v>58</v>
      </c>
      <c r="N30" s="136">
        <f t="shared" si="1"/>
        <v>0</v>
      </c>
      <c r="O30" s="136">
        <f t="shared" si="2"/>
        <v>0</v>
      </c>
      <c r="P30" s="136">
        <f t="shared" si="3"/>
        <v>0</v>
      </c>
      <c r="Q30" s="136">
        <f t="shared" si="4"/>
        <v>0</v>
      </c>
    </row>
    <row r="31" spans="1:17">
      <c r="A31" s="380" t="s">
        <v>291</v>
      </c>
      <c r="B31" s="118" t="s">
        <v>292</v>
      </c>
      <c r="C31" s="248">
        <v>11</v>
      </c>
      <c r="D31" s="290">
        <v>1</v>
      </c>
      <c r="E31" s="290">
        <v>0</v>
      </c>
      <c r="F31" s="290">
        <v>1</v>
      </c>
      <c r="G31" s="290">
        <v>1</v>
      </c>
      <c r="H31" s="248">
        <v>4</v>
      </c>
      <c r="I31" s="290">
        <v>1</v>
      </c>
      <c r="J31" s="290">
        <v>0</v>
      </c>
      <c r="K31" s="290">
        <v>1</v>
      </c>
      <c r="L31" s="290">
        <v>1</v>
      </c>
      <c r="M31" s="135">
        <f t="shared" si="0"/>
        <v>15</v>
      </c>
      <c r="N31" s="247">
        <f t="shared" si="1"/>
        <v>1</v>
      </c>
      <c r="O31" s="247">
        <f t="shared" si="2"/>
        <v>0</v>
      </c>
      <c r="P31" s="247">
        <f t="shared" si="3"/>
        <v>1</v>
      </c>
      <c r="Q31" s="247">
        <f t="shared" si="4"/>
        <v>1</v>
      </c>
    </row>
    <row r="32" spans="1:17">
      <c r="A32" s="381"/>
      <c r="B32" s="118" t="s">
        <v>293</v>
      </c>
      <c r="C32" s="248">
        <v>5</v>
      </c>
      <c r="D32" s="288">
        <v>2.66</v>
      </c>
      <c r="E32" s="288">
        <v>1.718429515575195</v>
      </c>
      <c r="F32" s="288">
        <v>4.3784295155751956</v>
      </c>
      <c r="G32" s="288">
        <v>0.94157048442480518</v>
      </c>
      <c r="H32" s="248"/>
      <c r="I32" s="288"/>
      <c r="J32" s="288"/>
      <c r="K32" s="288"/>
      <c r="L32" s="288"/>
      <c r="M32" s="135">
        <f t="shared" si="0"/>
        <v>5</v>
      </c>
      <c r="N32" s="136">
        <f t="shared" si="1"/>
        <v>2.66</v>
      </c>
      <c r="O32" s="136">
        <f t="shared" si="2"/>
        <v>0.85921475778759748</v>
      </c>
      <c r="P32" s="136">
        <f t="shared" si="3"/>
        <v>4.3784295155751956</v>
      </c>
      <c r="Q32" s="136">
        <f t="shared" si="4"/>
        <v>0.94157048442480518</v>
      </c>
    </row>
    <row r="33" spans="1:17">
      <c r="A33" s="381"/>
      <c r="B33" s="118" t="s">
        <v>294</v>
      </c>
      <c r="C33" s="248">
        <v>4</v>
      </c>
      <c r="D33" s="288">
        <v>16.25</v>
      </c>
      <c r="E33" s="288">
        <v>1.2583057392117916</v>
      </c>
      <c r="F33" s="288">
        <v>20.024917217635377</v>
      </c>
      <c r="G33" s="288">
        <v>12.475082782364625</v>
      </c>
      <c r="H33" s="248"/>
      <c r="I33" s="288"/>
      <c r="J33" s="288"/>
      <c r="K33" s="288"/>
      <c r="L33" s="288"/>
      <c r="M33" s="135">
        <f t="shared" si="0"/>
        <v>4</v>
      </c>
      <c r="N33" s="136">
        <f t="shared" si="1"/>
        <v>16.25</v>
      </c>
      <c r="O33" s="136">
        <f t="shared" si="2"/>
        <v>0.62915286960589578</v>
      </c>
      <c r="P33" s="136">
        <f t="shared" si="3"/>
        <v>20.024917217635377</v>
      </c>
      <c r="Q33" s="136">
        <f t="shared" si="4"/>
        <v>12.475082782364625</v>
      </c>
    </row>
    <row r="34" spans="1:17">
      <c r="A34" s="381"/>
      <c r="B34" s="118" t="s">
        <v>295</v>
      </c>
      <c r="C34" s="248">
        <v>0</v>
      </c>
      <c r="D34" s="288" t="s">
        <v>87</v>
      </c>
      <c r="E34" s="288" t="s">
        <v>87</v>
      </c>
      <c r="F34" s="288" t="s">
        <v>87</v>
      </c>
      <c r="G34" s="288" t="s">
        <v>87</v>
      </c>
      <c r="H34" s="248"/>
      <c r="I34" s="288"/>
      <c r="J34" s="288"/>
      <c r="K34" s="288"/>
      <c r="L34" s="288"/>
      <c r="M34" s="135">
        <f t="shared" si="0"/>
        <v>0</v>
      </c>
      <c r="N34" s="136" t="str">
        <f t="shared" si="1"/>
        <v/>
      </c>
      <c r="O34" s="136" t="str">
        <f t="shared" si="2"/>
        <v/>
      </c>
      <c r="P34" s="136">
        <f t="shared" si="3"/>
        <v>0</v>
      </c>
      <c r="Q34" s="136">
        <f t="shared" si="4"/>
        <v>0</v>
      </c>
    </row>
    <row r="35" spans="1:17">
      <c r="A35" s="382"/>
      <c r="B35" s="118" t="s">
        <v>296</v>
      </c>
      <c r="C35" s="248">
        <v>2</v>
      </c>
      <c r="D35" s="288">
        <v>2</v>
      </c>
      <c r="E35" s="288">
        <v>0</v>
      </c>
      <c r="F35" s="288">
        <v>2</v>
      </c>
      <c r="G35" s="288">
        <v>2</v>
      </c>
      <c r="H35" s="248"/>
      <c r="I35" s="288"/>
      <c r="J35" s="288"/>
      <c r="K35" s="288"/>
      <c r="L35" s="288"/>
      <c r="M35" s="135">
        <f t="shared" si="0"/>
        <v>2</v>
      </c>
      <c r="N35" s="136">
        <f t="shared" si="1"/>
        <v>2</v>
      </c>
      <c r="O35" s="136">
        <f t="shared" si="2"/>
        <v>0</v>
      </c>
      <c r="P35" s="136">
        <f t="shared" si="3"/>
        <v>2</v>
      </c>
      <c r="Q35" s="136">
        <f t="shared" si="4"/>
        <v>2</v>
      </c>
    </row>
    <row r="36" spans="1:17">
      <c r="A36" s="382"/>
      <c r="B36" s="118" t="s">
        <v>297</v>
      </c>
      <c r="C36" s="248">
        <v>0</v>
      </c>
      <c r="D36" s="288" t="s">
        <v>87</v>
      </c>
      <c r="E36" s="288" t="s">
        <v>87</v>
      </c>
      <c r="F36" s="288" t="s">
        <v>87</v>
      </c>
      <c r="G36" s="288" t="s">
        <v>87</v>
      </c>
      <c r="H36" s="248"/>
      <c r="I36" s="288"/>
      <c r="J36" s="288"/>
      <c r="K36" s="288"/>
      <c r="L36" s="288"/>
      <c r="M36" s="135">
        <f t="shared" si="0"/>
        <v>0</v>
      </c>
      <c r="N36" s="136" t="str">
        <f t="shared" si="1"/>
        <v/>
      </c>
      <c r="O36" s="136" t="str">
        <f t="shared" si="2"/>
        <v/>
      </c>
      <c r="P36" s="136">
        <f t="shared" si="3"/>
        <v>0</v>
      </c>
      <c r="Q36" s="136">
        <f t="shared" si="4"/>
        <v>0</v>
      </c>
    </row>
    <row r="37" spans="1:17">
      <c r="A37" s="383"/>
      <c r="B37" s="118" t="s">
        <v>298</v>
      </c>
      <c r="C37" s="248">
        <v>0</v>
      </c>
      <c r="D37" s="288" t="s">
        <v>87</v>
      </c>
      <c r="E37" s="288" t="s">
        <v>87</v>
      </c>
      <c r="F37" s="288" t="s">
        <v>87</v>
      </c>
      <c r="G37" s="288" t="s">
        <v>87</v>
      </c>
      <c r="H37" s="248"/>
      <c r="I37" s="288"/>
      <c r="J37" s="288"/>
      <c r="K37" s="288"/>
      <c r="L37" s="288"/>
      <c r="M37" s="135">
        <f t="shared" si="0"/>
        <v>0</v>
      </c>
      <c r="N37" s="136" t="str">
        <f t="shared" si="1"/>
        <v/>
      </c>
      <c r="O37" s="136" t="str">
        <f t="shared" si="2"/>
        <v/>
      </c>
      <c r="P37" s="136">
        <f t="shared" si="3"/>
        <v>0</v>
      </c>
      <c r="Q37" s="136">
        <f t="shared" si="4"/>
        <v>0</v>
      </c>
    </row>
    <row r="38" spans="1:17">
      <c r="A38" s="364" t="s">
        <v>299</v>
      </c>
      <c r="B38" s="118" t="s">
        <v>300</v>
      </c>
      <c r="C38" s="248">
        <v>42</v>
      </c>
      <c r="D38" s="288">
        <v>0</v>
      </c>
      <c r="E38" s="288">
        <v>0</v>
      </c>
      <c r="F38" s="288">
        <v>0</v>
      </c>
      <c r="G38" s="288">
        <v>0</v>
      </c>
      <c r="H38" s="248">
        <v>2</v>
      </c>
      <c r="I38" s="288">
        <v>0</v>
      </c>
      <c r="J38" s="288">
        <v>0</v>
      </c>
      <c r="K38" s="288">
        <v>0</v>
      </c>
      <c r="L38" s="288">
        <v>0</v>
      </c>
      <c r="M38" s="135">
        <f t="shared" si="0"/>
        <v>44</v>
      </c>
      <c r="N38" s="136">
        <f t="shared" si="1"/>
        <v>0</v>
      </c>
      <c r="O38" s="136">
        <f t="shared" si="2"/>
        <v>0</v>
      </c>
      <c r="P38" s="136">
        <f t="shared" si="3"/>
        <v>0</v>
      </c>
      <c r="Q38" s="136">
        <f t="shared" si="4"/>
        <v>0</v>
      </c>
    </row>
    <row r="39" spans="1:17">
      <c r="A39" s="364"/>
      <c r="B39" s="118" t="s">
        <v>301</v>
      </c>
      <c r="C39" s="248">
        <v>30</v>
      </c>
      <c r="D39" s="288">
        <v>4.059333333333333</v>
      </c>
      <c r="E39" s="288">
        <v>2.5516917083990864</v>
      </c>
      <c r="F39" s="288">
        <v>6.6110250417324199</v>
      </c>
      <c r="G39" s="288">
        <v>1.5076416249342466</v>
      </c>
      <c r="H39" s="248">
        <v>2</v>
      </c>
      <c r="I39" s="288">
        <v>1.9750000000000001</v>
      </c>
      <c r="J39" s="288">
        <v>0.27577164466275345</v>
      </c>
      <c r="K39" s="288">
        <v>2.2507716446627537</v>
      </c>
      <c r="L39" s="288">
        <v>1.6992283553372467</v>
      </c>
      <c r="M39" s="135">
        <f t="shared" si="0"/>
        <v>32</v>
      </c>
      <c r="N39" s="136">
        <f t="shared" si="1"/>
        <v>3.9290624999999997</v>
      </c>
      <c r="O39" s="136">
        <f t="shared" si="2"/>
        <v>1.41373167653092</v>
      </c>
      <c r="P39" s="136">
        <f t="shared" si="3"/>
        <v>6.6110250417324199</v>
      </c>
      <c r="Q39" s="136">
        <f t="shared" si="4"/>
        <v>1.5076416249342466</v>
      </c>
    </row>
    <row r="40" spans="1:17">
      <c r="A40" s="364"/>
      <c r="B40" s="118" t="s">
        <v>302</v>
      </c>
      <c r="C40" s="248">
        <v>21</v>
      </c>
      <c r="D40" s="290">
        <v>5.1166666666666666E-2</v>
      </c>
      <c r="E40" s="290">
        <v>1.9583726237193299E-2</v>
      </c>
      <c r="F40" s="290">
        <v>7.0750392903859968E-2</v>
      </c>
      <c r="G40" s="290">
        <v>3.1582940429473363E-2</v>
      </c>
      <c r="H40" s="248">
        <v>2</v>
      </c>
      <c r="I40" s="290">
        <v>6.5500000000000003E-2</v>
      </c>
      <c r="J40" s="290">
        <v>1.6263455967290567E-2</v>
      </c>
      <c r="K40" s="290">
        <v>8.1763455967290566E-2</v>
      </c>
      <c r="L40" s="290">
        <v>4.9236544032709439E-2</v>
      </c>
      <c r="M40" s="135">
        <f t="shared" si="0"/>
        <v>23</v>
      </c>
      <c r="N40" s="247">
        <f t="shared" si="1"/>
        <v>5.2413043478260868E-2</v>
      </c>
      <c r="O40" s="247">
        <f t="shared" si="2"/>
        <v>1.7923591102241933E-2</v>
      </c>
      <c r="P40" s="247">
        <f t="shared" si="3"/>
        <v>8.1763455967290566E-2</v>
      </c>
      <c r="Q40" s="247">
        <f t="shared" si="4"/>
        <v>3.1582940429473363E-2</v>
      </c>
    </row>
    <row r="41" spans="1:17">
      <c r="A41" s="364"/>
      <c r="B41" s="120" t="s">
        <v>303</v>
      </c>
      <c r="C41" s="248">
        <v>32</v>
      </c>
      <c r="D41" s="288">
        <v>0</v>
      </c>
      <c r="E41" s="288">
        <v>0</v>
      </c>
      <c r="F41" s="288">
        <v>0</v>
      </c>
      <c r="G41" s="288">
        <v>0</v>
      </c>
      <c r="H41" s="248">
        <v>2</v>
      </c>
      <c r="I41" s="288">
        <v>0</v>
      </c>
      <c r="J41" s="288">
        <v>0</v>
      </c>
      <c r="K41" s="288">
        <v>0</v>
      </c>
      <c r="L41" s="288">
        <v>0</v>
      </c>
      <c r="M41" s="135">
        <f t="shared" si="0"/>
        <v>34</v>
      </c>
      <c r="N41" s="136">
        <f t="shared" si="1"/>
        <v>0</v>
      </c>
      <c r="O41" s="136">
        <f t="shared" si="2"/>
        <v>0</v>
      </c>
      <c r="P41" s="136">
        <f t="shared" si="3"/>
        <v>0</v>
      </c>
      <c r="Q41" s="136">
        <f t="shared" si="4"/>
        <v>0</v>
      </c>
    </row>
    <row r="42" spans="1:17">
      <c r="A42" s="364"/>
      <c r="B42" s="120" t="s">
        <v>304</v>
      </c>
      <c r="C42" s="248">
        <v>32</v>
      </c>
      <c r="D42" s="288">
        <v>0</v>
      </c>
      <c r="E42" s="288">
        <v>0</v>
      </c>
      <c r="F42" s="288">
        <v>0</v>
      </c>
      <c r="G42" s="288">
        <v>0</v>
      </c>
      <c r="H42" s="248">
        <v>2</v>
      </c>
      <c r="I42" s="288">
        <v>0</v>
      </c>
      <c r="J42" s="288">
        <v>0</v>
      </c>
      <c r="K42" s="288">
        <v>0</v>
      </c>
      <c r="L42" s="288">
        <v>0</v>
      </c>
      <c r="M42" s="135">
        <f t="shared" si="0"/>
        <v>34</v>
      </c>
      <c r="N42" s="136">
        <f t="shared" si="1"/>
        <v>0</v>
      </c>
      <c r="O42" s="136">
        <f t="shared" si="2"/>
        <v>0</v>
      </c>
      <c r="P42" s="136">
        <f t="shared" si="3"/>
        <v>0</v>
      </c>
      <c r="Q42" s="136">
        <f t="shared" si="4"/>
        <v>0</v>
      </c>
    </row>
    <row r="43" spans="1:17">
      <c r="A43" s="364"/>
      <c r="B43" s="120" t="s">
        <v>305</v>
      </c>
      <c r="C43" s="248">
        <v>13</v>
      </c>
      <c r="D43" s="292">
        <v>97.024615384615373</v>
      </c>
      <c r="E43" s="292">
        <v>8.6262270773347716</v>
      </c>
      <c r="F43" s="292">
        <v>122.90329661661968</v>
      </c>
      <c r="G43" s="292">
        <v>71.145934152611062</v>
      </c>
      <c r="H43" s="248"/>
      <c r="I43" s="292"/>
      <c r="J43" s="292"/>
      <c r="K43" s="292"/>
      <c r="L43" s="292"/>
      <c r="M43" s="135">
        <f t="shared" si="0"/>
        <v>13</v>
      </c>
      <c r="N43" s="136">
        <f t="shared" si="1"/>
        <v>97.024615384615373</v>
      </c>
      <c r="O43" s="136">
        <f t="shared" si="2"/>
        <v>4.3131135386673858</v>
      </c>
      <c r="P43" s="136">
        <f t="shared" si="3"/>
        <v>122.90329661661968</v>
      </c>
      <c r="Q43" s="136">
        <f t="shared" si="4"/>
        <v>71.145934152611062</v>
      </c>
    </row>
    <row r="44" spans="1:17">
      <c r="A44" s="389" t="s">
        <v>488</v>
      </c>
      <c r="B44" s="118" t="s">
        <v>152</v>
      </c>
      <c r="C44" s="293">
        <v>0</v>
      </c>
      <c r="D44" s="288" t="s">
        <v>87</v>
      </c>
      <c r="E44" s="288" t="s">
        <v>87</v>
      </c>
      <c r="F44" s="288" t="s">
        <v>87</v>
      </c>
      <c r="G44" s="288" t="s">
        <v>87</v>
      </c>
      <c r="H44" s="293">
        <v>0</v>
      </c>
      <c r="I44" s="288" t="s">
        <v>87</v>
      </c>
      <c r="J44" s="288" t="s">
        <v>87</v>
      </c>
      <c r="K44" s="288" t="s">
        <v>87</v>
      </c>
      <c r="L44" s="288" t="s">
        <v>87</v>
      </c>
      <c r="M44" s="135">
        <f t="shared" ref="M44:M56" si="5">IFERROR(C44+H44,"")</f>
        <v>0</v>
      </c>
      <c r="N44" s="136" t="str">
        <f t="shared" ref="N44:N56" si="6">IFERROR((C44*D44+H44*I44)/M44,"")</f>
        <v/>
      </c>
      <c r="O44" s="136" t="str">
        <f t="shared" ref="O44:O56" si="7">IFERROR((E44+J44)/2,"")</f>
        <v/>
      </c>
      <c r="P44" s="136">
        <f t="shared" ref="P44:P56" si="8">IFERROR(MAXA(F44,K44),"")</f>
        <v>0</v>
      </c>
      <c r="Q44" s="136">
        <f t="shared" ref="Q44:Q56" si="9">IFERROR(MINA(G44,L44),"")</f>
        <v>0</v>
      </c>
    </row>
    <row r="45" spans="1:17">
      <c r="A45" s="351"/>
      <c r="B45" s="118" t="s">
        <v>309</v>
      </c>
      <c r="C45" s="293">
        <v>5</v>
      </c>
      <c r="D45" s="288">
        <v>4.306</v>
      </c>
      <c r="E45" s="288">
        <v>1.5623955965119716</v>
      </c>
      <c r="F45" s="288">
        <v>5.8683955965119718</v>
      </c>
      <c r="G45" s="288">
        <v>2.7436044034880283</v>
      </c>
      <c r="H45" s="293">
        <v>10</v>
      </c>
      <c r="I45" s="288">
        <v>4.9307912379059919</v>
      </c>
      <c r="J45" s="288">
        <v>1.6508291535069146</v>
      </c>
      <c r="K45" s="288">
        <v>6.5816203914129066</v>
      </c>
      <c r="L45" s="288">
        <v>3.2799620843990773</v>
      </c>
      <c r="M45" s="135">
        <f t="shared" si="5"/>
        <v>15</v>
      </c>
      <c r="N45" s="136">
        <f t="shared" si="6"/>
        <v>4.7225274919373286</v>
      </c>
      <c r="O45" s="136">
        <f t="shared" si="7"/>
        <v>1.6066123750094432</v>
      </c>
      <c r="P45" s="136">
        <f t="shared" si="8"/>
        <v>6.5816203914129066</v>
      </c>
      <c r="Q45" s="136">
        <f t="shared" si="9"/>
        <v>2.7436044034880283</v>
      </c>
    </row>
    <row r="46" spans="1:17">
      <c r="A46" s="351"/>
      <c r="B46" s="118" t="s">
        <v>310</v>
      </c>
      <c r="C46" s="293">
        <v>1</v>
      </c>
      <c r="D46" s="288">
        <v>11.63</v>
      </c>
      <c r="E46" s="288" t="s">
        <v>87</v>
      </c>
      <c r="F46" s="288" t="s">
        <v>87</v>
      </c>
      <c r="G46" s="288" t="s">
        <v>87</v>
      </c>
      <c r="H46" s="293">
        <v>2</v>
      </c>
      <c r="I46" s="288">
        <v>15</v>
      </c>
      <c r="J46" s="288">
        <v>7.0710678118654755</v>
      </c>
      <c r="K46" s="288">
        <v>22.071067811865476</v>
      </c>
      <c r="L46" s="288">
        <v>7.9289321881345245</v>
      </c>
      <c r="M46" s="135">
        <f t="shared" si="5"/>
        <v>3</v>
      </c>
      <c r="N46" s="136">
        <f t="shared" si="6"/>
        <v>13.876666666666667</v>
      </c>
      <c r="O46" s="136" t="str">
        <f t="shared" si="7"/>
        <v/>
      </c>
      <c r="P46" s="136">
        <f t="shared" si="8"/>
        <v>22.071067811865476</v>
      </c>
      <c r="Q46" s="136">
        <f t="shared" si="9"/>
        <v>0</v>
      </c>
    </row>
    <row r="47" spans="1:17">
      <c r="A47" s="351"/>
      <c r="B47" s="118" t="s">
        <v>311</v>
      </c>
      <c r="C47" s="293">
        <v>17</v>
      </c>
      <c r="D47" s="288">
        <v>7.46</v>
      </c>
      <c r="E47" s="288">
        <v>4.4652421546876964</v>
      </c>
      <c r="F47" s="288">
        <v>11.925242154687696</v>
      </c>
      <c r="G47" s="288">
        <v>2.9947578453123036</v>
      </c>
      <c r="H47" s="293">
        <v>36</v>
      </c>
      <c r="I47" s="288">
        <v>8.1673461361392032</v>
      </c>
      <c r="J47" s="288">
        <v>6.408568612318307</v>
      </c>
      <c r="K47" s="288">
        <v>14.57591474845751</v>
      </c>
      <c r="L47" s="288">
        <v>1.7587775238208962</v>
      </c>
      <c r="M47" s="135">
        <f t="shared" si="5"/>
        <v>53</v>
      </c>
      <c r="N47" s="136">
        <f t="shared" si="6"/>
        <v>7.9404615264341754</v>
      </c>
      <c r="O47" s="136">
        <f t="shared" si="7"/>
        <v>5.4369053835030012</v>
      </c>
      <c r="P47" s="136">
        <f t="shared" si="8"/>
        <v>14.57591474845751</v>
      </c>
      <c r="Q47" s="136">
        <f t="shared" si="9"/>
        <v>1.7587775238208962</v>
      </c>
    </row>
    <row r="48" spans="1:17">
      <c r="A48" s="351"/>
      <c r="B48" s="118" t="s">
        <v>267</v>
      </c>
      <c r="C48" s="293">
        <v>5</v>
      </c>
      <c r="D48" s="294">
        <v>0</v>
      </c>
      <c r="E48" s="294">
        <v>0</v>
      </c>
      <c r="F48" s="294">
        <v>0</v>
      </c>
      <c r="G48" s="294">
        <v>0</v>
      </c>
      <c r="H48" s="293">
        <v>1</v>
      </c>
      <c r="I48" s="294">
        <v>0</v>
      </c>
      <c r="J48" s="294" t="s">
        <v>87</v>
      </c>
      <c r="K48" s="294" t="s">
        <v>87</v>
      </c>
      <c r="L48" s="294" t="s">
        <v>87</v>
      </c>
      <c r="M48" s="135">
        <f t="shared" si="5"/>
        <v>6</v>
      </c>
      <c r="N48" s="294">
        <f t="shared" si="6"/>
        <v>0</v>
      </c>
      <c r="O48" s="294" t="str">
        <f t="shared" si="7"/>
        <v/>
      </c>
      <c r="P48" s="294">
        <f t="shared" si="8"/>
        <v>0</v>
      </c>
      <c r="Q48" s="294">
        <f t="shared" si="9"/>
        <v>0</v>
      </c>
    </row>
    <row r="49" spans="1:17">
      <c r="A49" s="389" t="s">
        <v>489</v>
      </c>
      <c r="B49" s="118" t="s">
        <v>312</v>
      </c>
      <c r="C49" s="293">
        <v>3</v>
      </c>
      <c r="D49" s="295">
        <v>10.166666666666666</v>
      </c>
      <c r="E49" s="295">
        <v>0.76376261582597327</v>
      </c>
      <c r="F49" s="295">
        <v>12.457954514144586</v>
      </c>
      <c r="G49" s="295">
        <v>7.8753788191887466</v>
      </c>
      <c r="H49" s="293">
        <v>0</v>
      </c>
      <c r="I49" s="295" t="s">
        <v>87</v>
      </c>
      <c r="J49" s="295" t="s">
        <v>87</v>
      </c>
      <c r="K49" s="295" t="s">
        <v>87</v>
      </c>
      <c r="L49" s="295" t="s">
        <v>87</v>
      </c>
      <c r="M49" s="135">
        <f t="shared" si="5"/>
        <v>3</v>
      </c>
      <c r="N49" s="136" t="str">
        <f t="shared" si="6"/>
        <v/>
      </c>
      <c r="O49" s="136" t="str">
        <f t="shared" si="7"/>
        <v/>
      </c>
      <c r="P49" s="136">
        <f t="shared" si="8"/>
        <v>12.457954514144586</v>
      </c>
      <c r="Q49" s="136">
        <f t="shared" si="9"/>
        <v>0</v>
      </c>
    </row>
    <row r="50" spans="1:17">
      <c r="A50" s="351"/>
      <c r="B50" s="118" t="s">
        <v>157</v>
      </c>
      <c r="C50" s="296">
        <v>11</v>
      </c>
      <c r="D50" s="290">
        <v>0.71818181818181825</v>
      </c>
      <c r="E50" s="290">
        <v>0.14126699415066413</v>
      </c>
      <c r="F50" s="290">
        <v>0.85944881233248238</v>
      </c>
      <c r="G50" s="290">
        <v>0.57691482403115413</v>
      </c>
      <c r="H50" s="296">
        <v>4</v>
      </c>
      <c r="I50" s="290">
        <v>0.82925000000000004</v>
      </c>
      <c r="J50" s="290">
        <v>4.2452915094254702E-2</v>
      </c>
      <c r="K50" s="290">
        <v>0.95660874528276418</v>
      </c>
      <c r="L50" s="290">
        <v>0.7018912547172359</v>
      </c>
      <c r="M50" s="135">
        <f t="shared" si="5"/>
        <v>15</v>
      </c>
      <c r="N50" s="290">
        <f t="shared" si="6"/>
        <v>0.74780000000000002</v>
      </c>
      <c r="O50" s="290">
        <f t="shared" si="7"/>
        <v>9.1859954622459411E-2</v>
      </c>
      <c r="P50" s="290">
        <f t="shared" si="8"/>
        <v>0.95660874528276418</v>
      </c>
      <c r="Q50" s="290">
        <f t="shared" si="9"/>
        <v>0.57691482403115413</v>
      </c>
    </row>
    <row r="51" spans="1:17">
      <c r="A51" s="351"/>
      <c r="B51" s="118" t="s">
        <v>313</v>
      </c>
      <c r="C51" s="293">
        <v>0</v>
      </c>
      <c r="D51" s="295" t="s">
        <v>87</v>
      </c>
      <c r="E51" s="295" t="s">
        <v>87</v>
      </c>
      <c r="F51" s="295" t="s">
        <v>87</v>
      </c>
      <c r="G51" s="295" t="s">
        <v>87</v>
      </c>
      <c r="H51" s="293">
        <v>0</v>
      </c>
      <c r="I51" s="295" t="s">
        <v>87</v>
      </c>
      <c r="J51" s="295" t="s">
        <v>87</v>
      </c>
      <c r="K51" s="295" t="s">
        <v>87</v>
      </c>
      <c r="L51" s="295" t="s">
        <v>87</v>
      </c>
      <c r="M51" s="135">
        <f t="shared" si="5"/>
        <v>0</v>
      </c>
      <c r="N51" s="290" t="str">
        <f t="shared" si="6"/>
        <v/>
      </c>
      <c r="O51" s="290" t="str">
        <f t="shared" si="7"/>
        <v/>
      </c>
      <c r="P51" s="290">
        <f t="shared" si="8"/>
        <v>0</v>
      </c>
      <c r="Q51" s="290">
        <f t="shared" si="9"/>
        <v>0</v>
      </c>
    </row>
    <row r="52" spans="1:17">
      <c r="A52" s="351"/>
      <c r="B52" s="118" t="s">
        <v>314</v>
      </c>
      <c r="C52" s="293">
        <v>7</v>
      </c>
      <c r="D52" s="297">
        <v>0</v>
      </c>
      <c r="E52" s="297">
        <v>0</v>
      </c>
      <c r="F52" s="297">
        <v>0</v>
      </c>
      <c r="G52" s="297">
        <v>0</v>
      </c>
      <c r="H52" s="293">
        <v>7</v>
      </c>
      <c r="I52" s="297">
        <v>0</v>
      </c>
      <c r="J52" s="297">
        <v>0</v>
      </c>
      <c r="K52" s="297">
        <v>0</v>
      </c>
      <c r="L52" s="297">
        <v>0</v>
      </c>
      <c r="M52" s="135">
        <f t="shared" si="5"/>
        <v>14</v>
      </c>
      <c r="N52" s="290">
        <f t="shared" si="6"/>
        <v>0</v>
      </c>
      <c r="O52" s="290">
        <f t="shared" si="7"/>
        <v>0</v>
      </c>
      <c r="P52" s="290">
        <f t="shared" si="8"/>
        <v>0</v>
      </c>
      <c r="Q52" s="290">
        <f t="shared" si="9"/>
        <v>0</v>
      </c>
    </row>
    <row r="53" spans="1:17">
      <c r="A53" s="351"/>
      <c r="B53" s="120" t="s">
        <v>332</v>
      </c>
      <c r="C53" s="293">
        <v>6</v>
      </c>
      <c r="D53" s="297">
        <v>0.69003117444091655</v>
      </c>
      <c r="E53" s="297">
        <v>0.29610642999791431</v>
      </c>
      <c r="F53" s="297">
        <v>0.98613760443883081</v>
      </c>
      <c r="G53" s="297">
        <v>0.39392474444300224</v>
      </c>
      <c r="H53" s="293">
        <v>0</v>
      </c>
      <c r="I53" s="297" t="s">
        <v>87</v>
      </c>
      <c r="J53" s="297" t="s">
        <v>87</v>
      </c>
      <c r="K53" s="297" t="s">
        <v>87</v>
      </c>
      <c r="L53" s="297" t="s">
        <v>87</v>
      </c>
      <c r="M53" s="135">
        <f t="shared" si="5"/>
        <v>6</v>
      </c>
      <c r="N53" s="290" t="str">
        <f t="shared" si="6"/>
        <v/>
      </c>
      <c r="O53" s="290" t="str">
        <f t="shared" si="7"/>
        <v/>
      </c>
      <c r="P53" s="290">
        <f t="shared" si="8"/>
        <v>0.98613760443883081</v>
      </c>
      <c r="Q53" s="290">
        <f t="shared" si="9"/>
        <v>0</v>
      </c>
    </row>
    <row r="54" spans="1:17" ht="16.5">
      <c r="A54" s="351"/>
      <c r="B54" s="121" t="s">
        <v>316</v>
      </c>
      <c r="C54" s="293">
        <v>10</v>
      </c>
      <c r="D54" s="297">
        <v>0.99555000000000005</v>
      </c>
      <c r="E54" s="297">
        <v>4.8674086192415306E-3</v>
      </c>
      <c r="F54" s="297">
        <v>1.0101522258577247</v>
      </c>
      <c r="G54" s="297">
        <v>0.98094777414227541</v>
      </c>
      <c r="H54" s="293">
        <v>5</v>
      </c>
      <c r="I54" s="297">
        <v>0.96799999999999997</v>
      </c>
      <c r="J54" s="297">
        <v>2.1679483388678818E-2</v>
      </c>
      <c r="K54" s="297">
        <v>1.0330384501660363</v>
      </c>
      <c r="L54" s="297">
        <v>0.90296154983396348</v>
      </c>
      <c r="M54" s="135">
        <f t="shared" si="5"/>
        <v>15</v>
      </c>
      <c r="N54" s="290">
        <f t="shared" si="6"/>
        <v>0.98636666666666672</v>
      </c>
      <c r="O54" s="290">
        <f t="shared" si="7"/>
        <v>1.3273446003960174E-2</v>
      </c>
      <c r="P54" s="290">
        <f t="shared" si="8"/>
        <v>1.0330384501660363</v>
      </c>
      <c r="Q54" s="290">
        <f t="shared" si="9"/>
        <v>0.90296154983396348</v>
      </c>
    </row>
    <row r="55" spans="1:17">
      <c r="A55" s="351"/>
      <c r="B55" s="118" t="s">
        <v>317</v>
      </c>
      <c r="C55" s="293">
        <v>2</v>
      </c>
      <c r="D55" s="295">
        <v>2</v>
      </c>
      <c r="E55" s="295">
        <v>0</v>
      </c>
      <c r="F55" s="295">
        <v>2</v>
      </c>
      <c r="G55" s="295">
        <v>2</v>
      </c>
      <c r="H55" s="293">
        <v>1</v>
      </c>
      <c r="I55" s="295">
        <v>5</v>
      </c>
      <c r="J55" s="295" t="s">
        <v>87</v>
      </c>
      <c r="K55" s="295" t="s">
        <v>87</v>
      </c>
      <c r="L55" s="295" t="s">
        <v>87</v>
      </c>
      <c r="M55" s="135">
        <f t="shared" si="5"/>
        <v>3</v>
      </c>
      <c r="N55" s="136">
        <f t="shared" si="6"/>
        <v>3</v>
      </c>
      <c r="O55" s="136" t="str">
        <f t="shared" si="7"/>
        <v/>
      </c>
      <c r="P55" s="136">
        <f t="shared" si="8"/>
        <v>2</v>
      </c>
      <c r="Q55" s="136">
        <f t="shared" si="9"/>
        <v>0</v>
      </c>
    </row>
    <row r="56" spans="1:17">
      <c r="A56" s="351"/>
      <c r="B56" s="118" t="s">
        <v>307</v>
      </c>
      <c r="C56" s="293">
        <v>0</v>
      </c>
      <c r="D56" s="295" t="s">
        <v>87</v>
      </c>
      <c r="E56" s="295" t="s">
        <v>87</v>
      </c>
      <c r="F56" s="295" t="s">
        <v>87</v>
      </c>
      <c r="G56" s="295" t="s">
        <v>87</v>
      </c>
      <c r="H56" s="293">
        <v>0</v>
      </c>
      <c r="I56" s="295" t="s">
        <v>87</v>
      </c>
      <c r="J56" s="295" t="s">
        <v>87</v>
      </c>
      <c r="K56" s="295" t="s">
        <v>87</v>
      </c>
      <c r="L56" s="295" t="s">
        <v>87</v>
      </c>
      <c r="M56" s="135">
        <f t="shared" si="5"/>
        <v>0</v>
      </c>
      <c r="N56" s="136" t="str">
        <f t="shared" si="6"/>
        <v/>
      </c>
      <c r="O56" s="136" t="str">
        <f t="shared" si="7"/>
        <v/>
      </c>
      <c r="P56" s="136">
        <f t="shared" si="8"/>
        <v>0</v>
      </c>
      <c r="Q56" s="136">
        <f t="shared" si="9"/>
        <v>0</v>
      </c>
    </row>
  </sheetData>
  <mergeCells count="14">
    <mergeCell ref="A14:A16"/>
    <mergeCell ref="A1:B2"/>
    <mergeCell ref="C1:G1"/>
    <mergeCell ref="H1:L1"/>
    <mergeCell ref="M1:Q1"/>
    <mergeCell ref="A3:A13"/>
    <mergeCell ref="A44:A48"/>
    <mergeCell ref="A49:A56"/>
    <mergeCell ref="A31:A37"/>
    <mergeCell ref="A17:A20"/>
    <mergeCell ref="A21:A25"/>
    <mergeCell ref="A27:A28"/>
    <mergeCell ref="A29:A30"/>
    <mergeCell ref="A38:A43"/>
  </mergeCells>
  <phoneticPr fontId="26" type="noConversion"/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>
    <oddHeader>&amp;L&amp;G&amp;C&amp;F&amp;R文档密级</oddHeader>
    <oddFooter>&amp;L&amp;D&amp;C华为保密信息,未经授权禁止扩散&amp;R第&amp;P页，共&amp;N页</oddFooter>
  </headerFooter>
  <legacyDrawingHF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43"/>
  <sheetViews>
    <sheetView workbookViewId="0">
      <selection activeCell="F19" sqref="F19"/>
    </sheetView>
  </sheetViews>
  <sheetFormatPr defaultRowHeight="14.25"/>
  <cols>
    <col min="1" max="1" width="9" style="116"/>
    <col min="2" max="2" width="35.5" style="116" bestFit="1" customWidth="1"/>
    <col min="3" max="4" width="7.25" style="116" customWidth="1"/>
    <col min="5" max="5" width="7.5" style="116" customWidth="1"/>
    <col min="6" max="9" width="7.25" style="116" customWidth="1"/>
    <col min="10" max="10" width="5.875" style="116" customWidth="1"/>
    <col min="11" max="12" width="7.25" style="116" customWidth="1"/>
    <col min="13" max="16384" width="9" style="116"/>
  </cols>
  <sheetData>
    <row r="1" spans="1:17" ht="14.25" customHeight="1">
      <c r="A1" s="379" t="s">
        <v>339</v>
      </c>
      <c r="B1" s="379"/>
      <c r="C1" s="376" t="s">
        <v>455</v>
      </c>
      <c r="D1" s="377"/>
      <c r="E1" s="377"/>
      <c r="F1" s="377"/>
      <c r="G1" s="377"/>
      <c r="H1" s="376" t="s">
        <v>456</v>
      </c>
      <c r="I1" s="377"/>
      <c r="J1" s="377"/>
      <c r="K1" s="377"/>
      <c r="L1" s="377"/>
      <c r="M1" s="376" t="s">
        <v>457</v>
      </c>
      <c r="N1" s="377"/>
      <c r="O1" s="377"/>
      <c r="P1" s="377"/>
      <c r="Q1" s="377"/>
    </row>
    <row r="2" spans="1:17">
      <c r="A2" s="379"/>
      <c r="B2" s="379"/>
      <c r="C2" s="225" t="s">
        <v>340</v>
      </c>
      <c r="D2" s="225" t="s">
        <v>319</v>
      </c>
      <c r="E2" s="225" t="s">
        <v>260</v>
      </c>
      <c r="F2" s="225" t="s">
        <v>261</v>
      </c>
      <c r="G2" s="225" t="s">
        <v>262</v>
      </c>
      <c r="H2" s="225" t="s">
        <v>318</v>
      </c>
      <c r="I2" s="225" t="s">
        <v>319</v>
      </c>
      <c r="J2" s="225" t="s">
        <v>260</v>
      </c>
      <c r="K2" s="225" t="s">
        <v>326</v>
      </c>
      <c r="L2" s="225" t="s">
        <v>262</v>
      </c>
      <c r="M2" s="225" t="s">
        <v>318</v>
      </c>
      <c r="N2" s="225" t="s">
        <v>319</v>
      </c>
      <c r="O2" s="225" t="s">
        <v>260</v>
      </c>
      <c r="P2" s="225" t="s">
        <v>326</v>
      </c>
      <c r="Q2" s="225" t="s">
        <v>262</v>
      </c>
    </row>
    <row r="3" spans="1:17">
      <c r="A3" s="351" t="s">
        <v>258</v>
      </c>
      <c r="B3" s="117" t="s">
        <v>259</v>
      </c>
      <c r="C3" s="248">
        <v>9</v>
      </c>
      <c r="D3" s="246">
        <v>25.111426594895189</v>
      </c>
      <c r="E3" s="246">
        <v>12.444307804619788</v>
      </c>
      <c r="F3" s="246">
        <v>37.555734399514975</v>
      </c>
      <c r="G3" s="246">
        <v>12.667118790275401</v>
      </c>
      <c r="H3" s="248">
        <v>18</v>
      </c>
      <c r="I3" s="246">
        <v>40.297260576053219</v>
      </c>
      <c r="J3" s="246">
        <v>18.166214672101578</v>
      </c>
      <c r="K3" s="246">
        <v>58.463475248154793</v>
      </c>
      <c r="L3" s="246">
        <v>22.131045903951641</v>
      </c>
      <c r="M3" s="135">
        <f>IFERROR(C3+H3,"")</f>
        <v>27</v>
      </c>
      <c r="N3" s="136">
        <f>IFERROR((C3*D3+H3*I3)/M3,"")</f>
        <v>35.235315915667208</v>
      </c>
      <c r="O3" s="136">
        <f>IFERROR((E3+J3)/2,"")</f>
        <v>15.305261238360682</v>
      </c>
      <c r="P3" s="136">
        <f>IFERROR(MAXA(F3,K3),"")</f>
        <v>58.463475248154793</v>
      </c>
      <c r="Q3" s="136">
        <f>IFERROR(MINA(G3,L3),"")</f>
        <v>12.667118790275401</v>
      </c>
    </row>
    <row r="4" spans="1:17">
      <c r="A4" s="351"/>
      <c r="B4" s="118" t="s">
        <v>331</v>
      </c>
      <c r="C4" s="248">
        <v>6</v>
      </c>
      <c r="D4" s="246">
        <v>31.316277270060894</v>
      </c>
      <c r="E4" s="246">
        <v>12.866655653252607</v>
      </c>
      <c r="F4" s="246">
        <v>44.182932923313501</v>
      </c>
      <c r="G4" s="246">
        <v>18.449621616808287</v>
      </c>
      <c r="H4" s="248">
        <v>15</v>
      </c>
      <c r="I4" s="246">
        <v>44.458222402978791</v>
      </c>
      <c r="J4" s="246">
        <v>17.184293628205154</v>
      </c>
      <c r="K4" s="246">
        <v>61.642516031183945</v>
      </c>
      <c r="L4" s="246">
        <v>27.273928774773637</v>
      </c>
      <c r="M4" s="135">
        <f t="shared" ref="M4:M43" si="0">IFERROR(C4+H4,"")</f>
        <v>21</v>
      </c>
      <c r="N4" s="136">
        <f t="shared" ref="N4:N43" si="1">IFERROR((C4*D4+H4*I4)/M4,"")</f>
        <v>40.703380936430825</v>
      </c>
      <c r="O4" s="136">
        <f t="shared" ref="O4:O43" si="2">IFERROR((E4+J4)/2,"")</f>
        <v>15.025474640728881</v>
      </c>
      <c r="P4" s="136">
        <f t="shared" ref="P4:P43" si="3">IFERROR(MAXA(F4,K4),"")</f>
        <v>61.642516031183945</v>
      </c>
      <c r="Q4" s="136">
        <f t="shared" ref="Q4:Q43" si="4">IFERROR(MINA(G4,L4),"")</f>
        <v>18.449621616808287</v>
      </c>
    </row>
    <row r="5" spans="1:17">
      <c r="A5" s="351"/>
      <c r="B5" s="118" t="s">
        <v>263</v>
      </c>
      <c r="C5" s="248">
        <v>2</v>
      </c>
      <c r="D5" s="246">
        <v>0.46199311385664898</v>
      </c>
      <c r="E5" s="246">
        <v>0.46422198282714705</v>
      </c>
      <c r="F5" s="246">
        <v>0.92621509668379609</v>
      </c>
      <c r="G5" s="246">
        <v>0</v>
      </c>
      <c r="H5" s="248">
        <v>5</v>
      </c>
      <c r="I5" s="246">
        <v>0.35064300646693086</v>
      </c>
      <c r="J5" s="246">
        <v>0.48074472720506073</v>
      </c>
      <c r="K5" s="246">
        <v>0.83138773367199159</v>
      </c>
      <c r="L5" s="246">
        <v>0</v>
      </c>
      <c r="M5" s="135">
        <f t="shared" si="0"/>
        <v>7</v>
      </c>
      <c r="N5" s="136">
        <f t="shared" si="1"/>
        <v>0.3824573228639932</v>
      </c>
      <c r="O5" s="136">
        <f t="shared" si="2"/>
        <v>0.47248335501610389</v>
      </c>
      <c r="P5" s="136">
        <f t="shared" si="3"/>
        <v>0.92621509668379609</v>
      </c>
      <c r="Q5" s="136">
        <f t="shared" si="4"/>
        <v>0</v>
      </c>
    </row>
    <row r="6" spans="1:17">
      <c r="A6" s="351"/>
      <c r="B6" s="118" t="s">
        <v>257</v>
      </c>
      <c r="C6" s="248">
        <v>2</v>
      </c>
      <c r="D6" s="246">
        <v>3.3267739441536465E-2</v>
      </c>
      <c r="E6" s="246">
        <v>3.7743651713155371E-2</v>
      </c>
      <c r="F6" s="246">
        <v>7.1011391154691836E-2</v>
      </c>
      <c r="G6" s="246">
        <v>0</v>
      </c>
      <c r="H6" s="248">
        <v>5</v>
      </c>
      <c r="I6" s="246">
        <v>1.5938318475769587E-2</v>
      </c>
      <c r="J6" s="246">
        <v>2.1852033054775486E-2</v>
      </c>
      <c r="K6" s="246">
        <v>3.7790351530545073E-2</v>
      </c>
      <c r="L6" s="246">
        <v>0</v>
      </c>
      <c r="M6" s="135">
        <f t="shared" si="0"/>
        <v>7</v>
      </c>
      <c r="N6" s="136">
        <f t="shared" si="1"/>
        <v>2.0889581608845836E-2</v>
      </c>
      <c r="O6" s="136">
        <f t="shared" si="2"/>
        <v>2.9797842383965427E-2</v>
      </c>
      <c r="P6" s="136">
        <f t="shared" si="3"/>
        <v>7.1011391154691836E-2</v>
      </c>
      <c r="Q6" s="136">
        <f t="shared" si="4"/>
        <v>0</v>
      </c>
    </row>
    <row r="7" spans="1:17">
      <c r="A7" s="351"/>
      <c r="B7" s="118" t="s">
        <v>327</v>
      </c>
      <c r="C7" s="248">
        <v>2</v>
      </c>
      <c r="D7" s="246">
        <v>24.552380952380954</v>
      </c>
      <c r="E7" s="246">
        <v>5.6837916506804378</v>
      </c>
      <c r="F7" s="246">
        <v>30.236172603061391</v>
      </c>
      <c r="G7" s="246">
        <v>18.868589301700517</v>
      </c>
      <c r="H7" s="248">
        <v>0</v>
      </c>
      <c r="I7" s="246" t="s">
        <v>87</v>
      </c>
      <c r="J7" s="246" t="s">
        <v>87</v>
      </c>
      <c r="K7" s="246" t="s">
        <v>87</v>
      </c>
      <c r="L7" s="246" t="s">
        <v>87</v>
      </c>
      <c r="M7" s="135">
        <f t="shared" si="0"/>
        <v>2</v>
      </c>
      <c r="N7" s="136" t="str">
        <f t="shared" si="1"/>
        <v/>
      </c>
      <c r="O7" s="136" t="str">
        <f t="shared" si="2"/>
        <v/>
      </c>
      <c r="P7" s="136">
        <f t="shared" si="3"/>
        <v>30.236172603061391</v>
      </c>
      <c r="Q7" s="136">
        <f t="shared" si="4"/>
        <v>0</v>
      </c>
    </row>
    <row r="8" spans="1:17">
      <c r="A8" s="351"/>
      <c r="B8" s="118" t="s">
        <v>264</v>
      </c>
      <c r="C8" s="248">
        <v>3</v>
      </c>
      <c r="D8" s="246">
        <v>0.98546093232422638</v>
      </c>
      <c r="E8" s="246">
        <v>0.59338152536470268</v>
      </c>
      <c r="F8" s="246">
        <v>1.5788424576889291</v>
      </c>
      <c r="G8" s="246">
        <v>0.3920794069595237</v>
      </c>
      <c r="H8" s="248">
        <v>1</v>
      </c>
      <c r="I8" s="246">
        <v>0.45597763379781664</v>
      </c>
      <c r="J8" s="246" t="s">
        <v>87</v>
      </c>
      <c r="K8" s="246" t="s">
        <v>87</v>
      </c>
      <c r="L8" s="246" t="s">
        <v>87</v>
      </c>
      <c r="M8" s="135">
        <f t="shared" si="0"/>
        <v>4</v>
      </c>
      <c r="N8" s="136">
        <f t="shared" si="1"/>
        <v>0.85309010769262394</v>
      </c>
      <c r="O8" s="136" t="str">
        <f t="shared" si="2"/>
        <v/>
      </c>
      <c r="P8" s="136">
        <f t="shared" si="3"/>
        <v>1.5788424576889291</v>
      </c>
      <c r="Q8" s="136">
        <f t="shared" si="4"/>
        <v>0</v>
      </c>
    </row>
    <row r="9" spans="1:17">
      <c r="A9" s="351"/>
      <c r="B9" s="118" t="s">
        <v>265</v>
      </c>
      <c r="C9" s="248">
        <v>0</v>
      </c>
      <c r="D9" s="246" t="s">
        <v>87</v>
      </c>
      <c r="E9" s="246" t="s">
        <v>87</v>
      </c>
      <c r="F9" s="246" t="s">
        <v>87</v>
      </c>
      <c r="G9" s="246" t="s">
        <v>87</v>
      </c>
      <c r="H9" s="248">
        <v>0</v>
      </c>
      <c r="I9" s="246" t="s">
        <v>87</v>
      </c>
      <c r="J9" s="246" t="s">
        <v>87</v>
      </c>
      <c r="K9" s="246" t="s">
        <v>87</v>
      </c>
      <c r="L9" s="246" t="s">
        <v>87</v>
      </c>
      <c r="M9" s="135">
        <f t="shared" si="0"/>
        <v>0</v>
      </c>
      <c r="N9" s="136" t="str">
        <f t="shared" si="1"/>
        <v/>
      </c>
      <c r="O9" s="136" t="str">
        <f t="shared" si="2"/>
        <v/>
      </c>
      <c r="P9" s="136">
        <f t="shared" si="3"/>
        <v>0</v>
      </c>
      <c r="Q9" s="136">
        <f t="shared" si="4"/>
        <v>0</v>
      </c>
    </row>
    <row r="10" spans="1:17">
      <c r="A10" s="351"/>
      <c r="B10" s="118" t="s">
        <v>266</v>
      </c>
      <c r="C10" s="248">
        <v>0</v>
      </c>
      <c r="D10" s="246" t="s">
        <v>87</v>
      </c>
      <c r="E10" s="246" t="s">
        <v>87</v>
      </c>
      <c r="F10" s="246" t="s">
        <v>87</v>
      </c>
      <c r="G10" s="246" t="s">
        <v>87</v>
      </c>
      <c r="H10" s="248">
        <v>0</v>
      </c>
      <c r="I10" s="246" t="s">
        <v>87</v>
      </c>
      <c r="J10" s="246" t="s">
        <v>87</v>
      </c>
      <c r="K10" s="246" t="s">
        <v>87</v>
      </c>
      <c r="L10" s="246" t="s">
        <v>87</v>
      </c>
      <c r="M10" s="135">
        <f t="shared" si="0"/>
        <v>0</v>
      </c>
      <c r="N10" s="136" t="str">
        <f t="shared" si="1"/>
        <v/>
      </c>
      <c r="O10" s="136" t="str">
        <f t="shared" si="2"/>
        <v/>
      </c>
      <c r="P10" s="136">
        <f t="shared" si="3"/>
        <v>0</v>
      </c>
      <c r="Q10" s="136">
        <f t="shared" si="4"/>
        <v>0</v>
      </c>
    </row>
    <row r="11" spans="1:17">
      <c r="A11" s="351"/>
      <c r="B11" s="118" t="s">
        <v>267</v>
      </c>
      <c r="C11" s="248">
        <v>9</v>
      </c>
      <c r="D11" s="247">
        <v>0</v>
      </c>
      <c r="E11" s="247">
        <v>0</v>
      </c>
      <c r="F11" s="247">
        <v>0</v>
      </c>
      <c r="G11" s="247">
        <v>0</v>
      </c>
      <c r="H11" s="248">
        <v>18</v>
      </c>
      <c r="I11" s="247">
        <v>0</v>
      </c>
      <c r="J11" s="247">
        <v>0</v>
      </c>
      <c r="K11" s="247">
        <v>0</v>
      </c>
      <c r="L11" s="247">
        <v>0</v>
      </c>
      <c r="M11" s="135">
        <f t="shared" si="0"/>
        <v>27</v>
      </c>
      <c r="N11" s="247">
        <f t="shared" si="1"/>
        <v>0</v>
      </c>
      <c r="O11" s="247">
        <f t="shared" si="2"/>
        <v>0</v>
      </c>
      <c r="P11" s="302">
        <f t="shared" ref="P11:P14" si="5">IFERROR(IF(MAXA(F11,K11)&gt;1,1,MAXA(F11,K11)),"")</f>
        <v>0</v>
      </c>
      <c r="Q11" s="247">
        <f t="shared" si="4"/>
        <v>0</v>
      </c>
    </row>
    <row r="12" spans="1:17">
      <c r="A12" s="351"/>
      <c r="B12" s="118" t="s">
        <v>352</v>
      </c>
      <c r="C12" s="248">
        <v>8</v>
      </c>
      <c r="D12" s="247">
        <v>-4.5045045045045045E-3</v>
      </c>
      <c r="E12" s="247">
        <v>7.9856329768280918E-3</v>
      </c>
      <c r="F12" s="247">
        <v>3.4811284723235874E-3</v>
      </c>
      <c r="G12" s="247">
        <v>-1.2490137481332597E-2</v>
      </c>
      <c r="H12" s="248">
        <v>18</v>
      </c>
      <c r="I12" s="247">
        <v>-1.5262515262515265E-3</v>
      </c>
      <c r="J12" s="247">
        <v>2.5323549393542685E-3</v>
      </c>
      <c r="K12" s="247">
        <v>1.0061034131027421E-3</v>
      </c>
      <c r="L12" s="247">
        <v>-4.0586064656057946E-3</v>
      </c>
      <c r="M12" s="135">
        <f t="shared" si="0"/>
        <v>26</v>
      </c>
      <c r="N12" s="247">
        <f t="shared" si="1"/>
        <v>-2.4426370580216735E-3</v>
      </c>
      <c r="O12" s="247">
        <f t="shared" si="2"/>
        <v>5.2589939580911802E-3</v>
      </c>
      <c r="P12" s="302">
        <f t="shared" si="5"/>
        <v>3.4811284723235874E-3</v>
      </c>
      <c r="Q12" s="247">
        <f t="shared" si="4"/>
        <v>-1.2490137481332597E-2</v>
      </c>
    </row>
    <row r="13" spans="1:17">
      <c r="A13" s="351"/>
      <c r="B13" s="118" t="s">
        <v>268</v>
      </c>
      <c r="C13" s="248">
        <v>9</v>
      </c>
      <c r="D13" s="247">
        <v>5.3703703703703708E-3</v>
      </c>
      <c r="E13" s="247">
        <v>1.6111111111111114E-2</v>
      </c>
      <c r="F13" s="247">
        <v>2.1481481481481483E-2</v>
      </c>
      <c r="G13" s="247">
        <v>-1.0740740740740743E-2</v>
      </c>
      <c r="H13" s="248">
        <v>18</v>
      </c>
      <c r="I13" s="247">
        <v>-3.2812316284538466E-3</v>
      </c>
      <c r="J13" s="247">
        <v>1.5368577427771446E-2</v>
      </c>
      <c r="K13" s="247">
        <v>1.2087345799317599E-2</v>
      </c>
      <c r="L13" s="247">
        <v>-1.8649809056225292E-2</v>
      </c>
      <c r="M13" s="135">
        <f t="shared" si="0"/>
        <v>27</v>
      </c>
      <c r="N13" s="247">
        <f t="shared" si="1"/>
        <v>-3.9736429551244073E-4</v>
      </c>
      <c r="O13" s="247">
        <f t="shared" si="2"/>
        <v>1.5739844269441281E-2</v>
      </c>
      <c r="P13" s="302">
        <f t="shared" si="5"/>
        <v>2.1481481481481483E-2</v>
      </c>
      <c r="Q13" s="247">
        <f t="shared" si="4"/>
        <v>-1.8649809056225292E-2</v>
      </c>
    </row>
    <row r="14" spans="1:17">
      <c r="A14" s="378" t="s">
        <v>269</v>
      </c>
      <c r="B14" s="118" t="s">
        <v>270</v>
      </c>
      <c r="C14" s="248">
        <v>8</v>
      </c>
      <c r="D14" s="247">
        <v>0.9916666666666667</v>
      </c>
      <c r="E14" s="247">
        <v>2.357022603955158E-2</v>
      </c>
      <c r="F14" s="247">
        <v>1</v>
      </c>
      <c r="G14" s="247">
        <v>0.92095598854801197</v>
      </c>
      <c r="H14" s="248">
        <v>9</v>
      </c>
      <c r="I14" s="247">
        <v>0.76481229780489401</v>
      </c>
      <c r="J14" s="247">
        <v>0.26998393967899781</v>
      </c>
      <c r="K14" s="247">
        <v>1</v>
      </c>
      <c r="L14" s="247">
        <v>0.49482835812589621</v>
      </c>
      <c r="M14" s="135">
        <f t="shared" si="0"/>
        <v>17</v>
      </c>
      <c r="N14" s="247">
        <f t="shared" si="1"/>
        <v>0.87156729491631646</v>
      </c>
      <c r="O14" s="247">
        <f t="shared" si="2"/>
        <v>0.14677708285927468</v>
      </c>
      <c r="P14" s="302">
        <f t="shared" si="5"/>
        <v>1</v>
      </c>
      <c r="Q14" s="247">
        <f t="shared" si="4"/>
        <v>0.49482835812589621</v>
      </c>
    </row>
    <row r="15" spans="1:17">
      <c r="A15" s="378"/>
      <c r="B15" s="118" t="s">
        <v>271</v>
      </c>
      <c r="C15" s="248">
        <v>0</v>
      </c>
      <c r="D15" s="246" t="s">
        <v>87</v>
      </c>
      <c r="E15" s="246" t="s">
        <v>87</v>
      </c>
      <c r="F15" s="246" t="s">
        <v>87</v>
      </c>
      <c r="G15" s="246" t="s">
        <v>87</v>
      </c>
      <c r="H15" s="248">
        <v>0</v>
      </c>
      <c r="I15" s="246" t="s">
        <v>87</v>
      </c>
      <c r="J15" s="246" t="s">
        <v>87</v>
      </c>
      <c r="K15" s="246" t="s">
        <v>87</v>
      </c>
      <c r="L15" s="246" t="s">
        <v>87</v>
      </c>
      <c r="M15" s="135">
        <f t="shared" si="0"/>
        <v>0</v>
      </c>
      <c r="N15" s="136" t="str">
        <f t="shared" si="1"/>
        <v/>
      </c>
      <c r="O15" s="136" t="str">
        <f t="shared" si="2"/>
        <v/>
      </c>
      <c r="P15" s="136">
        <f t="shared" si="3"/>
        <v>0</v>
      </c>
      <c r="Q15" s="136">
        <f t="shared" si="4"/>
        <v>0</v>
      </c>
    </row>
    <row r="16" spans="1:17">
      <c r="A16" s="378"/>
      <c r="B16" s="118" t="s">
        <v>272</v>
      </c>
      <c r="C16" s="248">
        <v>1</v>
      </c>
      <c r="D16" s="246">
        <v>0.24666666666666667</v>
      </c>
      <c r="E16" s="246" t="s">
        <v>87</v>
      </c>
      <c r="F16" s="246" t="s">
        <v>87</v>
      </c>
      <c r="G16" s="246" t="s">
        <v>87</v>
      </c>
      <c r="H16" s="248">
        <v>0</v>
      </c>
      <c r="I16" s="246" t="s">
        <v>87</v>
      </c>
      <c r="J16" s="246" t="s">
        <v>87</v>
      </c>
      <c r="K16" s="246" t="s">
        <v>87</v>
      </c>
      <c r="L16" s="246" t="s">
        <v>87</v>
      </c>
      <c r="M16" s="135">
        <f t="shared" si="0"/>
        <v>1</v>
      </c>
      <c r="N16" s="136" t="str">
        <f t="shared" si="1"/>
        <v/>
      </c>
      <c r="O16" s="136" t="str">
        <f t="shared" si="2"/>
        <v/>
      </c>
      <c r="P16" s="136">
        <f t="shared" si="3"/>
        <v>0</v>
      </c>
      <c r="Q16" s="136">
        <f t="shared" si="4"/>
        <v>0</v>
      </c>
    </row>
    <row r="17" spans="1:17">
      <c r="A17" s="378" t="s">
        <v>273</v>
      </c>
      <c r="B17" s="118" t="s">
        <v>306</v>
      </c>
      <c r="C17" s="248">
        <v>9</v>
      </c>
      <c r="D17" s="246">
        <v>12.296804218346072</v>
      </c>
      <c r="E17" s="246">
        <v>5.7797348051824367</v>
      </c>
      <c r="F17" s="246">
        <v>18.076539023528507</v>
      </c>
      <c r="G17" s="246">
        <v>6.5170694131636351</v>
      </c>
      <c r="H17" s="248">
        <v>18</v>
      </c>
      <c r="I17" s="246">
        <v>7.2816907108106284</v>
      </c>
      <c r="J17" s="246">
        <v>7.1215632639012112</v>
      </c>
      <c r="K17" s="246">
        <v>14.40325397471184</v>
      </c>
      <c r="L17" s="246">
        <v>0.16012744690941716</v>
      </c>
      <c r="M17" s="135">
        <f t="shared" si="0"/>
        <v>27</v>
      </c>
      <c r="N17" s="136">
        <f t="shared" si="1"/>
        <v>8.9533952133224428</v>
      </c>
      <c r="O17" s="136">
        <f t="shared" si="2"/>
        <v>6.4506490345418239</v>
      </c>
      <c r="P17" s="136">
        <f t="shared" si="3"/>
        <v>18.076539023528507</v>
      </c>
      <c r="Q17" s="136">
        <f t="shared" si="4"/>
        <v>0.16012744690941716</v>
      </c>
    </row>
    <row r="18" spans="1:17">
      <c r="A18" s="378"/>
      <c r="B18" s="118" t="s">
        <v>274</v>
      </c>
      <c r="C18" s="248">
        <v>8</v>
      </c>
      <c r="D18" s="246">
        <v>4.507719508699938</v>
      </c>
      <c r="E18" s="246">
        <v>4.1506965901447863</v>
      </c>
      <c r="F18" s="246">
        <v>8.6584160988447252</v>
      </c>
      <c r="G18" s="246">
        <v>0.35702291855515167</v>
      </c>
      <c r="H18" s="248">
        <v>18</v>
      </c>
      <c r="I18" s="246">
        <v>2.1503677329509139</v>
      </c>
      <c r="J18" s="246">
        <v>2.2064808556478206</v>
      </c>
      <c r="K18" s="246">
        <v>4.3568485885987345</v>
      </c>
      <c r="L18" s="246">
        <v>0</v>
      </c>
      <c r="M18" s="135">
        <f t="shared" si="0"/>
        <v>26</v>
      </c>
      <c r="N18" s="136">
        <f t="shared" si="1"/>
        <v>2.8757067408736905</v>
      </c>
      <c r="O18" s="136">
        <f t="shared" si="2"/>
        <v>3.1785887228963032</v>
      </c>
      <c r="P18" s="136">
        <f t="shared" si="3"/>
        <v>8.6584160988447252</v>
      </c>
      <c r="Q18" s="136">
        <f t="shared" si="4"/>
        <v>0</v>
      </c>
    </row>
    <row r="19" spans="1:17">
      <c r="A19" s="378"/>
      <c r="B19" s="118" t="s">
        <v>275</v>
      </c>
      <c r="C19" s="248">
        <v>9</v>
      </c>
      <c r="D19" s="246">
        <v>0.25</v>
      </c>
      <c r="E19" s="246">
        <v>0.46291004988627571</v>
      </c>
      <c r="F19" s="246">
        <v>0.71291004988627571</v>
      </c>
      <c r="G19" s="246">
        <v>0</v>
      </c>
      <c r="H19" s="248">
        <v>18</v>
      </c>
      <c r="I19" s="246">
        <v>0</v>
      </c>
      <c r="J19" s="246">
        <v>0</v>
      </c>
      <c r="K19" s="246">
        <v>0</v>
      </c>
      <c r="L19" s="246">
        <v>0</v>
      </c>
      <c r="M19" s="135">
        <f t="shared" si="0"/>
        <v>27</v>
      </c>
      <c r="N19" s="136">
        <f t="shared" si="1"/>
        <v>8.3333333333333329E-2</v>
      </c>
      <c r="O19" s="136">
        <f t="shared" si="2"/>
        <v>0.23145502494313785</v>
      </c>
      <c r="P19" s="136">
        <f t="shared" si="3"/>
        <v>0.71291004988627571</v>
      </c>
      <c r="Q19" s="136">
        <f t="shared" si="4"/>
        <v>0</v>
      </c>
    </row>
    <row r="20" spans="1:17">
      <c r="A20" s="378"/>
      <c r="B20" s="118" t="s">
        <v>276</v>
      </c>
      <c r="C20" s="248">
        <v>9</v>
      </c>
      <c r="D20" s="246">
        <v>0</v>
      </c>
      <c r="E20" s="246">
        <v>0</v>
      </c>
      <c r="F20" s="246">
        <v>0</v>
      </c>
      <c r="G20" s="246">
        <v>0</v>
      </c>
      <c r="H20" s="248">
        <v>18</v>
      </c>
      <c r="I20" s="246">
        <v>0</v>
      </c>
      <c r="J20" s="246">
        <v>0</v>
      </c>
      <c r="K20" s="246">
        <v>0</v>
      </c>
      <c r="L20" s="246">
        <v>0</v>
      </c>
      <c r="M20" s="135">
        <f t="shared" si="0"/>
        <v>27</v>
      </c>
      <c r="N20" s="136">
        <f t="shared" si="1"/>
        <v>0</v>
      </c>
      <c r="O20" s="136">
        <f t="shared" si="2"/>
        <v>0</v>
      </c>
      <c r="P20" s="136">
        <f t="shared" si="3"/>
        <v>0</v>
      </c>
      <c r="Q20" s="136">
        <f t="shared" si="4"/>
        <v>0</v>
      </c>
    </row>
    <row r="21" spans="1:17">
      <c r="A21" s="378" t="s">
        <v>277</v>
      </c>
      <c r="B21" s="118" t="s">
        <v>278</v>
      </c>
      <c r="C21" s="248">
        <v>2</v>
      </c>
      <c r="D21" s="246">
        <v>1.75</v>
      </c>
      <c r="E21" s="246">
        <v>2.2391714737574011</v>
      </c>
      <c r="F21" s="246">
        <v>3.9891714737574011</v>
      </c>
      <c r="G21" s="246">
        <v>0</v>
      </c>
      <c r="H21" s="248">
        <v>0</v>
      </c>
      <c r="I21" s="246" t="s">
        <v>87</v>
      </c>
      <c r="J21" s="246" t="s">
        <v>87</v>
      </c>
      <c r="K21" s="246" t="s">
        <v>87</v>
      </c>
      <c r="L21" s="246" t="s">
        <v>87</v>
      </c>
      <c r="M21" s="135">
        <f t="shared" si="0"/>
        <v>2</v>
      </c>
      <c r="N21" s="136" t="str">
        <f t="shared" si="1"/>
        <v/>
      </c>
      <c r="O21" s="136" t="str">
        <f t="shared" si="2"/>
        <v/>
      </c>
      <c r="P21" s="136">
        <f t="shared" si="3"/>
        <v>3.9891714737574011</v>
      </c>
      <c r="Q21" s="136">
        <f t="shared" si="4"/>
        <v>0</v>
      </c>
    </row>
    <row r="22" spans="1:17">
      <c r="A22" s="378"/>
      <c r="B22" s="118" t="s">
        <v>279</v>
      </c>
      <c r="C22" s="248">
        <v>2</v>
      </c>
      <c r="D22" s="246">
        <v>0</v>
      </c>
      <c r="E22" s="246">
        <v>0</v>
      </c>
      <c r="F22" s="246">
        <v>0</v>
      </c>
      <c r="G22" s="246">
        <v>0</v>
      </c>
      <c r="H22" s="248">
        <v>1</v>
      </c>
      <c r="I22" s="246">
        <v>0</v>
      </c>
      <c r="J22" s="246" t="s">
        <v>87</v>
      </c>
      <c r="K22" s="246" t="s">
        <v>87</v>
      </c>
      <c r="L22" s="246" t="s">
        <v>87</v>
      </c>
      <c r="M22" s="135">
        <f t="shared" si="0"/>
        <v>3</v>
      </c>
      <c r="N22" s="136">
        <f t="shared" si="1"/>
        <v>0</v>
      </c>
      <c r="O22" s="136" t="str">
        <f t="shared" si="2"/>
        <v/>
      </c>
      <c r="P22" s="136">
        <f t="shared" si="3"/>
        <v>0</v>
      </c>
      <c r="Q22" s="136">
        <f t="shared" si="4"/>
        <v>0</v>
      </c>
    </row>
    <row r="23" spans="1:17">
      <c r="A23" s="378"/>
      <c r="B23" s="118" t="s">
        <v>280</v>
      </c>
      <c r="C23" s="248">
        <v>4</v>
      </c>
      <c r="D23" s="246">
        <v>233.43629787942106</v>
      </c>
      <c r="E23" s="246">
        <v>428.22634627375407</v>
      </c>
      <c r="F23" s="246">
        <v>661.66264415317517</v>
      </c>
      <c r="G23" s="246">
        <v>0</v>
      </c>
      <c r="H23" s="248">
        <v>1</v>
      </c>
      <c r="I23" s="246">
        <v>51.080745341614907</v>
      </c>
      <c r="J23" s="246" t="s">
        <v>87</v>
      </c>
      <c r="K23" s="246" t="s">
        <v>87</v>
      </c>
      <c r="L23" s="246" t="s">
        <v>87</v>
      </c>
      <c r="M23" s="135">
        <f t="shared" si="0"/>
        <v>5</v>
      </c>
      <c r="N23" s="136">
        <f t="shared" si="1"/>
        <v>196.96518737185983</v>
      </c>
      <c r="O23" s="136" t="str">
        <f t="shared" si="2"/>
        <v/>
      </c>
      <c r="P23" s="136">
        <f t="shared" si="3"/>
        <v>661.66264415317517</v>
      </c>
      <c r="Q23" s="136">
        <f t="shared" si="4"/>
        <v>0</v>
      </c>
    </row>
    <row r="24" spans="1:17">
      <c r="A24" s="378"/>
      <c r="B24" s="118" t="s">
        <v>281</v>
      </c>
      <c r="C24" s="248">
        <v>3</v>
      </c>
      <c r="D24" s="247">
        <v>0.7513597513597513</v>
      </c>
      <c r="E24" s="247">
        <v>0.28792675660235456</v>
      </c>
      <c r="F24" s="247">
        <v>1</v>
      </c>
      <c r="G24" s="247">
        <v>0.46343299475739674</v>
      </c>
      <c r="H24" s="248">
        <v>1</v>
      </c>
      <c r="I24" s="247">
        <v>0.80009727626459148</v>
      </c>
      <c r="J24" s="247" t="s">
        <v>87</v>
      </c>
      <c r="K24" s="247" t="s">
        <v>87</v>
      </c>
      <c r="L24" s="247" t="s">
        <v>87</v>
      </c>
      <c r="M24" s="135">
        <f t="shared" si="0"/>
        <v>4</v>
      </c>
      <c r="N24" s="247">
        <f t="shared" si="1"/>
        <v>0.76354413258596132</v>
      </c>
      <c r="O24" s="247" t="str">
        <f t="shared" si="2"/>
        <v/>
      </c>
      <c r="P24" s="302">
        <f t="shared" ref="P24" si="6">IFERROR(IF(MAXA(F24,K24)&gt;1,1,MAXA(F24,K24)),"")</f>
        <v>1</v>
      </c>
      <c r="Q24" s="247">
        <f t="shared" si="4"/>
        <v>0</v>
      </c>
    </row>
    <row r="25" spans="1:17">
      <c r="A25" s="378"/>
      <c r="B25" s="118" t="s">
        <v>282</v>
      </c>
      <c r="C25" s="248">
        <v>7</v>
      </c>
      <c r="D25" s="246">
        <v>3.8402985031030279</v>
      </c>
      <c r="E25" s="246">
        <v>6.1641004509121204</v>
      </c>
      <c r="F25" s="246">
        <v>10.004398954015148</v>
      </c>
      <c r="G25" s="246">
        <v>0</v>
      </c>
      <c r="H25" s="248">
        <v>9</v>
      </c>
      <c r="I25" s="246">
        <v>0.53393730937079775</v>
      </c>
      <c r="J25" s="246">
        <v>1.1118684902112657</v>
      </c>
      <c r="K25" s="246">
        <v>1.6458057995820634</v>
      </c>
      <c r="L25" s="246">
        <v>0</v>
      </c>
      <c r="M25" s="135">
        <f t="shared" si="0"/>
        <v>16</v>
      </c>
      <c r="N25" s="136">
        <f t="shared" si="1"/>
        <v>1.9804703316286485</v>
      </c>
      <c r="O25" s="136">
        <f t="shared" si="2"/>
        <v>3.6379844705616931</v>
      </c>
      <c r="P25" s="136">
        <f t="shared" si="3"/>
        <v>10.004398954015148</v>
      </c>
      <c r="Q25" s="136">
        <f t="shared" si="4"/>
        <v>0</v>
      </c>
    </row>
    <row r="26" spans="1:17">
      <c r="A26" s="224" t="s">
        <v>283</v>
      </c>
      <c r="B26" s="118" t="s">
        <v>284</v>
      </c>
      <c r="C26" s="248">
        <v>0</v>
      </c>
      <c r="D26" s="246" t="s">
        <v>87</v>
      </c>
      <c r="E26" s="246" t="s">
        <v>87</v>
      </c>
      <c r="F26" s="246" t="s">
        <v>87</v>
      </c>
      <c r="G26" s="246" t="s">
        <v>87</v>
      </c>
      <c r="H26" s="248">
        <v>0</v>
      </c>
      <c r="I26" s="246" t="s">
        <v>87</v>
      </c>
      <c r="J26" s="246" t="s">
        <v>87</v>
      </c>
      <c r="K26" s="246" t="s">
        <v>87</v>
      </c>
      <c r="L26" s="246" t="s">
        <v>87</v>
      </c>
      <c r="M26" s="135">
        <f t="shared" si="0"/>
        <v>0</v>
      </c>
      <c r="N26" s="136" t="str">
        <f t="shared" si="1"/>
        <v/>
      </c>
      <c r="O26" s="136" t="str">
        <f t="shared" si="2"/>
        <v/>
      </c>
      <c r="P26" s="136">
        <f t="shared" si="3"/>
        <v>0</v>
      </c>
      <c r="Q26" s="136">
        <f t="shared" si="4"/>
        <v>0</v>
      </c>
    </row>
    <row r="27" spans="1:17">
      <c r="A27" s="378" t="s">
        <v>285</v>
      </c>
      <c r="B27" s="118" t="s">
        <v>286</v>
      </c>
      <c r="C27" s="248">
        <v>6</v>
      </c>
      <c r="D27" s="246">
        <v>0</v>
      </c>
      <c r="E27" s="246">
        <v>0</v>
      </c>
      <c r="F27" s="246">
        <v>0</v>
      </c>
      <c r="G27" s="246">
        <v>0</v>
      </c>
      <c r="H27" s="248">
        <v>10</v>
      </c>
      <c r="I27" s="246">
        <v>0.05</v>
      </c>
      <c r="J27" s="246">
        <v>0.15811388300841897</v>
      </c>
      <c r="K27" s="246">
        <v>0.20811388300841899</v>
      </c>
      <c r="L27" s="246">
        <v>0</v>
      </c>
      <c r="M27" s="135">
        <f t="shared" si="0"/>
        <v>16</v>
      </c>
      <c r="N27" s="136">
        <f t="shared" si="1"/>
        <v>3.125E-2</v>
      </c>
      <c r="O27" s="136">
        <f t="shared" si="2"/>
        <v>7.9056941504209485E-2</v>
      </c>
      <c r="P27" s="136">
        <f t="shared" si="3"/>
        <v>0.20811388300841899</v>
      </c>
      <c r="Q27" s="136">
        <f t="shared" si="4"/>
        <v>0</v>
      </c>
    </row>
    <row r="28" spans="1:17">
      <c r="A28" s="378"/>
      <c r="B28" s="118" t="s">
        <v>287</v>
      </c>
      <c r="C28" s="248">
        <v>3</v>
      </c>
      <c r="D28" s="246">
        <v>0.16666666666666666</v>
      </c>
      <c r="E28" s="246">
        <v>0.28867513459481292</v>
      </c>
      <c r="F28" s="246">
        <v>0.45534180126147961</v>
      </c>
      <c r="G28" s="246">
        <v>0</v>
      </c>
      <c r="H28" s="248">
        <v>2</v>
      </c>
      <c r="I28" s="246">
        <v>0.5</v>
      </c>
      <c r="J28" s="246">
        <v>0.70710678118654757</v>
      </c>
      <c r="K28" s="246">
        <v>1.2071067811865475</v>
      </c>
      <c r="L28" s="246">
        <v>0</v>
      </c>
      <c r="M28" s="135">
        <f t="shared" si="0"/>
        <v>5</v>
      </c>
      <c r="N28" s="136">
        <f t="shared" si="1"/>
        <v>0.3</v>
      </c>
      <c r="O28" s="136">
        <f t="shared" si="2"/>
        <v>0.49789095789068027</v>
      </c>
      <c r="P28" s="136">
        <f t="shared" si="3"/>
        <v>1.2071067811865475</v>
      </c>
      <c r="Q28" s="136">
        <f t="shared" si="4"/>
        <v>0</v>
      </c>
    </row>
    <row r="29" spans="1:17">
      <c r="A29" s="378" t="s">
        <v>288</v>
      </c>
      <c r="B29" s="118" t="s">
        <v>289</v>
      </c>
      <c r="C29" s="248">
        <v>9</v>
      </c>
      <c r="D29" s="246">
        <v>0</v>
      </c>
      <c r="E29" s="246">
        <v>0</v>
      </c>
      <c r="F29" s="246">
        <v>0</v>
      </c>
      <c r="G29" s="246">
        <v>0</v>
      </c>
      <c r="H29" s="248">
        <v>18</v>
      </c>
      <c r="I29" s="246">
        <v>0.19999999999999998</v>
      </c>
      <c r="J29" s="246">
        <v>0.82462112512353203</v>
      </c>
      <c r="K29" s="246">
        <v>1.024621125123532</v>
      </c>
      <c r="L29" s="246">
        <v>0</v>
      </c>
      <c r="M29" s="135">
        <f t="shared" si="0"/>
        <v>27</v>
      </c>
      <c r="N29" s="136">
        <f t="shared" si="1"/>
        <v>0.13333333333333333</v>
      </c>
      <c r="O29" s="136">
        <f t="shared" si="2"/>
        <v>0.41231056256176601</v>
      </c>
      <c r="P29" s="136">
        <f t="shared" si="3"/>
        <v>1.024621125123532</v>
      </c>
      <c r="Q29" s="136">
        <f t="shared" si="4"/>
        <v>0</v>
      </c>
    </row>
    <row r="30" spans="1:17">
      <c r="A30" s="378"/>
      <c r="B30" s="118" t="s">
        <v>290</v>
      </c>
      <c r="C30" s="248">
        <v>9</v>
      </c>
      <c r="D30" s="246">
        <v>0</v>
      </c>
      <c r="E30" s="246">
        <v>0</v>
      </c>
      <c r="F30" s="246">
        <v>0</v>
      </c>
      <c r="G30" s="246">
        <v>0</v>
      </c>
      <c r="H30" s="248">
        <v>18</v>
      </c>
      <c r="I30" s="246">
        <v>0</v>
      </c>
      <c r="J30" s="246">
        <v>0</v>
      </c>
      <c r="K30" s="246">
        <v>0</v>
      </c>
      <c r="L30" s="246">
        <v>0</v>
      </c>
      <c r="M30" s="135">
        <f t="shared" si="0"/>
        <v>27</v>
      </c>
      <c r="N30" s="136">
        <f t="shared" si="1"/>
        <v>0</v>
      </c>
      <c r="O30" s="136">
        <f t="shared" si="2"/>
        <v>0</v>
      </c>
      <c r="P30" s="136">
        <f t="shared" si="3"/>
        <v>0</v>
      </c>
      <c r="Q30" s="136">
        <f t="shared" si="4"/>
        <v>0</v>
      </c>
    </row>
    <row r="31" spans="1:17">
      <c r="A31" s="380" t="s">
        <v>291</v>
      </c>
      <c r="B31" s="118" t="s">
        <v>292</v>
      </c>
      <c r="C31" s="248">
        <v>9</v>
      </c>
      <c r="D31" s="247">
        <v>1</v>
      </c>
      <c r="E31" s="247">
        <v>0</v>
      </c>
      <c r="F31" s="247">
        <v>1</v>
      </c>
      <c r="G31" s="247">
        <v>1</v>
      </c>
      <c r="H31" s="248">
        <v>18</v>
      </c>
      <c r="I31" s="247">
        <v>1</v>
      </c>
      <c r="J31" s="247">
        <v>0</v>
      </c>
      <c r="K31" s="247">
        <v>1</v>
      </c>
      <c r="L31" s="247">
        <v>1</v>
      </c>
      <c r="M31" s="135">
        <f t="shared" si="0"/>
        <v>27</v>
      </c>
      <c r="N31" s="247">
        <f t="shared" si="1"/>
        <v>1</v>
      </c>
      <c r="O31" s="247">
        <f t="shared" si="2"/>
        <v>0</v>
      </c>
      <c r="P31" s="302">
        <f t="shared" ref="P31" si="7">IFERROR(IF(MAXA(F31,K31)&gt;1,1,MAXA(F31,K31)),"")</f>
        <v>1</v>
      </c>
      <c r="Q31" s="247">
        <f t="shared" si="4"/>
        <v>1</v>
      </c>
    </row>
    <row r="32" spans="1:17">
      <c r="A32" s="381"/>
      <c r="B32" s="118" t="s">
        <v>293</v>
      </c>
      <c r="C32" s="248">
        <v>9</v>
      </c>
      <c r="D32" s="246">
        <v>17.096</v>
      </c>
      <c r="E32" s="246">
        <v>11.923341813434687</v>
      </c>
      <c r="F32" s="246">
        <v>29.019341813434686</v>
      </c>
      <c r="G32" s="246">
        <v>5.1726581865653127</v>
      </c>
      <c r="H32" s="248">
        <v>18</v>
      </c>
      <c r="I32" s="246">
        <v>27.777777777777779</v>
      </c>
      <c r="J32" s="246">
        <v>21.081851067789195</v>
      </c>
      <c r="K32" s="246">
        <v>48.859628845566974</v>
      </c>
      <c r="L32" s="246">
        <v>6.6959267099885835</v>
      </c>
      <c r="M32" s="135">
        <f t="shared" si="0"/>
        <v>27</v>
      </c>
      <c r="N32" s="136">
        <f t="shared" si="1"/>
        <v>24.217185185185187</v>
      </c>
      <c r="O32" s="136">
        <f t="shared" si="2"/>
        <v>16.502596440611942</v>
      </c>
      <c r="P32" s="136">
        <f t="shared" si="3"/>
        <v>48.859628845566974</v>
      </c>
      <c r="Q32" s="136">
        <f t="shared" si="4"/>
        <v>5.1726581865653127</v>
      </c>
    </row>
    <row r="33" spans="1:17">
      <c r="A33" s="381"/>
      <c r="B33" s="118" t="s">
        <v>294</v>
      </c>
      <c r="C33" s="248">
        <v>9</v>
      </c>
      <c r="D33" s="246">
        <v>25.293333333333333</v>
      </c>
      <c r="E33" s="246">
        <v>8.1521858009575219</v>
      </c>
      <c r="F33" s="246">
        <v>33.445519134290855</v>
      </c>
      <c r="G33" s="246">
        <v>17.141147532375811</v>
      </c>
      <c r="H33" s="248">
        <v>18</v>
      </c>
      <c r="I33" s="246" t="s">
        <v>87</v>
      </c>
      <c r="J33" s="246" t="s">
        <v>87</v>
      </c>
      <c r="K33" s="246" t="s">
        <v>87</v>
      </c>
      <c r="L33" s="246" t="s">
        <v>87</v>
      </c>
      <c r="M33" s="135">
        <f t="shared" si="0"/>
        <v>27</v>
      </c>
      <c r="N33" s="136" t="str">
        <f t="shared" si="1"/>
        <v/>
      </c>
      <c r="O33" s="136" t="str">
        <f t="shared" si="2"/>
        <v/>
      </c>
      <c r="P33" s="136">
        <f t="shared" si="3"/>
        <v>33.445519134290855</v>
      </c>
      <c r="Q33" s="136">
        <f t="shared" si="4"/>
        <v>0</v>
      </c>
    </row>
    <row r="34" spans="1:17">
      <c r="A34" s="381"/>
      <c r="B34" s="118" t="s">
        <v>295</v>
      </c>
      <c r="C34" s="248">
        <v>9</v>
      </c>
      <c r="D34" s="246">
        <v>1.25</v>
      </c>
      <c r="E34" s="246" t="s">
        <v>87</v>
      </c>
      <c r="F34" s="246" t="s">
        <v>87</v>
      </c>
      <c r="G34" s="246" t="s">
        <v>87</v>
      </c>
      <c r="H34" s="248">
        <v>18</v>
      </c>
      <c r="I34" s="246" t="s">
        <v>87</v>
      </c>
      <c r="J34" s="246" t="s">
        <v>87</v>
      </c>
      <c r="K34" s="246" t="s">
        <v>87</v>
      </c>
      <c r="L34" s="246" t="s">
        <v>87</v>
      </c>
      <c r="M34" s="135">
        <f t="shared" si="0"/>
        <v>27</v>
      </c>
      <c r="N34" s="136" t="str">
        <f t="shared" si="1"/>
        <v/>
      </c>
      <c r="O34" s="136" t="str">
        <f t="shared" si="2"/>
        <v/>
      </c>
      <c r="P34" s="136">
        <f t="shared" si="3"/>
        <v>0</v>
      </c>
      <c r="Q34" s="136">
        <f t="shared" si="4"/>
        <v>0</v>
      </c>
    </row>
    <row r="35" spans="1:17">
      <c r="A35" s="382"/>
      <c r="B35" s="118" t="s">
        <v>296</v>
      </c>
      <c r="C35" s="248">
        <v>9</v>
      </c>
      <c r="D35" s="246">
        <v>1.1399999999999999</v>
      </c>
      <c r="E35" s="246" t="s">
        <v>87</v>
      </c>
      <c r="F35" s="246" t="s">
        <v>87</v>
      </c>
      <c r="G35" s="246" t="s">
        <v>87</v>
      </c>
      <c r="H35" s="248">
        <v>18</v>
      </c>
      <c r="I35" s="246" t="s">
        <v>87</v>
      </c>
      <c r="J35" s="246" t="s">
        <v>87</v>
      </c>
      <c r="K35" s="246" t="s">
        <v>87</v>
      </c>
      <c r="L35" s="246" t="s">
        <v>87</v>
      </c>
      <c r="M35" s="135">
        <f t="shared" si="0"/>
        <v>27</v>
      </c>
      <c r="N35" s="136" t="str">
        <f t="shared" si="1"/>
        <v/>
      </c>
      <c r="O35" s="136" t="str">
        <f t="shared" si="2"/>
        <v/>
      </c>
      <c r="P35" s="136">
        <f t="shared" si="3"/>
        <v>0</v>
      </c>
      <c r="Q35" s="136">
        <f t="shared" si="4"/>
        <v>0</v>
      </c>
    </row>
    <row r="36" spans="1:17">
      <c r="A36" s="382"/>
      <c r="B36" s="118" t="s">
        <v>297</v>
      </c>
      <c r="C36" s="248">
        <v>9</v>
      </c>
      <c r="D36" s="246">
        <v>1</v>
      </c>
      <c r="E36" s="246" t="s">
        <v>87</v>
      </c>
      <c r="F36" s="246" t="s">
        <v>87</v>
      </c>
      <c r="G36" s="246" t="s">
        <v>87</v>
      </c>
      <c r="H36" s="248">
        <v>18</v>
      </c>
      <c r="I36" s="246" t="s">
        <v>87</v>
      </c>
      <c r="J36" s="246" t="s">
        <v>87</v>
      </c>
      <c r="K36" s="246" t="s">
        <v>87</v>
      </c>
      <c r="L36" s="246" t="s">
        <v>87</v>
      </c>
      <c r="M36" s="135">
        <f t="shared" si="0"/>
        <v>27</v>
      </c>
      <c r="N36" s="136" t="str">
        <f t="shared" si="1"/>
        <v/>
      </c>
      <c r="O36" s="136" t="str">
        <f t="shared" si="2"/>
        <v/>
      </c>
      <c r="P36" s="136">
        <f t="shared" si="3"/>
        <v>0</v>
      </c>
      <c r="Q36" s="136">
        <f t="shared" si="4"/>
        <v>0</v>
      </c>
    </row>
    <row r="37" spans="1:17">
      <c r="A37" s="383"/>
      <c r="B37" s="118" t="s">
        <v>298</v>
      </c>
      <c r="C37" s="248">
        <v>9</v>
      </c>
      <c r="D37" s="246">
        <v>0.66666666666666663</v>
      </c>
      <c r="E37" s="246">
        <v>0.28867513459481292</v>
      </c>
      <c r="F37" s="246">
        <v>0.95534180126147961</v>
      </c>
      <c r="G37" s="246">
        <v>0.37799153207185371</v>
      </c>
      <c r="H37" s="248">
        <v>18</v>
      </c>
      <c r="I37" s="246">
        <v>1.0555555555555556</v>
      </c>
      <c r="J37" s="246">
        <v>0.72648315725677881</v>
      </c>
      <c r="K37" s="246">
        <v>1.7820387128123345</v>
      </c>
      <c r="L37" s="246">
        <v>0.32907239829877677</v>
      </c>
      <c r="M37" s="135">
        <f t="shared" si="0"/>
        <v>27</v>
      </c>
      <c r="N37" s="136">
        <f t="shared" si="1"/>
        <v>0.92592592592592593</v>
      </c>
      <c r="O37" s="136">
        <f t="shared" si="2"/>
        <v>0.50757914592579589</v>
      </c>
      <c r="P37" s="136">
        <f t="shared" si="3"/>
        <v>1.7820387128123345</v>
      </c>
      <c r="Q37" s="136">
        <f t="shared" si="4"/>
        <v>0.32907239829877677</v>
      </c>
    </row>
    <row r="38" spans="1:17">
      <c r="A38" s="364" t="s">
        <v>299</v>
      </c>
      <c r="B38" s="118" t="s">
        <v>300</v>
      </c>
      <c r="C38" s="248">
        <v>9</v>
      </c>
      <c r="D38" s="246">
        <v>0</v>
      </c>
      <c r="E38" s="246">
        <v>0</v>
      </c>
      <c r="F38" s="246">
        <v>0</v>
      </c>
      <c r="G38" s="246">
        <v>0</v>
      </c>
      <c r="H38" s="248">
        <v>18</v>
      </c>
      <c r="I38" s="246">
        <v>0</v>
      </c>
      <c r="J38" s="246">
        <v>0</v>
      </c>
      <c r="K38" s="246">
        <v>0</v>
      </c>
      <c r="L38" s="246">
        <v>0</v>
      </c>
      <c r="M38" s="135">
        <f t="shared" si="0"/>
        <v>27</v>
      </c>
      <c r="N38" s="136">
        <f t="shared" si="1"/>
        <v>0</v>
      </c>
      <c r="O38" s="136">
        <f t="shared" si="2"/>
        <v>0</v>
      </c>
      <c r="P38" s="136">
        <f t="shared" si="3"/>
        <v>0</v>
      </c>
      <c r="Q38" s="136">
        <f t="shared" si="4"/>
        <v>0</v>
      </c>
    </row>
    <row r="39" spans="1:17">
      <c r="A39" s="364"/>
      <c r="B39" s="118" t="s">
        <v>301</v>
      </c>
      <c r="C39" s="248">
        <v>9</v>
      </c>
      <c r="D39" s="246">
        <v>3.8280000000000003</v>
      </c>
      <c r="E39" s="246">
        <v>1.083106642948882</v>
      </c>
      <c r="F39" s="246">
        <v>4.9111066429488819</v>
      </c>
      <c r="G39" s="246">
        <v>2.7448933570511183</v>
      </c>
      <c r="H39" s="248">
        <v>18</v>
      </c>
      <c r="I39" s="246">
        <v>4.4427272727272724</v>
      </c>
      <c r="J39" s="246">
        <v>0.89878908436953031</v>
      </c>
      <c r="K39" s="246">
        <v>5.3415163570968023</v>
      </c>
      <c r="L39" s="246">
        <v>3.5439381883577421</v>
      </c>
      <c r="M39" s="135">
        <f t="shared" si="0"/>
        <v>27</v>
      </c>
      <c r="N39" s="136">
        <f t="shared" si="1"/>
        <v>4.2378181818181817</v>
      </c>
      <c r="O39" s="136">
        <f t="shared" si="2"/>
        <v>0.99094786365920617</v>
      </c>
      <c r="P39" s="136">
        <f t="shared" si="3"/>
        <v>5.3415163570968023</v>
      </c>
      <c r="Q39" s="136">
        <f t="shared" si="4"/>
        <v>2.7448933570511183</v>
      </c>
    </row>
    <row r="40" spans="1:17">
      <c r="A40" s="364"/>
      <c r="B40" s="118" t="s">
        <v>302</v>
      </c>
      <c r="C40" s="248">
        <v>9</v>
      </c>
      <c r="D40" s="247">
        <v>7.4340000000000003E-2</v>
      </c>
      <c r="E40" s="247">
        <v>2.3353971824938004E-2</v>
      </c>
      <c r="F40" s="247">
        <v>9.7693971824938011E-2</v>
      </c>
      <c r="G40" s="247">
        <v>5.0986028175061995E-2</v>
      </c>
      <c r="H40" s="248">
        <v>18</v>
      </c>
      <c r="I40" s="247">
        <v>0.11876363636363635</v>
      </c>
      <c r="J40" s="247">
        <v>6.7796862357004009E-2</v>
      </c>
      <c r="K40" s="247">
        <v>0.18656049872064034</v>
      </c>
      <c r="L40" s="247">
        <v>5.096677400663234E-2</v>
      </c>
      <c r="M40" s="135">
        <f t="shared" si="0"/>
        <v>27</v>
      </c>
      <c r="N40" s="247">
        <f t="shared" si="1"/>
        <v>0.10395575757575758</v>
      </c>
      <c r="O40" s="247">
        <f t="shared" si="2"/>
        <v>4.5575417090971009E-2</v>
      </c>
      <c r="P40" s="302">
        <f t="shared" ref="P40" si="8">IFERROR(IF(MAXA(F40,K40)&gt;1,1,MAXA(F40,K40)),"")</f>
        <v>0.18656049872064034</v>
      </c>
      <c r="Q40" s="247">
        <f t="shared" si="4"/>
        <v>5.096677400663234E-2</v>
      </c>
    </row>
    <row r="41" spans="1:17">
      <c r="A41" s="364"/>
      <c r="B41" s="120" t="s">
        <v>303</v>
      </c>
      <c r="C41" s="248">
        <v>9</v>
      </c>
      <c r="D41" s="246">
        <v>0</v>
      </c>
      <c r="E41" s="246">
        <v>0</v>
      </c>
      <c r="F41" s="246">
        <v>0</v>
      </c>
      <c r="G41" s="246">
        <v>0</v>
      </c>
      <c r="H41" s="248">
        <v>18</v>
      </c>
      <c r="I41" s="246">
        <v>0</v>
      </c>
      <c r="J41" s="246">
        <v>0</v>
      </c>
      <c r="K41" s="246">
        <v>0</v>
      </c>
      <c r="L41" s="246">
        <v>0</v>
      </c>
      <c r="M41" s="135">
        <f t="shared" si="0"/>
        <v>27</v>
      </c>
      <c r="N41" s="136">
        <f t="shared" si="1"/>
        <v>0</v>
      </c>
      <c r="O41" s="136">
        <f t="shared" si="2"/>
        <v>0</v>
      </c>
      <c r="P41" s="136">
        <f t="shared" si="3"/>
        <v>0</v>
      </c>
      <c r="Q41" s="136">
        <f t="shared" si="4"/>
        <v>0</v>
      </c>
    </row>
    <row r="42" spans="1:17">
      <c r="A42" s="364"/>
      <c r="B42" s="120" t="s">
        <v>304</v>
      </c>
      <c r="C42" s="248">
        <v>9</v>
      </c>
      <c r="D42" s="246">
        <v>0</v>
      </c>
      <c r="E42" s="246">
        <v>0</v>
      </c>
      <c r="F42" s="246">
        <v>0</v>
      </c>
      <c r="G42" s="246">
        <v>0</v>
      </c>
      <c r="H42" s="248">
        <v>18</v>
      </c>
      <c r="I42" s="246">
        <v>0</v>
      </c>
      <c r="J42" s="246">
        <v>0</v>
      </c>
      <c r="K42" s="246">
        <v>0</v>
      </c>
      <c r="L42" s="246">
        <v>0</v>
      </c>
      <c r="M42" s="135">
        <f t="shared" si="0"/>
        <v>27</v>
      </c>
      <c r="N42" s="136">
        <f t="shared" si="1"/>
        <v>0</v>
      </c>
      <c r="O42" s="136">
        <f t="shared" si="2"/>
        <v>0</v>
      </c>
      <c r="P42" s="136">
        <f t="shared" si="3"/>
        <v>0</v>
      </c>
      <c r="Q42" s="136">
        <f t="shared" si="4"/>
        <v>0</v>
      </c>
    </row>
    <row r="43" spans="1:17">
      <c r="A43" s="364"/>
      <c r="B43" s="120" t="s">
        <v>305</v>
      </c>
      <c r="C43" s="248">
        <v>9</v>
      </c>
      <c r="D43" s="246">
        <v>0</v>
      </c>
      <c r="E43" s="246">
        <v>0</v>
      </c>
      <c r="F43" s="246">
        <v>0</v>
      </c>
      <c r="G43" s="246">
        <v>0</v>
      </c>
      <c r="H43" s="248">
        <v>18</v>
      </c>
      <c r="I43" s="246">
        <v>0</v>
      </c>
      <c r="J43" s="246">
        <v>0</v>
      </c>
      <c r="K43" s="246">
        <v>0</v>
      </c>
      <c r="L43" s="246">
        <v>0</v>
      </c>
      <c r="M43" s="135">
        <f t="shared" si="0"/>
        <v>27</v>
      </c>
      <c r="N43" s="136">
        <f t="shared" si="1"/>
        <v>0</v>
      </c>
      <c r="O43" s="136">
        <f t="shared" si="2"/>
        <v>0</v>
      </c>
      <c r="P43" s="136">
        <f t="shared" si="3"/>
        <v>0</v>
      </c>
      <c r="Q43" s="136">
        <f t="shared" si="4"/>
        <v>0</v>
      </c>
    </row>
  </sheetData>
  <mergeCells count="12">
    <mergeCell ref="A38:A43"/>
    <mergeCell ref="A1:B2"/>
    <mergeCell ref="C1:G1"/>
    <mergeCell ref="H1:L1"/>
    <mergeCell ref="M1:Q1"/>
    <mergeCell ref="A3:A13"/>
    <mergeCell ref="A14:A16"/>
    <mergeCell ref="A17:A20"/>
    <mergeCell ref="A21:A25"/>
    <mergeCell ref="A27:A28"/>
    <mergeCell ref="A29:A30"/>
    <mergeCell ref="A31:A37"/>
  </mergeCells>
  <phoneticPr fontId="26" type="noConversion"/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>
    <oddHeader>&amp;L&amp;G&amp;C&amp;F&amp;R文档密级</oddHeader>
    <oddFooter>&amp;L&amp;D&amp;C华为保密信息,未经授权禁止扩散&amp;R第&amp;P页，共&amp;N页</oddFooter>
  </headerFooter>
  <legacyDrawingHF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43"/>
  <sheetViews>
    <sheetView workbookViewId="0">
      <selection activeCell="F22" sqref="F22"/>
    </sheetView>
  </sheetViews>
  <sheetFormatPr defaultRowHeight="14.25"/>
  <cols>
    <col min="1" max="1" width="9" style="116"/>
    <col min="2" max="2" width="35.5" style="116" bestFit="1" customWidth="1"/>
    <col min="3" max="4" width="7.25" style="116" customWidth="1"/>
    <col min="5" max="5" width="7.5" style="116" customWidth="1"/>
    <col min="6" max="9" width="7.25" style="116" customWidth="1"/>
    <col min="10" max="10" width="5.875" style="116" customWidth="1"/>
    <col min="11" max="12" width="7.25" style="116" customWidth="1"/>
    <col min="13" max="16384" width="9" style="116"/>
  </cols>
  <sheetData>
    <row r="1" spans="1:17" ht="14.25" customHeight="1">
      <c r="A1" s="379" t="s">
        <v>339</v>
      </c>
      <c r="B1" s="379"/>
      <c r="C1" s="376" t="s">
        <v>455</v>
      </c>
      <c r="D1" s="377"/>
      <c r="E1" s="377"/>
      <c r="F1" s="377"/>
      <c r="G1" s="377"/>
      <c r="H1" s="376" t="s">
        <v>456</v>
      </c>
      <c r="I1" s="377"/>
      <c r="J1" s="377"/>
      <c r="K1" s="377"/>
      <c r="L1" s="377"/>
      <c r="M1" s="376" t="s">
        <v>457</v>
      </c>
      <c r="N1" s="377"/>
      <c r="O1" s="377"/>
      <c r="P1" s="377"/>
      <c r="Q1" s="377"/>
    </row>
    <row r="2" spans="1:17">
      <c r="A2" s="379"/>
      <c r="B2" s="379"/>
      <c r="C2" s="225" t="s">
        <v>340</v>
      </c>
      <c r="D2" s="225" t="s">
        <v>319</v>
      </c>
      <c r="E2" s="225" t="s">
        <v>260</v>
      </c>
      <c r="F2" s="225" t="s">
        <v>261</v>
      </c>
      <c r="G2" s="225" t="s">
        <v>262</v>
      </c>
      <c r="H2" s="225" t="s">
        <v>318</v>
      </c>
      <c r="I2" s="225" t="s">
        <v>319</v>
      </c>
      <c r="J2" s="225" t="s">
        <v>260</v>
      </c>
      <c r="K2" s="225" t="s">
        <v>326</v>
      </c>
      <c r="L2" s="225" t="s">
        <v>262</v>
      </c>
      <c r="M2" s="225" t="s">
        <v>318</v>
      </c>
      <c r="N2" s="225" t="s">
        <v>319</v>
      </c>
      <c r="O2" s="225" t="s">
        <v>260</v>
      </c>
      <c r="P2" s="225" t="s">
        <v>326</v>
      </c>
      <c r="Q2" s="225" t="s">
        <v>262</v>
      </c>
    </row>
    <row r="3" spans="1:17">
      <c r="A3" s="351" t="s">
        <v>258</v>
      </c>
      <c r="B3" s="117" t="s">
        <v>259</v>
      </c>
      <c r="C3" s="248">
        <v>7</v>
      </c>
      <c r="D3" s="246">
        <v>35.865325935910803</v>
      </c>
      <c r="E3" s="246">
        <v>2.2103014245253236</v>
      </c>
      <c r="F3" s="246">
        <v>42.496230209486775</v>
      </c>
      <c r="G3" s="246">
        <v>29.234421662334832</v>
      </c>
      <c r="H3" s="248">
        <v>5</v>
      </c>
      <c r="I3" s="246">
        <v>36.531797471962655</v>
      </c>
      <c r="J3" s="246">
        <v>2.8015899493535974</v>
      </c>
      <c r="K3" s="246">
        <v>44.936567320023443</v>
      </c>
      <c r="L3" s="246">
        <v>28.127027623901864</v>
      </c>
      <c r="M3" s="135">
        <f>IFERROR(C3+H3,"")</f>
        <v>12</v>
      </c>
      <c r="N3" s="136">
        <f>IFERROR((C3*D3+H3*I3)/M3,"")</f>
        <v>36.14302240926574</v>
      </c>
      <c r="O3" s="136">
        <f>IFERROR((E3+J3)/2,"")</f>
        <v>2.5059456869394605</v>
      </c>
      <c r="P3" s="136">
        <f>IFERROR(MAXA(F3,K3),"")</f>
        <v>44.936567320023443</v>
      </c>
      <c r="Q3" s="136">
        <f>IFERROR(MINA(G3,L3),"")</f>
        <v>28.127027623901864</v>
      </c>
    </row>
    <row r="4" spans="1:17">
      <c r="A4" s="351"/>
      <c r="B4" s="118" t="s">
        <v>331</v>
      </c>
      <c r="C4" s="248">
        <v>3</v>
      </c>
      <c r="D4" s="246">
        <v>36.3532974674279</v>
      </c>
      <c r="E4" s="246">
        <v>3.0822614506523203</v>
      </c>
      <c r="F4" s="246">
        <v>45.600081819384862</v>
      </c>
      <c r="G4" s="246">
        <v>27.106513115470939</v>
      </c>
      <c r="H4" s="248">
        <v>5</v>
      </c>
      <c r="I4" s="246">
        <v>37.402599015565343</v>
      </c>
      <c r="J4" s="246">
        <v>4.7034513790001213</v>
      </c>
      <c r="K4" s="246">
        <v>42.106050394565465</v>
      </c>
      <c r="L4" s="246">
        <v>32.699147636565222</v>
      </c>
      <c r="M4" s="135">
        <f t="shared" ref="M4:M43" si="0">IFERROR(C4+H4,"")</f>
        <v>8</v>
      </c>
      <c r="N4" s="136">
        <f t="shared" ref="N4:N43" si="1">IFERROR((C4*D4+H4*I4)/M4,"")</f>
        <v>37.009110935013801</v>
      </c>
      <c r="O4" s="136">
        <f t="shared" ref="O4:O43" si="2">IFERROR((E4+J4)/2,"")</f>
        <v>3.8928564148262206</v>
      </c>
      <c r="P4" s="136">
        <f t="shared" ref="P4:P43" si="3">IFERROR(MAXA(F4,K4),"")</f>
        <v>45.600081819384862</v>
      </c>
      <c r="Q4" s="136">
        <f t="shared" ref="Q4:Q43" si="4">IFERROR(MINA(G4,L4),"")</f>
        <v>27.106513115470939</v>
      </c>
    </row>
    <row r="5" spans="1:17">
      <c r="A5" s="351"/>
      <c r="B5" s="118" t="s">
        <v>263</v>
      </c>
      <c r="C5" s="248">
        <v>5</v>
      </c>
      <c r="D5" s="246">
        <v>1.6788250049183553</v>
      </c>
      <c r="E5" s="246">
        <v>0.83912310846338878</v>
      </c>
      <c r="F5" s="246">
        <v>2.5179481133817441</v>
      </c>
      <c r="G5" s="246">
        <v>0.83970189645496651</v>
      </c>
      <c r="H5" s="248">
        <v>4</v>
      </c>
      <c r="I5" s="246">
        <v>0.72931372549019602</v>
      </c>
      <c r="J5" s="246">
        <v>0.2634410059248487</v>
      </c>
      <c r="K5" s="246">
        <v>0.99275473141504467</v>
      </c>
      <c r="L5" s="246">
        <v>0.46587271956534732</v>
      </c>
      <c r="M5" s="135">
        <f t="shared" si="0"/>
        <v>9</v>
      </c>
      <c r="N5" s="136">
        <f t="shared" si="1"/>
        <v>1.2568199918391736</v>
      </c>
      <c r="O5" s="136">
        <f t="shared" si="2"/>
        <v>0.55128205719411871</v>
      </c>
      <c r="P5" s="136">
        <f t="shared" si="3"/>
        <v>2.5179481133817441</v>
      </c>
      <c r="Q5" s="136">
        <f t="shared" si="4"/>
        <v>0.46587271956534732</v>
      </c>
    </row>
    <row r="6" spans="1:17">
      <c r="A6" s="351"/>
      <c r="B6" s="118" t="s">
        <v>257</v>
      </c>
      <c r="C6" s="248">
        <v>3</v>
      </c>
      <c r="D6" s="246">
        <v>8.4130251793295266E-2</v>
      </c>
      <c r="E6" s="246">
        <v>5.1632223810210341E-2</v>
      </c>
      <c r="F6" s="246">
        <v>0.1357624756035056</v>
      </c>
      <c r="G6" s="246">
        <v>3.2498027983084925E-2</v>
      </c>
      <c r="H6" s="248">
        <v>4</v>
      </c>
      <c r="I6" s="246">
        <v>3.315062388591801E-2</v>
      </c>
      <c r="J6" s="246">
        <v>1.1974591178402182E-2</v>
      </c>
      <c r="K6" s="246">
        <v>4.5125215064320191E-2</v>
      </c>
      <c r="L6" s="246">
        <v>2.1176032707515828E-2</v>
      </c>
      <c r="M6" s="135">
        <f t="shared" si="0"/>
        <v>7</v>
      </c>
      <c r="N6" s="136">
        <f t="shared" si="1"/>
        <v>5.4999035846222552E-2</v>
      </c>
      <c r="O6" s="136">
        <f t="shared" si="2"/>
        <v>3.1803407494306261E-2</v>
      </c>
      <c r="P6" s="136">
        <f t="shared" si="3"/>
        <v>0.1357624756035056</v>
      </c>
      <c r="Q6" s="136">
        <f t="shared" si="4"/>
        <v>2.1176032707515828E-2</v>
      </c>
    </row>
    <row r="7" spans="1:17">
      <c r="A7" s="351"/>
      <c r="B7" s="118" t="s">
        <v>327</v>
      </c>
      <c r="C7" s="248">
        <v>0</v>
      </c>
      <c r="D7" s="246" t="s">
        <v>87</v>
      </c>
      <c r="E7" s="246" t="s">
        <v>87</v>
      </c>
      <c r="F7" s="246" t="s">
        <v>87</v>
      </c>
      <c r="G7" s="246" t="s">
        <v>87</v>
      </c>
      <c r="H7" s="248">
        <v>0</v>
      </c>
      <c r="I7" s="246" t="s">
        <v>87</v>
      </c>
      <c r="J7" s="246" t="s">
        <v>87</v>
      </c>
      <c r="K7" s="246" t="s">
        <v>87</v>
      </c>
      <c r="L7" s="246" t="s">
        <v>87</v>
      </c>
      <c r="M7" s="135">
        <f t="shared" si="0"/>
        <v>0</v>
      </c>
      <c r="N7" s="136" t="str">
        <f t="shared" si="1"/>
        <v/>
      </c>
      <c r="O7" s="136" t="str">
        <f t="shared" si="2"/>
        <v/>
      </c>
      <c r="P7" s="136">
        <f t="shared" si="3"/>
        <v>0</v>
      </c>
      <c r="Q7" s="136">
        <f t="shared" si="4"/>
        <v>0</v>
      </c>
    </row>
    <row r="8" spans="1:17">
      <c r="A8" s="351"/>
      <c r="B8" s="118" t="s">
        <v>264</v>
      </c>
      <c r="C8" s="248">
        <v>0</v>
      </c>
      <c r="D8" s="246" t="s">
        <v>87</v>
      </c>
      <c r="E8" s="246" t="s">
        <v>87</v>
      </c>
      <c r="F8" s="246" t="s">
        <v>87</v>
      </c>
      <c r="G8" s="246" t="s">
        <v>87</v>
      </c>
      <c r="H8" s="248">
        <v>0</v>
      </c>
      <c r="I8" s="246" t="s">
        <v>87</v>
      </c>
      <c r="J8" s="246" t="s">
        <v>87</v>
      </c>
      <c r="K8" s="246" t="s">
        <v>87</v>
      </c>
      <c r="L8" s="246" t="s">
        <v>87</v>
      </c>
      <c r="M8" s="135">
        <f t="shared" si="0"/>
        <v>0</v>
      </c>
      <c r="N8" s="136" t="str">
        <f t="shared" si="1"/>
        <v/>
      </c>
      <c r="O8" s="136" t="str">
        <f t="shared" si="2"/>
        <v/>
      </c>
      <c r="P8" s="136">
        <f t="shared" si="3"/>
        <v>0</v>
      </c>
      <c r="Q8" s="136">
        <f t="shared" si="4"/>
        <v>0</v>
      </c>
    </row>
    <row r="9" spans="1:17">
      <c r="A9" s="351"/>
      <c r="B9" s="118" t="s">
        <v>265</v>
      </c>
      <c r="C9" s="248">
        <v>0</v>
      </c>
      <c r="D9" s="246" t="s">
        <v>87</v>
      </c>
      <c r="E9" s="246" t="s">
        <v>87</v>
      </c>
      <c r="F9" s="246" t="s">
        <v>87</v>
      </c>
      <c r="G9" s="246" t="s">
        <v>87</v>
      </c>
      <c r="H9" s="248">
        <v>0</v>
      </c>
      <c r="I9" s="246" t="s">
        <v>87</v>
      </c>
      <c r="J9" s="246" t="s">
        <v>87</v>
      </c>
      <c r="K9" s="246" t="s">
        <v>87</v>
      </c>
      <c r="L9" s="246" t="s">
        <v>87</v>
      </c>
      <c r="M9" s="135">
        <f t="shared" si="0"/>
        <v>0</v>
      </c>
      <c r="N9" s="136" t="str">
        <f t="shared" si="1"/>
        <v/>
      </c>
      <c r="O9" s="136" t="str">
        <f t="shared" si="2"/>
        <v/>
      </c>
      <c r="P9" s="136">
        <f t="shared" si="3"/>
        <v>0</v>
      </c>
      <c r="Q9" s="136">
        <f t="shared" si="4"/>
        <v>0</v>
      </c>
    </row>
    <row r="10" spans="1:17">
      <c r="A10" s="351"/>
      <c r="B10" s="118" t="s">
        <v>266</v>
      </c>
      <c r="C10" s="248">
        <v>0</v>
      </c>
      <c r="D10" s="246" t="s">
        <v>87</v>
      </c>
      <c r="E10" s="246" t="s">
        <v>87</v>
      </c>
      <c r="F10" s="246" t="s">
        <v>87</v>
      </c>
      <c r="G10" s="246" t="s">
        <v>87</v>
      </c>
      <c r="H10" s="248">
        <v>0</v>
      </c>
      <c r="I10" s="246" t="s">
        <v>87</v>
      </c>
      <c r="J10" s="246" t="s">
        <v>87</v>
      </c>
      <c r="K10" s="246" t="s">
        <v>87</v>
      </c>
      <c r="L10" s="246" t="s">
        <v>87</v>
      </c>
      <c r="M10" s="135">
        <f t="shared" si="0"/>
        <v>0</v>
      </c>
      <c r="N10" s="136" t="str">
        <f t="shared" si="1"/>
        <v/>
      </c>
      <c r="O10" s="136" t="str">
        <f t="shared" si="2"/>
        <v/>
      </c>
      <c r="P10" s="136">
        <f t="shared" si="3"/>
        <v>0</v>
      </c>
      <c r="Q10" s="136">
        <f t="shared" si="4"/>
        <v>0</v>
      </c>
    </row>
    <row r="11" spans="1:17">
      <c r="A11" s="351"/>
      <c r="B11" s="118" t="s">
        <v>267</v>
      </c>
      <c r="C11" s="248">
        <v>7</v>
      </c>
      <c r="D11" s="247">
        <v>0</v>
      </c>
      <c r="E11" s="247">
        <v>0</v>
      </c>
      <c r="F11" s="247">
        <v>0</v>
      </c>
      <c r="G11" s="247">
        <v>0</v>
      </c>
      <c r="H11" s="248">
        <v>5</v>
      </c>
      <c r="I11" s="247">
        <v>0</v>
      </c>
      <c r="J11" s="247">
        <v>0</v>
      </c>
      <c r="K11" s="247">
        <v>0</v>
      </c>
      <c r="L11" s="247">
        <v>0</v>
      </c>
      <c r="M11" s="135">
        <f t="shared" si="0"/>
        <v>12</v>
      </c>
      <c r="N11" s="247">
        <f t="shared" si="1"/>
        <v>0</v>
      </c>
      <c r="O11" s="247">
        <f t="shared" si="2"/>
        <v>0</v>
      </c>
      <c r="P11" s="302">
        <f t="shared" ref="P11:P14" si="5">IFERROR(IF(MAXA(F11,K11)&gt;1,1,MAXA(F11,K11)),"")</f>
        <v>0</v>
      </c>
      <c r="Q11" s="247">
        <f t="shared" si="4"/>
        <v>0</v>
      </c>
    </row>
    <row r="12" spans="1:17">
      <c r="A12" s="351"/>
      <c r="B12" s="118" t="s">
        <v>352</v>
      </c>
      <c r="C12" s="248">
        <v>7</v>
      </c>
      <c r="D12" s="247">
        <v>-1.3138024765931742E-3</v>
      </c>
      <c r="E12" s="247">
        <v>2.2439523798366522E-3</v>
      </c>
      <c r="F12" s="247">
        <v>9.3014990324347797E-4</v>
      </c>
      <c r="G12" s="247">
        <v>-3.5577548564298261E-3</v>
      </c>
      <c r="H12" s="248">
        <v>5</v>
      </c>
      <c r="I12" s="247">
        <v>-1.0989010989010989E-3</v>
      </c>
      <c r="J12" s="247">
        <v>2.4572175576920768E-3</v>
      </c>
      <c r="K12" s="247">
        <v>1.3583164587909779E-3</v>
      </c>
      <c r="L12" s="247">
        <v>-3.5561186565931757E-3</v>
      </c>
      <c r="M12" s="135">
        <f t="shared" si="0"/>
        <v>12</v>
      </c>
      <c r="N12" s="247">
        <f t="shared" si="1"/>
        <v>-1.2242602358881428E-3</v>
      </c>
      <c r="O12" s="247">
        <f t="shared" si="2"/>
        <v>2.3505849687643645E-3</v>
      </c>
      <c r="P12" s="302">
        <f t="shared" si="5"/>
        <v>1.3583164587909779E-3</v>
      </c>
      <c r="Q12" s="247">
        <f t="shared" si="4"/>
        <v>-3.5577548564298261E-3</v>
      </c>
    </row>
    <row r="13" spans="1:17">
      <c r="A13" s="351"/>
      <c r="B13" s="118" t="s">
        <v>268</v>
      </c>
      <c r="C13" s="248">
        <v>7</v>
      </c>
      <c r="D13" s="247">
        <v>0</v>
      </c>
      <c r="E13" s="247">
        <v>0</v>
      </c>
      <c r="F13" s="247">
        <v>0</v>
      </c>
      <c r="G13" s="247">
        <v>0</v>
      </c>
      <c r="H13" s="248">
        <v>5</v>
      </c>
      <c r="I13" s="247">
        <v>0</v>
      </c>
      <c r="J13" s="247">
        <v>0</v>
      </c>
      <c r="K13" s="247">
        <v>0</v>
      </c>
      <c r="L13" s="247">
        <v>0</v>
      </c>
      <c r="M13" s="135">
        <f t="shared" si="0"/>
        <v>12</v>
      </c>
      <c r="N13" s="247">
        <f t="shared" si="1"/>
        <v>0</v>
      </c>
      <c r="O13" s="247">
        <f t="shared" si="2"/>
        <v>0</v>
      </c>
      <c r="P13" s="302">
        <f t="shared" si="5"/>
        <v>0</v>
      </c>
      <c r="Q13" s="247">
        <f t="shared" si="4"/>
        <v>0</v>
      </c>
    </row>
    <row r="14" spans="1:17">
      <c r="A14" s="378" t="s">
        <v>269</v>
      </c>
      <c r="B14" s="118" t="s">
        <v>270</v>
      </c>
      <c r="C14" s="248">
        <v>7</v>
      </c>
      <c r="D14" s="247">
        <v>0.94954050106729582</v>
      </c>
      <c r="E14" s="247">
        <v>3.6791533476469629E-2</v>
      </c>
      <c r="F14" s="247">
        <v>1</v>
      </c>
      <c r="G14" s="247">
        <v>0.83916590063788687</v>
      </c>
      <c r="H14" s="248">
        <v>4</v>
      </c>
      <c r="I14" s="247">
        <v>0.95138888888888884</v>
      </c>
      <c r="J14" s="247">
        <v>3.6111111111111122E-2</v>
      </c>
      <c r="K14" s="247">
        <v>1</v>
      </c>
      <c r="L14" s="247">
        <v>0.84305555555555545</v>
      </c>
      <c r="M14" s="135">
        <f t="shared" si="0"/>
        <v>11</v>
      </c>
      <c r="N14" s="247">
        <f t="shared" si="1"/>
        <v>0.95021264209332967</v>
      </c>
      <c r="O14" s="247">
        <f t="shared" si="2"/>
        <v>3.6451322293790375E-2</v>
      </c>
      <c r="P14" s="302">
        <f t="shared" si="5"/>
        <v>1</v>
      </c>
      <c r="Q14" s="247">
        <f t="shared" si="4"/>
        <v>0.83916590063788687</v>
      </c>
    </row>
    <row r="15" spans="1:17">
      <c r="A15" s="378"/>
      <c r="B15" s="118" t="s">
        <v>271</v>
      </c>
      <c r="C15" s="248">
        <v>0</v>
      </c>
      <c r="D15" s="246" t="s">
        <v>87</v>
      </c>
      <c r="E15" s="246" t="s">
        <v>87</v>
      </c>
      <c r="F15" s="246" t="s">
        <v>87</v>
      </c>
      <c r="G15" s="246" t="s">
        <v>87</v>
      </c>
      <c r="H15" s="248">
        <v>0</v>
      </c>
      <c r="I15" s="246" t="s">
        <v>87</v>
      </c>
      <c r="J15" s="246" t="s">
        <v>87</v>
      </c>
      <c r="K15" s="246" t="s">
        <v>87</v>
      </c>
      <c r="L15" s="246" t="s">
        <v>87</v>
      </c>
      <c r="M15" s="135">
        <f t="shared" si="0"/>
        <v>0</v>
      </c>
      <c r="N15" s="136" t="str">
        <f t="shared" si="1"/>
        <v/>
      </c>
      <c r="O15" s="136" t="str">
        <f t="shared" si="2"/>
        <v/>
      </c>
      <c r="P15" s="136">
        <f t="shared" si="3"/>
        <v>0</v>
      </c>
      <c r="Q15" s="136">
        <f t="shared" si="4"/>
        <v>0</v>
      </c>
    </row>
    <row r="16" spans="1:17">
      <c r="A16" s="378"/>
      <c r="B16" s="118" t="s">
        <v>272</v>
      </c>
      <c r="C16" s="248">
        <v>2</v>
      </c>
      <c r="D16" s="246">
        <v>0.31656504065040653</v>
      </c>
      <c r="E16" s="246">
        <v>3.5211618168842308E-2</v>
      </c>
      <c r="F16" s="246">
        <v>0.35177665881924886</v>
      </c>
      <c r="G16" s="246">
        <v>0.2813534224815642</v>
      </c>
      <c r="H16" s="248">
        <v>0</v>
      </c>
      <c r="I16" s="246" t="s">
        <v>87</v>
      </c>
      <c r="J16" s="246" t="s">
        <v>87</v>
      </c>
      <c r="K16" s="246" t="s">
        <v>87</v>
      </c>
      <c r="L16" s="246" t="s">
        <v>87</v>
      </c>
      <c r="M16" s="135">
        <f t="shared" si="0"/>
        <v>2</v>
      </c>
      <c r="N16" s="136" t="str">
        <f t="shared" si="1"/>
        <v/>
      </c>
      <c r="O16" s="136" t="str">
        <f t="shared" si="2"/>
        <v/>
      </c>
      <c r="P16" s="136">
        <f t="shared" si="3"/>
        <v>0.35177665881924886</v>
      </c>
      <c r="Q16" s="136">
        <f t="shared" si="4"/>
        <v>0</v>
      </c>
    </row>
    <row r="17" spans="1:17">
      <c r="A17" s="378" t="s">
        <v>273</v>
      </c>
      <c r="B17" s="118" t="s">
        <v>306</v>
      </c>
      <c r="C17" s="248">
        <v>7</v>
      </c>
      <c r="D17" s="246">
        <v>9.6788220215283491</v>
      </c>
      <c r="E17" s="246">
        <v>3.5564724191835504</v>
      </c>
      <c r="F17" s="246">
        <v>13.2352944407119</v>
      </c>
      <c r="G17" s="246">
        <v>6.1223496023447987</v>
      </c>
      <c r="H17" s="248">
        <v>5</v>
      </c>
      <c r="I17" s="246">
        <v>11.046910526772542</v>
      </c>
      <c r="J17" s="246">
        <v>4.6635957627522844</v>
      </c>
      <c r="K17" s="246">
        <v>15.710506289524826</v>
      </c>
      <c r="L17" s="246">
        <v>6.3833147640202581</v>
      </c>
      <c r="M17" s="135">
        <f t="shared" si="0"/>
        <v>12</v>
      </c>
      <c r="N17" s="136">
        <f t="shared" si="1"/>
        <v>10.248858898713429</v>
      </c>
      <c r="O17" s="136">
        <f t="shared" si="2"/>
        <v>4.1100340909679174</v>
      </c>
      <c r="P17" s="136">
        <f t="shared" si="3"/>
        <v>15.710506289524826</v>
      </c>
      <c r="Q17" s="136">
        <f t="shared" si="4"/>
        <v>6.1223496023447987</v>
      </c>
    </row>
    <row r="18" spans="1:17">
      <c r="A18" s="378"/>
      <c r="B18" s="118" t="s">
        <v>274</v>
      </c>
      <c r="C18" s="248">
        <v>3</v>
      </c>
      <c r="D18" s="246">
        <v>3.8665080120577504</v>
      </c>
      <c r="E18" s="246">
        <v>4.1624051278881415</v>
      </c>
      <c r="F18" s="246">
        <v>8.0289131399458924</v>
      </c>
      <c r="G18" s="246">
        <v>0</v>
      </c>
      <c r="H18" s="248">
        <v>5</v>
      </c>
      <c r="I18" s="246">
        <v>4.0431598941598939</v>
      </c>
      <c r="J18" s="246">
        <v>1.423410975379001</v>
      </c>
      <c r="K18" s="246">
        <v>5.466570869538895</v>
      </c>
      <c r="L18" s="246">
        <v>2.6197489187808927</v>
      </c>
      <c r="M18" s="135">
        <f t="shared" si="0"/>
        <v>8</v>
      </c>
      <c r="N18" s="136">
        <f t="shared" si="1"/>
        <v>3.9769154383715897</v>
      </c>
      <c r="O18" s="136">
        <f t="shared" si="2"/>
        <v>2.7929080516335714</v>
      </c>
      <c r="P18" s="136">
        <f t="shared" si="3"/>
        <v>8.0289131399458924</v>
      </c>
      <c r="Q18" s="136">
        <f t="shared" si="4"/>
        <v>0</v>
      </c>
    </row>
    <row r="19" spans="1:17">
      <c r="A19" s="378"/>
      <c r="B19" s="118" t="s">
        <v>275</v>
      </c>
      <c r="C19" s="248">
        <v>7</v>
      </c>
      <c r="D19" s="246">
        <v>0.75</v>
      </c>
      <c r="E19" s="246">
        <v>0.5</v>
      </c>
      <c r="F19" s="246">
        <v>1.25</v>
      </c>
      <c r="G19" s="246">
        <v>0.25</v>
      </c>
      <c r="H19" s="248">
        <v>5</v>
      </c>
      <c r="I19" s="246">
        <v>1</v>
      </c>
      <c r="J19" s="246">
        <v>1</v>
      </c>
      <c r="K19" s="246">
        <v>2</v>
      </c>
      <c r="L19" s="246">
        <v>0</v>
      </c>
      <c r="M19" s="135">
        <f t="shared" si="0"/>
        <v>12</v>
      </c>
      <c r="N19" s="136">
        <f t="shared" si="1"/>
        <v>0.85416666666666663</v>
      </c>
      <c r="O19" s="136">
        <f t="shared" si="2"/>
        <v>0.75</v>
      </c>
      <c r="P19" s="136">
        <f t="shared" si="3"/>
        <v>2</v>
      </c>
      <c r="Q19" s="136">
        <f t="shared" si="4"/>
        <v>0</v>
      </c>
    </row>
    <row r="20" spans="1:17">
      <c r="A20" s="378"/>
      <c r="B20" s="118" t="s">
        <v>276</v>
      </c>
      <c r="C20" s="248">
        <v>7</v>
      </c>
      <c r="D20" s="246">
        <v>0.75</v>
      </c>
      <c r="E20" s="246">
        <v>1.5</v>
      </c>
      <c r="F20" s="246">
        <v>2.25</v>
      </c>
      <c r="G20" s="246">
        <v>0</v>
      </c>
      <c r="H20" s="248">
        <v>5</v>
      </c>
      <c r="I20" s="246">
        <v>3</v>
      </c>
      <c r="J20" s="246" t="s">
        <v>87</v>
      </c>
      <c r="K20" s="246" t="s">
        <v>87</v>
      </c>
      <c r="L20" s="246" t="s">
        <v>87</v>
      </c>
      <c r="M20" s="135">
        <f t="shared" si="0"/>
        <v>12</v>
      </c>
      <c r="N20" s="136">
        <f t="shared" si="1"/>
        <v>1.6875</v>
      </c>
      <c r="O20" s="136" t="str">
        <f t="shared" si="2"/>
        <v/>
      </c>
      <c r="P20" s="136">
        <f t="shared" si="3"/>
        <v>2.25</v>
      </c>
      <c r="Q20" s="136">
        <f t="shared" si="4"/>
        <v>0</v>
      </c>
    </row>
    <row r="21" spans="1:17">
      <c r="A21" s="378" t="s">
        <v>277</v>
      </c>
      <c r="B21" s="118" t="s">
        <v>278</v>
      </c>
      <c r="C21" s="248">
        <v>0</v>
      </c>
      <c r="D21" s="246" t="s">
        <v>87</v>
      </c>
      <c r="E21" s="246" t="s">
        <v>87</v>
      </c>
      <c r="F21" s="246" t="s">
        <v>87</v>
      </c>
      <c r="G21" s="246" t="s">
        <v>87</v>
      </c>
      <c r="H21" s="248">
        <v>0</v>
      </c>
      <c r="I21" s="246" t="s">
        <v>87</v>
      </c>
      <c r="J21" s="246" t="s">
        <v>87</v>
      </c>
      <c r="K21" s="246" t="s">
        <v>87</v>
      </c>
      <c r="L21" s="246" t="s">
        <v>87</v>
      </c>
      <c r="M21" s="135">
        <f t="shared" si="0"/>
        <v>0</v>
      </c>
      <c r="N21" s="136" t="str">
        <f t="shared" si="1"/>
        <v/>
      </c>
      <c r="O21" s="136" t="str">
        <f t="shared" si="2"/>
        <v/>
      </c>
      <c r="P21" s="136">
        <f t="shared" si="3"/>
        <v>0</v>
      </c>
      <c r="Q21" s="136">
        <f t="shared" si="4"/>
        <v>0</v>
      </c>
    </row>
    <row r="22" spans="1:17">
      <c r="A22" s="378"/>
      <c r="B22" s="118" t="s">
        <v>279</v>
      </c>
      <c r="C22" s="248">
        <v>0</v>
      </c>
      <c r="D22" s="246" t="s">
        <v>87</v>
      </c>
      <c r="E22" s="246" t="s">
        <v>87</v>
      </c>
      <c r="F22" s="246" t="s">
        <v>87</v>
      </c>
      <c r="G22" s="246" t="s">
        <v>87</v>
      </c>
      <c r="H22" s="248">
        <v>0</v>
      </c>
      <c r="I22" s="246" t="s">
        <v>87</v>
      </c>
      <c r="J22" s="246" t="s">
        <v>87</v>
      </c>
      <c r="K22" s="246" t="s">
        <v>87</v>
      </c>
      <c r="L22" s="246" t="s">
        <v>87</v>
      </c>
      <c r="M22" s="135">
        <f t="shared" si="0"/>
        <v>0</v>
      </c>
      <c r="N22" s="136" t="str">
        <f t="shared" si="1"/>
        <v/>
      </c>
      <c r="O22" s="136" t="str">
        <f t="shared" si="2"/>
        <v/>
      </c>
      <c r="P22" s="136">
        <f t="shared" si="3"/>
        <v>0</v>
      </c>
      <c r="Q22" s="136">
        <f t="shared" si="4"/>
        <v>0</v>
      </c>
    </row>
    <row r="23" spans="1:17">
      <c r="A23" s="378"/>
      <c r="B23" s="118" t="s">
        <v>280</v>
      </c>
      <c r="C23" s="248">
        <v>0</v>
      </c>
      <c r="D23" s="246" t="s">
        <v>87</v>
      </c>
      <c r="E23" s="246" t="s">
        <v>87</v>
      </c>
      <c r="F23" s="246" t="s">
        <v>87</v>
      </c>
      <c r="G23" s="246" t="s">
        <v>87</v>
      </c>
      <c r="H23" s="248">
        <v>0</v>
      </c>
      <c r="I23" s="246" t="s">
        <v>87</v>
      </c>
      <c r="J23" s="246" t="s">
        <v>87</v>
      </c>
      <c r="K23" s="246" t="s">
        <v>87</v>
      </c>
      <c r="L23" s="246" t="s">
        <v>87</v>
      </c>
      <c r="M23" s="135">
        <f t="shared" si="0"/>
        <v>0</v>
      </c>
      <c r="N23" s="136" t="str">
        <f t="shared" si="1"/>
        <v/>
      </c>
      <c r="O23" s="136" t="str">
        <f t="shared" si="2"/>
        <v/>
      </c>
      <c r="P23" s="136">
        <f t="shared" si="3"/>
        <v>0</v>
      </c>
      <c r="Q23" s="136">
        <f t="shared" si="4"/>
        <v>0</v>
      </c>
    </row>
    <row r="24" spans="1:17">
      <c r="A24" s="378"/>
      <c r="B24" s="118" t="s">
        <v>281</v>
      </c>
      <c r="C24" s="248">
        <v>0</v>
      </c>
      <c r="D24" s="247" t="s">
        <v>87</v>
      </c>
      <c r="E24" s="247" t="s">
        <v>87</v>
      </c>
      <c r="F24" s="247" t="s">
        <v>87</v>
      </c>
      <c r="G24" s="247" t="s">
        <v>87</v>
      </c>
      <c r="H24" s="248">
        <v>0</v>
      </c>
      <c r="I24" s="247" t="s">
        <v>87</v>
      </c>
      <c r="J24" s="247" t="s">
        <v>87</v>
      </c>
      <c r="K24" s="247" t="s">
        <v>87</v>
      </c>
      <c r="L24" s="247" t="s">
        <v>87</v>
      </c>
      <c r="M24" s="135">
        <f t="shared" si="0"/>
        <v>0</v>
      </c>
      <c r="N24" s="247" t="str">
        <f t="shared" si="1"/>
        <v/>
      </c>
      <c r="O24" s="247" t="str">
        <f t="shared" si="2"/>
        <v/>
      </c>
      <c r="P24" s="302">
        <f t="shared" ref="P24" si="6">IFERROR(IF(MAXA(F24,K24)&gt;1,1,MAXA(F24,K24)),"")</f>
        <v>0</v>
      </c>
      <c r="Q24" s="247">
        <f t="shared" si="4"/>
        <v>0</v>
      </c>
    </row>
    <row r="25" spans="1:17">
      <c r="A25" s="378"/>
      <c r="B25" s="118" t="s">
        <v>282</v>
      </c>
      <c r="C25" s="248">
        <v>1</v>
      </c>
      <c r="D25" s="246">
        <v>1.6710526315789473</v>
      </c>
      <c r="E25" s="246" t="s">
        <v>87</v>
      </c>
      <c r="F25" s="246" t="s">
        <v>87</v>
      </c>
      <c r="G25" s="246" t="s">
        <v>87</v>
      </c>
      <c r="H25" s="248">
        <v>3</v>
      </c>
      <c r="I25" s="246">
        <v>1.8931385281385282</v>
      </c>
      <c r="J25" s="246">
        <v>0.3609443859903172</v>
      </c>
      <c r="K25" s="246">
        <v>2.2540829141288454</v>
      </c>
      <c r="L25" s="246">
        <v>1.532194142148211</v>
      </c>
      <c r="M25" s="135">
        <f t="shared" si="0"/>
        <v>4</v>
      </c>
      <c r="N25" s="136">
        <f t="shared" si="1"/>
        <v>1.837617053998633</v>
      </c>
      <c r="O25" s="136" t="str">
        <f t="shared" si="2"/>
        <v/>
      </c>
      <c r="P25" s="136">
        <f t="shared" si="3"/>
        <v>2.2540829141288454</v>
      </c>
      <c r="Q25" s="136">
        <f t="shared" si="4"/>
        <v>0</v>
      </c>
    </row>
    <row r="26" spans="1:17">
      <c r="A26" s="224" t="s">
        <v>283</v>
      </c>
      <c r="B26" s="118" t="s">
        <v>284</v>
      </c>
      <c r="C26" s="248">
        <v>0</v>
      </c>
      <c r="D26" s="246" t="s">
        <v>87</v>
      </c>
      <c r="E26" s="246" t="s">
        <v>87</v>
      </c>
      <c r="F26" s="246" t="s">
        <v>87</v>
      </c>
      <c r="G26" s="246" t="s">
        <v>87</v>
      </c>
      <c r="H26" s="248">
        <v>0</v>
      </c>
      <c r="I26" s="246" t="s">
        <v>87</v>
      </c>
      <c r="J26" s="246" t="s">
        <v>87</v>
      </c>
      <c r="K26" s="246" t="s">
        <v>87</v>
      </c>
      <c r="L26" s="246" t="s">
        <v>87</v>
      </c>
      <c r="M26" s="135">
        <f t="shared" si="0"/>
        <v>0</v>
      </c>
      <c r="N26" s="136" t="str">
        <f t="shared" si="1"/>
        <v/>
      </c>
      <c r="O26" s="136" t="str">
        <f t="shared" si="2"/>
        <v/>
      </c>
      <c r="P26" s="136">
        <f t="shared" si="3"/>
        <v>0</v>
      </c>
      <c r="Q26" s="136">
        <f t="shared" si="4"/>
        <v>0</v>
      </c>
    </row>
    <row r="27" spans="1:17">
      <c r="A27" s="378" t="s">
        <v>285</v>
      </c>
      <c r="B27" s="118" t="s">
        <v>286</v>
      </c>
      <c r="C27" s="248">
        <v>6</v>
      </c>
      <c r="D27" s="246">
        <v>0.91666666666666663</v>
      </c>
      <c r="E27" s="246">
        <v>1.5625833311112296</v>
      </c>
      <c r="F27" s="246">
        <v>2.4792499977778961</v>
      </c>
      <c r="G27" s="246">
        <v>0</v>
      </c>
      <c r="H27" s="248">
        <v>4</v>
      </c>
      <c r="I27" s="246">
        <v>0.25</v>
      </c>
      <c r="J27" s="246">
        <v>0.28867513459481287</v>
      </c>
      <c r="K27" s="246">
        <v>0.53867513459481287</v>
      </c>
      <c r="L27" s="246">
        <v>0</v>
      </c>
      <c r="M27" s="135">
        <f t="shared" si="0"/>
        <v>10</v>
      </c>
      <c r="N27" s="136">
        <f t="shared" si="1"/>
        <v>0.65</v>
      </c>
      <c r="O27" s="136">
        <f t="shared" si="2"/>
        <v>0.92562923285302123</v>
      </c>
      <c r="P27" s="136">
        <f t="shared" si="3"/>
        <v>2.4792499977778961</v>
      </c>
      <c r="Q27" s="136">
        <f t="shared" si="4"/>
        <v>0</v>
      </c>
    </row>
    <row r="28" spans="1:17">
      <c r="A28" s="378"/>
      <c r="B28" s="118" t="s">
        <v>287</v>
      </c>
      <c r="C28" s="248">
        <v>5</v>
      </c>
      <c r="D28" s="246">
        <v>1.5333333333333332</v>
      </c>
      <c r="E28" s="246">
        <v>0.96032401939252909</v>
      </c>
      <c r="F28" s="246">
        <v>2.4936573527258625</v>
      </c>
      <c r="G28" s="246">
        <v>0.57300931394080412</v>
      </c>
      <c r="H28" s="248">
        <v>3</v>
      </c>
      <c r="I28" s="246">
        <v>1</v>
      </c>
      <c r="J28" s="246">
        <v>0</v>
      </c>
      <c r="K28" s="246">
        <v>1</v>
      </c>
      <c r="L28" s="246">
        <v>1</v>
      </c>
      <c r="M28" s="135">
        <f t="shared" si="0"/>
        <v>8</v>
      </c>
      <c r="N28" s="136">
        <f t="shared" si="1"/>
        <v>1.3333333333333333</v>
      </c>
      <c r="O28" s="136">
        <f t="shared" si="2"/>
        <v>0.48016200969626455</v>
      </c>
      <c r="P28" s="136">
        <f t="shared" si="3"/>
        <v>2.4936573527258625</v>
      </c>
      <c r="Q28" s="136">
        <f t="shared" si="4"/>
        <v>0.57300931394080412</v>
      </c>
    </row>
    <row r="29" spans="1:17">
      <c r="A29" s="378" t="s">
        <v>288</v>
      </c>
      <c r="B29" s="118" t="s">
        <v>289</v>
      </c>
      <c r="C29" s="248">
        <v>7</v>
      </c>
      <c r="D29" s="246">
        <v>0.25</v>
      </c>
      <c r="E29" s="246">
        <v>0.5</v>
      </c>
      <c r="F29" s="246">
        <v>0.75</v>
      </c>
      <c r="G29" s="246">
        <v>0</v>
      </c>
      <c r="H29" s="248">
        <v>5</v>
      </c>
      <c r="I29" s="246">
        <v>0</v>
      </c>
      <c r="J29" s="246" t="s">
        <v>87</v>
      </c>
      <c r="K29" s="246" t="s">
        <v>87</v>
      </c>
      <c r="L29" s="246" t="s">
        <v>87</v>
      </c>
      <c r="M29" s="135">
        <f t="shared" si="0"/>
        <v>12</v>
      </c>
      <c r="N29" s="136">
        <f t="shared" si="1"/>
        <v>0.14583333333333334</v>
      </c>
      <c r="O29" s="136" t="str">
        <f t="shared" si="2"/>
        <v/>
      </c>
      <c r="P29" s="136">
        <f t="shared" si="3"/>
        <v>0.75</v>
      </c>
      <c r="Q29" s="136">
        <f t="shared" si="4"/>
        <v>0</v>
      </c>
    </row>
    <row r="30" spans="1:17">
      <c r="A30" s="378"/>
      <c r="B30" s="118" t="s">
        <v>290</v>
      </c>
      <c r="C30" s="248">
        <v>7</v>
      </c>
      <c r="D30" s="246">
        <v>0</v>
      </c>
      <c r="E30" s="246">
        <v>0</v>
      </c>
      <c r="F30" s="246">
        <v>0</v>
      </c>
      <c r="G30" s="246">
        <v>0</v>
      </c>
      <c r="H30" s="248">
        <v>5</v>
      </c>
      <c r="I30" s="246">
        <v>0</v>
      </c>
      <c r="J30" s="246" t="s">
        <v>87</v>
      </c>
      <c r="K30" s="246" t="s">
        <v>87</v>
      </c>
      <c r="L30" s="246" t="s">
        <v>87</v>
      </c>
      <c r="M30" s="135">
        <f t="shared" si="0"/>
        <v>12</v>
      </c>
      <c r="N30" s="136">
        <f t="shared" si="1"/>
        <v>0</v>
      </c>
      <c r="O30" s="136" t="str">
        <f t="shared" si="2"/>
        <v/>
      </c>
      <c r="P30" s="136">
        <f t="shared" si="3"/>
        <v>0</v>
      </c>
      <c r="Q30" s="136">
        <f t="shared" si="4"/>
        <v>0</v>
      </c>
    </row>
    <row r="31" spans="1:17">
      <c r="A31" s="380" t="s">
        <v>291</v>
      </c>
      <c r="B31" s="118" t="s">
        <v>292</v>
      </c>
      <c r="C31" s="248">
        <v>7</v>
      </c>
      <c r="D31" s="247">
        <v>0.97333333333333327</v>
      </c>
      <c r="E31" s="247">
        <v>4.6188021535170036E-2</v>
      </c>
      <c r="F31" s="247">
        <v>1</v>
      </c>
      <c r="G31" s="247">
        <v>0.8347692687278232</v>
      </c>
      <c r="H31" s="248">
        <v>5</v>
      </c>
      <c r="I31" s="247">
        <v>1</v>
      </c>
      <c r="J31" s="247" t="s">
        <v>87</v>
      </c>
      <c r="K31" s="247" t="s">
        <v>87</v>
      </c>
      <c r="L31" s="247" t="s">
        <v>87</v>
      </c>
      <c r="M31" s="135">
        <f t="shared" si="0"/>
        <v>12</v>
      </c>
      <c r="N31" s="247">
        <f t="shared" si="1"/>
        <v>0.98444444444444434</v>
      </c>
      <c r="O31" s="247" t="str">
        <f t="shared" si="2"/>
        <v/>
      </c>
      <c r="P31" s="302">
        <f t="shared" ref="P31" si="7">IFERROR(IF(MAXA(F31,K31)&gt;1,1,MAXA(F31,K31)),"")</f>
        <v>1</v>
      </c>
      <c r="Q31" s="247">
        <f t="shared" si="4"/>
        <v>0</v>
      </c>
    </row>
    <row r="32" spans="1:17">
      <c r="A32" s="381"/>
      <c r="B32" s="118" t="s">
        <v>293</v>
      </c>
      <c r="C32" s="248">
        <v>7</v>
      </c>
      <c r="D32" s="246">
        <v>8</v>
      </c>
      <c r="E32" s="246" t="s">
        <v>87</v>
      </c>
      <c r="F32" s="246" t="s">
        <v>87</v>
      </c>
      <c r="G32" s="246" t="s">
        <v>87</v>
      </c>
      <c r="H32" s="248">
        <v>5</v>
      </c>
      <c r="I32" s="246" t="s">
        <v>87</v>
      </c>
      <c r="J32" s="246" t="s">
        <v>87</v>
      </c>
      <c r="K32" s="246" t="s">
        <v>87</v>
      </c>
      <c r="L32" s="246" t="s">
        <v>87</v>
      </c>
      <c r="M32" s="135">
        <f t="shared" si="0"/>
        <v>12</v>
      </c>
      <c r="N32" s="136" t="str">
        <f t="shared" si="1"/>
        <v/>
      </c>
      <c r="O32" s="136" t="str">
        <f t="shared" si="2"/>
        <v/>
      </c>
      <c r="P32" s="136">
        <f t="shared" si="3"/>
        <v>0</v>
      </c>
      <c r="Q32" s="136">
        <f t="shared" si="4"/>
        <v>0</v>
      </c>
    </row>
    <row r="33" spans="1:17">
      <c r="A33" s="381"/>
      <c r="B33" s="118" t="s">
        <v>294</v>
      </c>
      <c r="C33" s="248">
        <v>7</v>
      </c>
      <c r="D33" s="246">
        <v>15</v>
      </c>
      <c r="E33" s="246" t="s">
        <v>87</v>
      </c>
      <c r="F33" s="246" t="s">
        <v>87</v>
      </c>
      <c r="G33" s="246" t="s">
        <v>87</v>
      </c>
      <c r="H33" s="248">
        <v>5</v>
      </c>
      <c r="I33" s="246" t="s">
        <v>87</v>
      </c>
      <c r="J33" s="246" t="s">
        <v>87</v>
      </c>
      <c r="K33" s="246" t="s">
        <v>87</v>
      </c>
      <c r="L33" s="246" t="s">
        <v>87</v>
      </c>
      <c r="M33" s="135">
        <f t="shared" si="0"/>
        <v>12</v>
      </c>
      <c r="N33" s="136" t="str">
        <f t="shared" si="1"/>
        <v/>
      </c>
      <c r="O33" s="136" t="str">
        <f t="shared" si="2"/>
        <v/>
      </c>
      <c r="P33" s="136">
        <f t="shared" si="3"/>
        <v>0</v>
      </c>
      <c r="Q33" s="136">
        <f t="shared" si="4"/>
        <v>0</v>
      </c>
    </row>
    <row r="34" spans="1:17">
      <c r="A34" s="381"/>
      <c r="B34" s="118" t="s">
        <v>295</v>
      </c>
      <c r="C34" s="248">
        <v>7</v>
      </c>
      <c r="D34" s="246">
        <v>24</v>
      </c>
      <c r="E34" s="246" t="s">
        <v>87</v>
      </c>
      <c r="F34" s="246" t="s">
        <v>87</v>
      </c>
      <c r="G34" s="246" t="s">
        <v>87</v>
      </c>
      <c r="H34" s="248">
        <v>5</v>
      </c>
      <c r="I34" s="246" t="s">
        <v>87</v>
      </c>
      <c r="J34" s="246" t="s">
        <v>87</v>
      </c>
      <c r="K34" s="246" t="s">
        <v>87</v>
      </c>
      <c r="L34" s="246" t="s">
        <v>87</v>
      </c>
      <c r="M34" s="135">
        <f t="shared" si="0"/>
        <v>12</v>
      </c>
      <c r="N34" s="136" t="str">
        <f t="shared" si="1"/>
        <v/>
      </c>
      <c r="O34" s="136" t="str">
        <f t="shared" si="2"/>
        <v/>
      </c>
      <c r="P34" s="136">
        <f t="shared" si="3"/>
        <v>0</v>
      </c>
      <c r="Q34" s="136">
        <f t="shared" si="4"/>
        <v>0</v>
      </c>
    </row>
    <row r="35" spans="1:17">
      <c r="A35" s="382"/>
      <c r="B35" s="118" t="s">
        <v>296</v>
      </c>
      <c r="C35" s="248">
        <v>7</v>
      </c>
      <c r="D35" s="246">
        <v>2</v>
      </c>
      <c r="E35" s="246" t="s">
        <v>87</v>
      </c>
      <c r="F35" s="246" t="s">
        <v>87</v>
      </c>
      <c r="G35" s="246" t="s">
        <v>87</v>
      </c>
      <c r="H35" s="248">
        <v>5</v>
      </c>
      <c r="I35" s="246" t="s">
        <v>87</v>
      </c>
      <c r="J35" s="246" t="s">
        <v>87</v>
      </c>
      <c r="K35" s="246" t="s">
        <v>87</v>
      </c>
      <c r="L35" s="246" t="s">
        <v>87</v>
      </c>
      <c r="M35" s="135">
        <f t="shared" si="0"/>
        <v>12</v>
      </c>
      <c r="N35" s="136" t="str">
        <f t="shared" si="1"/>
        <v/>
      </c>
      <c r="O35" s="136" t="str">
        <f t="shared" si="2"/>
        <v/>
      </c>
      <c r="P35" s="136">
        <f t="shared" si="3"/>
        <v>0</v>
      </c>
      <c r="Q35" s="136">
        <f t="shared" si="4"/>
        <v>0</v>
      </c>
    </row>
    <row r="36" spans="1:17">
      <c r="A36" s="382"/>
      <c r="B36" s="118" t="s">
        <v>297</v>
      </c>
      <c r="C36" s="248">
        <v>7</v>
      </c>
      <c r="D36" s="246" t="s">
        <v>87</v>
      </c>
      <c r="E36" s="246" t="s">
        <v>87</v>
      </c>
      <c r="F36" s="246" t="s">
        <v>87</v>
      </c>
      <c r="G36" s="246" t="s">
        <v>87</v>
      </c>
      <c r="H36" s="248">
        <v>5</v>
      </c>
      <c r="I36" s="246" t="s">
        <v>87</v>
      </c>
      <c r="J36" s="246" t="s">
        <v>87</v>
      </c>
      <c r="K36" s="246" t="s">
        <v>87</v>
      </c>
      <c r="L36" s="246" t="s">
        <v>87</v>
      </c>
      <c r="M36" s="135">
        <f t="shared" si="0"/>
        <v>12</v>
      </c>
      <c r="N36" s="136" t="str">
        <f t="shared" si="1"/>
        <v/>
      </c>
      <c r="O36" s="136" t="str">
        <f t="shared" si="2"/>
        <v/>
      </c>
      <c r="P36" s="136">
        <f t="shared" si="3"/>
        <v>0</v>
      </c>
      <c r="Q36" s="136">
        <f t="shared" si="4"/>
        <v>0</v>
      </c>
    </row>
    <row r="37" spans="1:17">
      <c r="A37" s="383"/>
      <c r="B37" s="118" t="s">
        <v>298</v>
      </c>
      <c r="C37" s="248">
        <v>7</v>
      </c>
      <c r="D37" s="246" t="s">
        <v>87</v>
      </c>
      <c r="E37" s="246" t="s">
        <v>87</v>
      </c>
      <c r="F37" s="246" t="s">
        <v>87</v>
      </c>
      <c r="G37" s="246" t="s">
        <v>87</v>
      </c>
      <c r="H37" s="248">
        <v>5</v>
      </c>
      <c r="I37" s="246" t="s">
        <v>87</v>
      </c>
      <c r="J37" s="246" t="s">
        <v>87</v>
      </c>
      <c r="K37" s="246" t="s">
        <v>87</v>
      </c>
      <c r="L37" s="246" t="s">
        <v>87</v>
      </c>
      <c r="M37" s="135">
        <f t="shared" si="0"/>
        <v>12</v>
      </c>
      <c r="N37" s="136" t="str">
        <f t="shared" si="1"/>
        <v/>
      </c>
      <c r="O37" s="136" t="str">
        <f t="shared" si="2"/>
        <v/>
      </c>
      <c r="P37" s="136">
        <f t="shared" si="3"/>
        <v>0</v>
      </c>
      <c r="Q37" s="136">
        <f t="shared" si="4"/>
        <v>0</v>
      </c>
    </row>
    <row r="38" spans="1:17">
      <c r="A38" s="364" t="s">
        <v>299</v>
      </c>
      <c r="B38" s="118" t="s">
        <v>300</v>
      </c>
      <c r="C38" s="248">
        <v>7</v>
      </c>
      <c r="D38" s="246">
        <v>0</v>
      </c>
      <c r="E38" s="246">
        <v>0</v>
      </c>
      <c r="F38" s="246">
        <v>0</v>
      </c>
      <c r="G38" s="246">
        <v>0</v>
      </c>
      <c r="H38" s="248">
        <v>5</v>
      </c>
      <c r="I38" s="246">
        <v>0</v>
      </c>
      <c r="J38" s="246">
        <v>0</v>
      </c>
      <c r="K38" s="246">
        <v>0</v>
      </c>
      <c r="L38" s="246">
        <v>0</v>
      </c>
      <c r="M38" s="135">
        <f t="shared" si="0"/>
        <v>12</v>
      </c>
      <c r="N38" s="136">
        <f t="shared" si="1"/>
        <v>0</v>
      </c>
      <c r="O38" s="136">
        <f t="shared" si="2"/>
        <v>0</v>
      </c>
      <c r="P38" s="136">
        <f t="shared" si="3"/>
        <v>0</v>
      </c>
      <c r="Q38" s="136">
        <f t="shared" si="4"/>
        <v>0</v>
      </c>
    </row>
    <row r="39" spans="1:17">
      <c r="A39" s="364"/>
      <c r="B39" s="118" t="s">
        <v>301</v>
      </c>
      <c r="C39" s="248">
        <v>7</v>
      </c>
      <c r="D39" s="246">
        <v>9</v>
      </c>
      <c r="E39" s="246">
        <v>1.4142135623730951</v>
      </c>
      <c r="F39" s="246">
        <v>10.414213562373096</v>
      </c>
      <c r="G39" s="246">
        <v>7.5857864376269051</v>
      </c>
      <c r="H39" s="248">
        <v>5</v>
      </c>
      <c r="I39" s="246">
        <v>2.1850000000000001</v>
      </c>
      <c r="J39" s="246">
        <v>7.0710678118653244E-3</v>
      </c>
      <c r="K39" s="246">
        <v>2.2062132034355959</v>
      </c>
      <c r="L39" s="246">
        <v>2.1637867965644042</v>
      </c>
      <c r="M39" s="135">
        <f t="shared" si="0"/>
        <v>12</v>
      </c>
      <c r="N39" s="136">
        <f t="shared" si="1"/>
        <v>6.1604166666666664</v>
      </c>
      <c r="O39" s="136">
        <f t="shared" si="2"/>
        <v>0.71064231509248021</v>
      </c>
      <c r="P39" s="136">
        <f t="shared" si="3"/>
        <v>10.414213562373096</v>
      </c>
      <c r="Q39" s="136">
        <f t="shared" si="4"/>
        <v>2.1637867965644042</v>
      </c>
    </row>
    <row r="40" spans="1:17">
      <c r="A40" s="364"/>
      <c r="B40" s="118" t="s">
        <v>302</v>
      </c>
      <c r="C40" s="248">
        <v>7</v>
      </c>
      <c r="D40" s="247">
        <v>3.7499999999999999E-2</v>
      </c>
      <c r="E40" s="247">
        <v>1.0606601717798201E-2</v>
      </c>
      <c r="F40" s="247">
        <v>4.8106601717798202E-2</v>
      </c>
      <c r="G40" s="247">
        <v>2.6893398282201796E-2</v>
      </c>
      <c r="H40" s="248">
        <v>5</v>
      </c>
      <c r="I40" s="247">
        <v>4.3499999999999997E-2</v>
      </c>
      <c r="J40" s="247">
        <v>2.1213203435596394E-3</v>
      </c>
      <c r="K40" s="247">
        <v>4.9863961030678916E-2</v>
      </c>
      <c r="L40" s="247">
        <v>3.7136038969321078E-2</v>
      </c>
      <c r="M40" s="135">
        <f t="shared" si="0"/>
        <v>12</v>
      </c>
      <c r="N40" s="247">
        <f t="shared" si="1"/>
        <v>0.04</v>
      </c>
      <c r="O40" s="247">
        <f t="shared" si="2"/>
        <v>6.3639610306789208E-3</v>
      </c>
      <c r="P40" s="302">
        <f t="shared" ref="P40" si="8">IFERROR(IF(MAXA(F40,K40)&gt;1,1,MAXA(F40,K40)),"")</f>
        <v>4.9863961030678916E-2</v>
      </c>
      <c r="Q40" s="247">
        <f t="shared" si="4"/>
        <v>2.6893398282201796E-2</v>
      </c>
    </row>
    <row r="41" spans="1:17">
      <c r="A41" s="364"/>
      <c r="B41" s="120" t="s">
        <v>303</v>
      </c>
      <c r="C41" s="248">
        <v>7</v>
      </c>
      <c r="D41" s="246">
        <v>0</v>
      </c>
      <c r="E41" s="246">
        <v>0</v>
      </c>
      <c r="F41" s="246">
        <v>0</v>
      </c>
      <c r="G41" s="246">
        <v>0</v>
      </c>
      <c r="H41" s="248">
        <v>5</v>
      </c>
      <c r="I41" s="246">
        <v>0</v>
      </c>
      <c r="J41" s="246">
        <v>0</v>
      </c>
      <c r="K41" s="246">
        <v>0</v>
      </c>
      <c r="L41" s="246">
        <v>0</v>
      </c>
      <c r="M41" s="135">
        <f t="shared" si="0"/>
        <v>12</v>
      </c>
      <c r="N41" s="136">
        <f t="shared" si="1"/>
        <v>0</v>
      </c>
      <c r="O41" s="136">
        <f t="shared" si="2"/>
        <v>0</v>
      </c>
      <c r="P41" s="136">
        <f t="shared" si="3"/>
        <v>0</v>
      </c>
      <c r="Q41" s="136">
        <f t="shared" si="4"/>
        <v>0</v>
      </c>
    </row>
    <row r="42" spans="1:17">
      <c r="A42" s="364"/>
      <c r="B42" s="120" t="s">
        <v>304</v>
      </c>
      <c r="C42" s="248">
        <v>7</v>
      </c>
      <c r="D42" s="246">
        <v>0</v>
      </c>
      <c r="E42" s="246">
        <v>0</v>
      </c>
      <c r="F42" s="246">
        <v>0</v>
      </c>
      <c r="G42" s="246">
        <v>0</v>
      </c>
      <c r="H42" s="248">
        <v>5</v>
      </c>
      <c r="I42" s="246">
        <v>0</v>
      </c>
      <c r="J42" s="246">
        <v>0</v>
      </c>
      <c r="K42" s="246">
        <v>0</v>
      </c>
      <c r="L42" s="246">
        <v>0</v>
      </c>
      <c r="M42" s="135">
        <f t="shared" si="0"/>
        <v>12</v>
      </c>
      <c r="N42" s="136">
        <f t="shared" si="1"/>
        <v>0</v>
      </c>
      <c r="O42" s="136">
        <f t="shared" si="2"/>
        <v>0</v>
      </c>
      <c r="P42" s="136">
        <f t="shared" si="3"/>
        <v>0</v>
      </c>
      <c r="Q42" s="136">
        <f t="shared" si="4"/>
        <v>0</v>
      </c>
    </row>
    <row r="43" spans="1:17">
      <c r="A43" s="364"/>
      <c r="B43" s="120" t="s">
        <v>305</v>
      </c>
      <c r="C43" s="248">
        <v>7</v>
      </c>
      <c r="D43" s="246" t="s">
        <v>87</v>
      </c>
      <c r="E43" s="246" t="s">
        <v>87</v>
      </c>
      <c r="F43" s="246" t="s">
        <v>87</v>
      </c>
      <c r="G43" s="246" t="s">
        <v>87</v>
      </c>
      <c r="H43" s="248">
        <v>5</v>
      </c>
      <c r="I43" s="246">
        <v>0</v>
      </c>
      <c r="J43" s="246">
        <v>0</v>
      </c>
      <c r="K43" s="246">
        <v>0</v>
      </c>
      <c r="L43" s="246">
        <v>0</v>
      </c>
      <c r="M43" s="135">
        <f t="shared" si="0"/>
        <v>12</v>
      </c>
      <c r="N43" s="136" t="str">
        <f t="shared" si="1"/>
        <v/>
      </c>
      <c r="O43" s="136" t="str">
        <f t="shared" si="2"/>
        <v/>
      </c>
      <c r="P43" s="136">
        <f t="shared" si="3"/>
        <v>0</v>
      </c>
      <c r="Q43" s="136">
        <f t="shared" si="4"/>
        <v>0</v>
      </c>
    </row>
  </sheetData>
  <mergeCells count="12">
    <mergeCell ref="A38:A43"/>
    <mergeCell ref="A1:B2"/>
    <mergeCell ref="C1:G1"/>
    <mergeCell ref="H1:L1"/>
    <mergeCell ref="M1:Q1"/>
    <mergeCell ref="A3:A13"/>
    <mergeCell ref="A14:A16"/>
    <mergeCell ref="A17:A20"/>
    <mergeCell ref="A21:A25"/>
    <mergeCell ref="A27:A28"/>
    <mergeCell ref="A29:A30"/>
    <mergeCell ref="A31:A37"/>
  </mergeCells>
  <phoneticPr fontId="26" type="noConversion"/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>
    <oddHeader>&amp;L&amp;G&amp;C&amp;F&amp;R文档密级</oddHeader>
    <oddFooter>&amp;L&amp;D&amp;C华为保密信息,未经授权禁止扩散&amp;R第&amp;P页，共&amp;N页</oddFooter>
  </headerFooter>
  <legacyDrawingHF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47"/>
  <sheetViews>
    <sheetView topLeftCell="A16" workbookViewId="0">
      <selection activeCell="H31" sqref="H31"/>
    </sheetView>
  </sheetViews>
  <sheetFormatPr defaultRowHeight="14.25"/>
  <cols>
    <col min="1" max="1" width="9" style="116"/>
    <col min="2" max="2" width="35.5" style="116" bestFit="1" customWidth="1"/>
    <col min="3" max="4" width="7.25" style="116" customWidth="1"/>
    <col min="5" max="5" width="7.5" style="116" customWidth="1"/>
    <col min="6" max="9" width="7.25" style="116" customWidth="1"/>
    <col min="10" max="10" width="5.875" style="116" customWidth="1"/>
    <col min="11" max="12" width="7.25" style="116" customWidth="1"/>
    <col min="13" max="16384" width="9" style="116"/>
  </cols>
  <sheetData>
    <row r="1" spans="1:17" ht="14.25" customHeight="1">
      <c r="A1" s="379" t="s">
        <v>339</v>
      </c>
      <c r="B1" s="379"/>
      <c r="C1" s="376" t="s">
        <v>455</v>
      </c>
      <c r="D1" s="377"/>
      <c r="E1" s="377"/>
      <c r="F1" s="377"/>
      <c r="G1" s="377"/>
      <c r="H1" s="376" t="s">
        <v>456</v>
      </c>
      <c r="I1" s="377"/>
      <c r="J1" s="377"/>
      <c r="K1" s="377"/>
      <c r="L1" s="377"/>
      <c r="M1" s="376" t="s">
        <v>457</v>
      </c>
      <c r="N1" s="377"/>
      <c r="O1" s="377"/>
      <c r="P1" s="377"/>
      <c r="Q1" s="377"/>
    </row>
    <row r="2" spans="1:17">
      <c r="A2" s="379"/>
      <c r="B2" s="379"/>
      <c r="C2" s="225" t="s">
        <v>340</v>
      </c>
      <c r="D2" s="225" t="s">
        <v>319</v>
      </c>
      <c r="E2" s="225" t="s">
        <v>260</v>
      </c>
      <c r="F2" s="225" t="s">
        <v>261</v>
      </c>
      <c r="G2" s="225" t="s">
        <v>262</v>
      </c>
      <c r="H2" s="225" t="s">
        <v>318</v>
      </c>
      <c r="I2" s="225" t="s">
        <v>319</v>
      </c>
      <c r="J2" s="225" t="s">
        <v>260</v>
      </c>
      <c r="K2" s="225" t="s">
        <v>326</v>
      </c>
      <c r="L2" s="225" t="s">
        <v>262</v>
      </c>
      <c r="M2" s="225" t="s">
        <v>318</v>
      </c>
      <c r="N2" s="225" t="s">
        <v>319</v>
      </c>
      <c r="O2" s="225" t="s">
        <v>260</v>
      </c>
      <c r="P2" s="225" t="s">
        <v>326</v>
      </c>
      <c r="Q2" s="225" t="s">
        <v>262</v>
      </c>
    </row>
    <row r="3" spans="1:17">
      <c r="A3" s="351" t="s">
        <v>258</v>
      </c>
      <c r="B3" s="117" t="s">
        <v>259</v>
      </c>
      <c r="C3" s="298">
        <v>16</v>
      </c>
      <c r="D3" s="299">
        <v>45.829019440222893</v>
      </c>
      <c r="E3" s="299">
        <v>18.148649856707845</v>
      </c>
      <c r="F3" s="299">
        <v>63.977669296930742</v>
      </c>
      <c r="G3" s="299">
        <v>27.680369583515049</v>
      </c>
      <c r="H3" s="298">
        <v>16</v>
      </c>
      <c r="I3" s="299">
        <v>45.412379134451015</v>
      </c>
      <c r="J3" s="299">
        <v>19.32408714881619</v>
      </c>
      <c r="K3" s="299">
        <v>64.736466283267205</v>
      </c>
      <c r="L3" s="299">
        <v>26.088291985634825</v>
      </c>
      <c r="M3" s="135">
        <f>IFERROR(C3+H3,"")</f>
        <v>32</v>
      </c>
      <c r="N3" s="136">
        <f>IFERROR((C3*D3+H3*I3)/M3,"")</f>
        <v>45.620699287336954</v>
      </c>
      <c r="O3" s="136">
        <f>IFERROR((E3+J3)/2,"")</f>
        <v>18.736368502762019</v>
      </c>
      <c r="P3" s="136">
        <f>IFERROR(MAXA(F3,K3),"")</f>
        <v>64.736466283267205</v>
      </c>
      <c r="Q3" s="136">
        <f>IFERROR(MINA(G3,L3),"")</f>
        <v>26.088291985634825</v>
      </c>
    </row>
    <row r="4" spans="1:17">
      <c r="A4" s="351"/>
      <c r="B4" s="118" t="s">
        <v>331</v>
      </c>
      <c r="C4" s="298">
        <v>18</v>
      </c>
      <c r="D4" s="299">
        <v>53.9989463873397</v>
      </c>
      <c r="E4" s="299">
        <v>16.311426751488867</v>
      </c>
      <c r="F4" s="299">
        <v>70.310373138828567</v>
      </c>
      <c r="G4" s="299">
        <v>37.687519635850833</v>
      </c>
      <c r="H4" s="298">
        <v>21</v>
      </c>
      <c r="I4" s="299">
        <v>54.068812230150073</v>
      </c>
      <c r="J4" s="299">
        <v>14.996303774174796</v>
      </c>
      <c r="K4" s="299">
        <v>69.065116004324864</v>
      </c>
      <c r="L4" s="299">
        <v>39.072508455975274</v>
      </c>
      <c r="M4" s="135">
        <f t="shared" ref="M4:M6" si="0">IFERROR(C4+H4,"")</f>
        <v>39</v>
      </c>
      <c r="N4" s="136">
        <f t="shared" ref="N4:N6" si="1">IFERROR((C4*D4+H4*I4)/M4,"")</f>
        <v>54.03656645654528</v>
      </c>
      <c r="O4" s="136">
        <f t="shared" ref="O4:O6" si="2">IFERROR((E4+J4)/2,"")</f>
        <v>15.653865262831832</v>
      </c>
      <c r="P4" s="136">
        <f t="shared" ref="P4:P6" si="3">IFERROR(MAXA(F4,K4),"")</f>
        <v>70.310373138828567</v>
      </c>
      <c r="Q4" s="136">
        <f t="shared" ref="Q4:Q6" si="4">IFERROR(MINA(G4,L4),"")</f>
        <v>37.687519635850833</v>
      </c>
    </row>
    <row r="5" spans="1:17">
      <c r="A5" s="351"/>
      <c r="B5" s="118" t="s">
        <v>263</v>
      </c>
      <c r="C5" s="298">
        <v>20</v>
      </c>
      <c r="D5" s="299">
        <v>4.0616527481243647</v>
      </c>
      <c r="E5" s="299">
        <v>3.2775113637767666</v>
      </c>
      <c r="F5" s="299">
        <v>7.3391641119011313</v>
      </c>
      <c r="G5" s="299">
        <v>0.78414138434759817</v>
      </c>
      <c r="H5" s="298">
        <v>34</v>
      </c>
      <c r="I5" s="299">
        <v>4.0881382199143017</v>
      </c>
      <c r="J5" s="299">
        <v>3.0543934384218772</v>
      </c>
      <c r="K5" s="299">
        <v>7.1425316583361784</v>
      </c>
      <c r="L5" s="299">
        <v>1.0337447814924245</v>
      </c>
      <c r="M5" s="135">
        <f t="shared" si="0"/>
        <v>54</v>
      </c>
      <c r="N5" s="136">
        <f t="shared" si="1"/>
        <v>4.0783287859180284</v>
      </c>
      <c r="O5" s="136">
        <f t="shared" si="2"/>
        <v>3.1659524010993216</v>
      </c>
      <c r="P5" s="136">
        <f t="shared" si="3"/>
        <v>7.3391641119011313</v>
      </c>
      <c r="Q5" s="136">
        <f t="shared" si="4"/>
        <v>0.78414138434759817</v>
      </c>
    </row>
    <row r="6" spans="1:17">
      <c r="A6" s="351"/>
      <c r="B6" s="118" t="s">
        <v>257</v>
      </c>
      <c r="C6" s="298">
        <v>20</v>
      </c>
      <c r="D6" s="299">
        <v>5.3030755378720205</v>
      </c>
      <c r="E6" s="299">
        <v>3.8093913342538177</v>
      </c>
      <c r="F6" s="299">
        <v>9.1124668721258377</v>
      </c>
      <c r="G6" s="299">
        <v>1.4936842036182028</v>
      </c>
      <c r="H6" s="298">
        <v>34</v>
      </c>
      <c r="I6" s="299">
        <v>5.1151699953775607</v>
      </c>
      <c r="J6" s="299">
        <v>3.3548542582181948</v>
      </c>
      <c r="K6" s="299">
        <v>8.4700242535957564</v>
      </c>
      <c r="L6" s="299">
        <v>1.7603157371593658</v>
      </c>
      <c r="M6" s="135">
        <f t="shared" si="0"/>
        <v>54</v>
      </c>
      <c r="N6" s="136">
        <f t="shared" si="1"/>
        <v>5.1847646407458789</v>
      </c>
      <c r="O6" s="136">
        <f t="shared" si="2"/>
        <v>3.582122796236006</v>
      </c>
      <c r="P6" s="136">
        <f t="shared" si="3"/>
        <v>9.1124668721258377</v>
      </c>
      <c r="Q6" s="136">
        <f t="shared" si="4"/>
        <v>1.4936842036182028</v>
      </c>
    </row>
    <row r="7" spans="1:17">
      <c r="A7" s="351"/>
      <c r="B7" s="118" t="s">
        <v>327</v>
      </c>
      <c r="C7" s="298">
        <v>0</v>
      </c>
      <c r="D7" s="299" t="s">
        <v>87</v>
      </c>
      <c r="E7" s="299" t="s">
        <v>87</v>
      </c>
      <c r="F7" s="299" t="s">
        <v>87</v>
      </c>
      <c r="G7" s="299" t="s">
        <v>87</v>
      </c>
      <c r="H7" s="298">
        <v>0</v>
      </c>
      <c r="I7" s="299" t="s">
        <v>87</v>
      </c>
      <c r="J7" s="299" t="s">
        <v>87</v>
      </c>
      <c r="K7" s="299" t="s">
        <v>87</v>
      </c>
      <c r="L7" s="299" t="s">
        <v>87</v>
      </c>
      <c r="M7" s="135">
        <f t="shared" ref="M7:M47" si="5">IFERROR(C7+H7,"")</f>
        <v>0</v>
      </c>
      <c r="N7" s="136" t="str">
        <f t="shared" ref="N7:N47" si="6">IFERROR((C7*D7+H7*I7)/M7,"")</f>
        <v/>
      </c>
      <c r="O7" s="136" t="str">
        <f t="shared" ref="O7:O47" si="7">IFERROR((E7+J7)/2,"")</f>
        <v/>
      </c>
      <c r="P7" s="136">
        <f t="shared" ref="P7:P47" si="8">IFERROR(MAXA(F7,K7),"")</f>
        <v>0</v>
      </c>
      <c r="Q7" s="136">
        <f t="shared" ref="Q7:Q47" si="9">IFERROR(MINA(G7,L7),"")</f>
        <v>0</v>
      </c>
    </row>
    <row r="8" spans="1:17">
      <c r="A8" s="351"/>
      <c r="B8" s="118" t="s">
        <v>264</v>
      </c>
      <c r="C8" s="298">
        <v>0</v>
      </c>
      <c r="D8" s="299" t="s">
        <v>87</v>
      </c>
      <c r="E8" s="299" t="s">
        <v>87</v>
      </c>
      <c r="F8" s="299" t="s">
        <v>87</v>
      </c>
      <c r="G8" s="299" t="s">
        <v>87</v>
      </c>
      <c r="H8" s="298">
        <v>0</v>
      </c>
      <c r="I8" s="299" t="s">
        <v>87</v>
      </c>
      <c r="J8" s="299" t="s">
        <v>87</v>
      </c>
      <c r="K8" s="299" t="s">
        <v>87</v>
      </c>
      <c r="L8" s="299" t="s">
        <v>87</v>
      </c>
      <c r="M8" s="135">
        <f t="shared" si="5"/>
        <v>0</v>
      </c>
      <c r="N8" s="136" t="str">
        <f t="shared" si="6"/>
        <v/>
      </c>
      <c r="O8" s="136" t="str">
        <f t="shared" si="7"/>
        <v/>
      </c>
      <c r="P8" s="136">
        <f t="shared" si="8"/>
        <v>0</v>
      </c>
      <c r="Q8" s="136">
        <f t="shared" si="9"/>
        <v>0</v>
      </c>
    </row>
    <row r="9" spans="1:17">
      <c r="A9" s="351"/>
      <c r="B9" s="118" t="s">
        <v>265</v>
      </c>
      <c r="C9" s="298">
        <v>28</v>
      </c>
      <c r="D9" s="299">
        <v>221.34824618612009</v>
      </c>
      <c r="E9" s="299">
        <v>100.14084662282873</v>
      </c>
      <c r="F9" s="299">
        <v>321.48909280894884</v>
      </c>
      <c r="G9" s="299">
        <v>121.20739956329136</v>
      </c>
      <c r="H9" s="298">
        <v>38</v>
      </c>
      <c r="I9" s="299">
        <v>269.80896311961118</v>
      </c>
      <c r="J9" s="299">
        <v>137.28305318326133</v>
      </c>
      <c r="K9" s="299">
        <v>407.09201630287248</v>
      </c>
      <c r="L9" s="299">
        <v>132.52590993634985</v>
      </c>
      <c r="M9" s="135">
        <f t="shared" si="5"/>
        <v>66</v>
      </c>
      <c r="N9" s="136">
        <f t="shared" si="6"/>
        <v>249.24987108722101</v>
      </c>
      <c r="O9" s="136">
        <f t="shared" si="7"/>
        <v>118.71194990304502</v>
      </c>
      <c r="P9" s="136">
        <f t="shared" si="8"/>
        <v>407.09201630287248</v>
      </c>
      <c r="Q9" s="136">
        <f t="shared" si="9"/>
        <v>121.20739956329136</v>
      </c>
    </row>
    <row r="10" spans="1:17">
      <c r="A10" s="351"/>
      <c r="B10" s="118" t="s">
        <v>266</v>
      </c>
      <c r="C10" s="298">
        <v>0</v>
      </c>
      <c r="D10" s="299" t="s">
        <v>87</v>
      </c>
      <c r="E10" s="299" t="s">
        <v>87</v>
      </c>
      <c r="F10" s="299" t="s">
        <v>87</v>
      </c>
      <c r="G10" s="299" t="s">
        <v>87</v>
      </c>
      <c r="H10" s="298">
        <v>24</v>
      </c>
      <c r="I10" s="299">
        <v>0</v>
      </c>
      <c r="J10" s="299">
        <v>0</v>
      </c>
      <c r="K10" s="299">
        <v>0</v>
      </c>
      <c r="L10" s="299">
        <v>0</v>
      </c>
      <c r="M10" s="298">
        <v>24</v>
      </c>
      <c r="N10" s="299">
        <v>0</v>
      </c>
      <c r="O10" s="299">
        <v>0</v>
      </c>
      <c r="P10" s="299">
        <v>0</v>
      </c>
      <c r="Q10" s="299">
        <v>0</v>
      </c>
    </row>
    <row r="11" spans="1:17">
      <c r="A11" s="351"/>
      <c r="B11" s="118" t="s">
        <v>267</v>
      </c>
      <c r="C11" s="298">
        <v>54</v>
      </c>
      <c r="D11" s="301">
        <v>8.0655521508577986E-3</v>
      </c>
      <c r="E11" s="301">
        <v>1.5286520712796771E-2</v>
      </c>
      <c r="F11" s="301">
        <v>2.3352072863654569E-2</v>
      </c>
      <c r="G11" s="301">
        <v>0</v>
      </c>
      <c r="H11" s="298">
        <v>78</v>
      </c>
      <c r="I11" s="300">
        <v>8.7316777249204884E-3</v>
      </c>
      <c r="J11" s="300">
        <v>2.1024541821950255E-2</v>
      </c>
      <c r="K11" s="300">
        <v>2.9756219546870744E-2</v>
      </c>
      <c r="L11" s="300">
        <v>0</v>
      </c>
      <c r="M11" s="135">
        <f t="shared" si="5"/>
        <v>132</v>
      </c>
      <c r="N11" s="302">
        <f t="shared" si="6"/>
        <v>8.4591718082584789E-3</v>
      </c>
      <c r="O11" s="302">
        <f t="shared" si="7"/>
        <v>1.8155531267373515E-2</v>
      </c>
      <c r="P11" s="302">
        <f t="shared" si="8"/>
        <v>2.9756219546870744E-2</v>
      </c>
      <c r="Q11" s="302">
        <f t="shared" si="9"/>
        <v>0</v>
      </c>
    </row>
    <row r="12" spans="1:17">
      <c r="A12" s="351"/>
      <c r="B12" s="118" t="s">
        <v>352</v>
      </c>
      <c r="C12" s="298">
        <v>41</v>
      </c>
      <c r="D12" s="301">
        <v>7.1884007964750512E-6</v>
      </c>
      <c r="E12" s="301">
        <v>2.6611856823662787E-2</v>
      </c>
      <c r="F12" s="301">
        <v>2.6619045224459261E-2</v>
      </c>
      <c r="G12" s="301">
        <v>-2.6604668422866313E-2</v>
      </c>
      <c r="H12" s="298">
        <v>42</v>
      </c>
      <c r="I12" s="300">
        <v>-1.7122187653040646E-2</v>
      </c>
      <c r="J12" s="300">
        <v>5.7658311409156983E-2</v>
      </c>
      <c r="K12" s="300">
        <v>4.0536123756116337E-2</v>
      </c>
      <c r="L12" s="300">
        <v>-7.4780499062197636E-2</v>
      </c>
      <c r="M12" s="135">
        <f t="shared" si="5"/>
        <v>83</v>
      </c>
      <c r="N12" s="302">
        <f t="shared" si="6"/>
        <v>-8.6606886384945989E-3</v>
      </c>
      <c r="O12" s="302">
        <f t="shared" si="7"/>
        <v>4.2135084116409885E-2</v>
      </c>
      <c r="P12" s="302">
        <f t="shared" si="8"/>
        <v>4.0536123756116337E-2</v>
      </c>
      <c r="Q12" s="302">
        <f t="shared" si="9"/>
        <v>-7.4780499062197636E-2</v>
      </c>
    </row>
    <row r="13" spans="1:17">
      <c r="A13" s="351"/>
      <c r="B13" s="118" t="s">
        <v>268</v>
      </c>
      <c r="C13" s="298">
        <v>0</v>
      </c>
      <c r="D13" s="301" t="s">
        <v>87</v>
      </c>
      <c r="E13" s="301" t="s">
        <v>87</v>
      </c>
      <c r="F13" s="301" t="s">
        <v>87</v>
      </c>
      <c r="G13" s="301" t="s">
        <v>87</v>
      </c>
      <c r="H13" s="298">
        <v>0</v>
      </c>
      <c r="I13" s="301" t="s">
        <v>87</v>
      </c>
      <c r="J13" s="301" t="s">
        <v>87</v>
      </c>
      <c r="K13" s="301" t="s">
        <v>87</v>
      </c>
      <c r="L13" s="301" t="s">
        <v>87</v>
      </c>
      <c r="M13" s="135">
        <f t="shared" si="5"/>
        <v>0</v>
      </c>
      <c r="N13" s="302" t="str">
        <f t="shared" si="6"/>
        <v/>
      </c>
      <c r="O13" s="302" t="str">
        <f t="shared" si="7"/>
        <v/>
      </c>
      <c r="P13" s="302">
        <f t="shared" si="8"/>
        <v>0</v>
      </c>
      <c r="Q13" s="302">
        <f t="shared" si="9"/>
        <v>0</v>
      </c>
    </row>
    <row r="14" spans="1:17">
      <c r="A14" s="378" t="s">
        <v>269</v>
      </c>
      <c r="B14" s="118" t="s">
        <v>270</v>
      </c>
      <c r="C14" s="298">
        <v>39</v>
      </c>
      <c r="D14" s="301">
        <v>0.99145299145299137</v>
      </c>
      <c r="E14" s="301">
        <v>5.3376051268362361E-2</v>
      </c>
      <c r="F14" s="301">
        <v>1</v>
      </c>
      <c r="G14" s="301">
        <v>0.83132483764790432</v>
      </c>
      <c r="H14" s="298">
        <v>68</v>
      </c>
      <c r="I14" s="301">
        <v>0.98037344930190906</v>
      </c>
      <c r="J14" s="301">
        <v>4.1327063498212448E-2</v>
      </c>
      <c r="K14" s="301">
        <v>1</v>
      </c>
      <c r="L14" s="301">
        <v>0.85639225880727166</v>
      </c>
      <c r="M14" s="135">
        <f t="shared" si="5"/>
        <v>107</v>
      </c>
      <c r="N14" s="302">
        <f t="shared" si="6"/>
        <v>0.9844117870952942</v>
      </c>
      <c r="O14" s="302">
        <f t="shared" si="7"/>
        <v>4.7351557383287404E-2</v>
      </c>
      <c r="P14" s="302">
        <f t="shared" si="8"/>
        <v>1</v>
      </c>
      <c r="Q14" s="302">
        <f t="shared" si="9"/>
        <v>0.83132483764790432</v>
      </c>
    </row>
    <row r="15" spans="1:17">
      <c r="A15" s="378"/>
      <c r="B15" s="118" t="s">
        <v>271</v>
      </c>
      <c r="C15" s="298">
        <v>0</v>
      </c>
      <c r="D15" s="299" t="s">
        <v>87</v>
      </c>
      <c r="E15" s="299" t="s">
        <v>87</v>
      </c>
      <c r="F15" s="299" t="s">
        <v>87</v>
      </c>
      <c r="G15" s="299" t="s">
        <v>87</v>
      </c>
      <c r="H15" s="298">
        <v>0</v>
      </c>
      <c r="I15" s="299" t="s">
        <v>87</v>
      </c>
      <c r="J15" s="299" t="s">
        <v>87</v>
      </c>
      <c r="K15" s="299" t="s">
        <v>87</v>
      </c>
      <c r="L15" s="299" t="s">
        <v>87</v>
      </c>
      <c r="M15" s="135">
        <f t="shared" si="5"/>
        <v>0</v>
      </c>
      <c r="N15" s="136" t="str">
        <f t="shared" si="6"/>
        <v/>
      </c>
      <c r="O15" s="136" t="str">
        <f t="shared" si="7"/>
        <v/>
      </c>
      <c r="P15" s="136">
        <f t="shared" si="8"/>
        <v>0</v>
      </c>
      <c r="Q15" s="136">
        <f t="shared" si="9"/>
        <v>0</v>
      </c>
    </row>
    <row r="16" spans="1:17">
      <c r="A16" s="378"/>
      <c r="B16" s="118" t="s">
        <v>272</v>
      </c>
      <c r="C16" s="298">
        <v>0</v>
      </c>
      <c r="D16" s="299" t="s">
        <v>87</v>
      </c>
      <c r="E16" s="299" t="s">
        <v>87</v>
      </c>
      <c r="F16" s="299" t="s">
        <v>87</v>
      </c>
      <c r="G16" s="299" t="s">
        <v>87</v>
      </c>
      <c r="H16" s="298">
        <v>0</v>
      </c>
      <c r="I16" s="299" t="s">
        <v>87</v>
      </c>
      <c r="J16" s="299" t="s">
        <v>87</v>
      </c>
      <c r="K16" s="299" t="s">
        <v>87</v>
      </c>
      <c r="L16" s="299" t="s">
        <v>87</v>
      </c>
      <c r="M16" s="135">
        <f t="shared" si="5"/>
        <v>0</v>
      </c>
      <c r="N16" s="136" t="str">
        <f t="shared" si="6"/>
        <v/>
      </c>
      <c r="O16" s="136" t="str">
        <f t="shared" si="7"/>
        <v/>
      </c>
      <c r="P16" s="136">
        <f t="shared" si="8"/>
        <v>0</v>
      </c>
      <c r="Q16" s="136">
        <f t="shared" si="9"/>
        <v>0</v>
      </c>
    </row>
    <row r="17" spans="1:17">
      <c r="A17" s="378" t="s">
        <v>273</v>
      </c>
      <c r="B17" s="118" t="s">
        <v>306</v>
      </c>
      <c r="C17" s="298">
        <v>38</v>
      </c>
      <c r="D17" s="299">
        <v>5.4183264331304812</v>
      </c>
      <c r="E17" s="299">
        <v>2.3074753519776072</v>
      </c>
      <c r="F17" s="299">
        <v>7.7258017851080885</v>
      </c>
      <c r="G17" s="299">
        <v>3.110851081152874</v>
      </c>
      <c r="H17" s="298">
        <v>49</v>
      </c>
      <c r="I17" s="299">
        <v>4.939199043783864</v>
      </c>
      <c r="J17" s="299">
        <v>2.77201438275821</v>
      </c>
      <c r="K17" s="299">
        <v>7.7112134265420735</v>
      </c>
      <c r="L17" s="299">
        <v>2.167184661025654</v>
      </c>
      <c r="M17" s="135">
        <f t="shared" si="5"/>
        <v>87</v>
      </c>
      <c r="N17" s="136">
        <f t="shared" si="6"/>
        <v>5.1484730759122712</v>
      </c>
      <c r="O17" s="136">
        <f t="shared" si="7"/>
        <v>2.5397448673679088</v>
      </c>
      <c r="P17" s="136">
        <f t="shared" si="8"/>
        <v>7.7258017851080885</v>
      </c>
      <c r="Q17" s="136">
        <f t="shared" si="9"/>
        <v>2.167184661025654</v>
      </c>
    </row>
    <row r="18" spans="1:17">
      <c r="A18" s="378"/>
      <c r="B18" s="118" t="s">
        <v>274</v>
      </c>
      <c r="C18" s="298">
        <v>31</v>
      </c>
      <c r="D18" s="299">
        <v>0.42555819245987148</v>
      </c>
      <c r="E18" s="299">
        <v>1.0325482302647511</v>
      </c>
      <c r="F18" s="299">
        <v>1.4581064227246225</v>
      </c>
      <c r="G18" s="299">
        <v>0</v>
      </c>
      <c r="H18" s="298">
        <v>65</v>
      </c>
      <c r="I18" s="299">
        <v>0.56316406274896602</v>
      </c>
      <c r="J18" s="299">
        <v>1.8406775518958163</v>
      </c>
      <c r="K18" s="299">
        <v>2.4038416146447821</v>
      </c>
      <c r="L18" s="299">
        <v>0</v>
      </c>
      <c r="M18" s="135">
        <f t="shared" si="5"/>
        <v>96</v>
      </c>
      <c r="N18" s="136">
        <f t="shared" si="6"/>
        <v>0.51872883380144597</v>
      </c>
      <c r="O18" s="136">
        <f t="shared" si="7"/>
        <v>1.4366128910802836</v>
      </c>
      <c r="P18" s="136">
        <f t="shared" si="8"/>
        <v>2.4038416146447821</v>
      </c>
      <c r="Q18" s="136">
        <f t="shared" si="9"/>
        <v>0</v>
      </c>
    </row>
    <row r="19" spans="1:17">
      <c r="A19" s="378"/>
      <c r="B19" s="118" t="s">
        <v>275</v>
      </c>
      <c r="C19" s="298">
        <v>49</v>
      </c>
      <c r="D19" s="299">
        <v>4.0816326530612242E-2</v>
      </c>
      <c r="E19" s="299">
        <v>0.2857142857142857</v>
      </c>
      <c r="F19" s="299">
        <v>0.32653061224489793</v>
      </c>
      <c r="G19" s="299">
        <v>0</v>
      </c>
      <c r="H19" s="298">
        <v>67</v>
      </c>
      <c r="I19" s="299">
        <v>0</v>
      </c>
      <c r="J19" s="299">
        <v>0</v>
      </c>
      <c r="K19" s="299">
        <v>0</v>
      </c>
      <c r="L19" s="299">
        <v>0</v>
      </c>
      <c r="M19" s="135">
        <f t="shared" si="5"/>
        <v>116</v>
      </c>
      <c r="N19" s="136">
        <f t="shared" si="6"/>
        <v>1.7241379310344827E-2</v>
      </c>
      <c r="O19" s="136">
        <f t="shared" si="7"/>
        <v>0.14285714285714285</v>
      </c>
      <c r="P19" s="136">
        <f t="shared" si="8"/>
        <v>0.32653061224489793</v>
      </c>
      <c r="Q19" s="136">
        <f t="shared" si="9"/>
        <v>0</v>
      </c>
    </row>
    <row r="20" spans="1:17">
      <c r="A20" s="378"/>
      <c r="B20" s="118" t="s">
        <v>276</v>
      </c>
      <c r="C20" s="298">
        <v>45</v>
      </c>
      <c r="D20" s="299">
        <v>0</v>
      </c>
      <c r="E20" s="299">
        <v>0</v>
      </c>
      <c r="F20" s="299">
        <v>0</v>
      </c>
      <c r="G20" s="299">
        <v>0</v>
      </c>
      <c r="H20" s="298">
        <v>67</v>
      </c>
      <c r="I20" s="299">
        <v>0</v>
      </c>
      <c r="J20" s="299">
        <v>0</v>
      </c>
      <c r="K20" s="299">
        <v>0</v>
      </c>
      <c r="L20" s="299">
        <v>0</v>
      </c>
      <c r="M20" s="135">
        <f t="shared" si="5"/>
        <v>112</v>
      </c>
      <c r="N20" s="136">
        <f t="shared" si="6"/>
        <v>0</v>
      </c>
      <c r="O20" s="136">
        <f t="shared" si="7"/>
        <v>0</v>
      </c>
      <c r="P20" s="136">
        <f t="shared" si="8"/>
        <v>0</v>
      </c>
      <c r="Q20" s="136">
        <f t="shared" si="9"/>
        <v>0</v>
      </c>
    </row>
    <row r="21" spans="1:17">
      <c r="A21" s="378" t="s">
        <v>277</v>
      </c>
      <c r="B21" s="118" t="s">
        <v>278</v>
      </c>
      <c r="C21" s="298">
        <v>0</v>
      </c>
      <c r="D21" s="299" t="s">
        <v>87</v>
      </c>
      <c r="E21" s="299" t="s">
        <v>87</v>
      </c>
      <c r="F21" s="299" t="s">
        <v>87</v>
      </c>
      <c r="G21" s="299" t="s">
        <v>87</v>
      </c>
      <c r="H21" s="298">
        <v>0</v>
      </c>
      <c r="I21" s="299" t="s">
        <v>87</v>
      </c>
      <c r="J21" s="299" t="s">
        <v>87</v>
      </c>
      <c r="K21" s="299" t="s">
        <v>87</v>
      </c>
      <c r="L21" s="299" t="s">
        <v>87</v>
      </c>
      <c r="M21" s="135">
        <f t="shared" si="5"/>
        <v>0</v>
      </c>
      <c r="N21" s="136" t="str">
        <f t="shared" si="6"/>
        <v/>
      </c>
      <c r="O21" s="136" t="str">
        <f t="shared" si="7"/>
        <v/>
      </c>
      <c r="P21" s="136">
        <f t="shared" si="8"/>
        <v>0</v>
      </c>
      <c r="Q21" s="136">
        <f t="shared" si="9"/>
        <v>0</v>
      </c>
    </row>
    <row r="22" spans="1:17">
      <c r="A22" s="378"/>
      <c r="B22" s="118" t="s">
        <v>279</v>
      </c>
      <c r="C22" s="298">
        <v>21</v>
      </c>
      <c r="D22" s="299">
        <v>4.4109529549817214E-2</v>
      </c>
      <c r="E22" s="299">
        <v>4.3008565460182453E-2</v>
      </c>
      <c r="F22" s="299">
        <v>8.7118095009999674E-2</v>
      </c>
      <c r="G22" s="299">
        <v>1.1009640896347608E-3</v>
      </c>
      <c r="H22" s="298">
        <v>30</v>
      </c>
      <c r="I22" s="299">
        <v>7.8281194277518271E-2</v>
      </c>
      <c r="J22" s="299">
        <v>0.18723635379189002</v>
      </c>
      <c r="K22" s="299">
        <v>0.2655175480694083</v>
      </c>
      <c r="L22" s="299">
        <v>0</v>
      </c>
      <c r="M22" s="135">
        <f t="shared" si="5"/>
        <v>51</v>
      </c>
      <c r="N22" s="136">
        <f t="shared" si="6"/>
        <v>6.4210508801406066E-2</v>
      </c>
      <c r="O22" s="136">
        <f t="shared" si="7"/>
        <v>0.11512245962603623</v>
      </c>
      <c r="P22" s="136">
        <f t="shared" si="8"/>
        <v>0.2655175480694083</v>
      </c>
      <c r="Q22" s="136">
        <f t="shared" si="9"/>
        <v>0</v>
      </c>
    </row>
    <row r="23" spans="1:17">
      <c r="A23" s="378"/>
      <c r="B23" s="118" t="s">
        <v>280</v>
      </c>
      <c r="C23" s="298">
        <v>47</v>
      </c>
      <c r="D23" s="299">
        <v>8.091863303333664</v>
      </c>
      <c r="E23" s="299">
        <v>16.24308747329464</v>
      </c>
      <c r="F23" s="299">
        <v>24.334950776628304</v>
      </c>
      <c r="G23" s="299">
        <v>0</v>
      </c>
      <c r="H23" s="298">
        <v>65</v>
      </c>
      <c r="I23" s="299">
        <v>4.5790397353879069</v>
      </c>
      <c r="J23" s="299">
        <v>9.6408783945594223</v>
      </c>
      <c r="K23" s="299">
        <v>14.219918129947329</v>
      </c>
      <c r="L23" s="299">
        <v>0</v>
      </c>
      <c r="M23" s="135">
        <f t="shared" si="5"/>
        <v>112</v>
      </c>
      <c r="N23" s="136">
        <f t="shared" si="6"/>
        <v>6.0531710540794297</v>
      </c>
      <c r="O23" s="136">
        <f t="shared" si="7"/>
        <v>12.941982933927031</v>
      </c>
      <c r="P23" s="136">
        <f t="shared" si="8"/>
        <v>24.334950776628304</v>
      </c>
      <c r="Q23" s="136">
        <f t="shared" si="9"/>
        <v>0</v>
      </c>
    </row>
    <row r="24" spans="1:17">
      <c r="A24" s="378"/>
      <c r="B24" s="118" t="s">
        <v>281</v>
      </c>
      <c r="C24" s="298">
        <v>24</v>
      </c>
      <c r="D24" s="301">
        <v>4.8732943469785572E-2</v>
      </c>
      <c r="E24" s="301">
        <v>0.2055494642241148</v>
      </c>
      <c r="F24" s="301">
        <v>0.25428240769390037</v>
      </c>
      <c r="G24" s="301">
        <v>0</v>
      </c>
      <c r="H24" s="298">
        <v>0</v>
      </c>
      <c r="I24" s="301" t="s">
        <v>87</v>
      </c>
      <c r="J24" s="301" t="s">
        <v>87</v>
      </c>
      <c r="K24" s="301" t="s">
        <v>87</v>
      </c>
      <c r="L24" s="301" t="s">
        <v>87</v>
      </c>
      <c r="M24" s="298">
        <v>24</v>
      </c>
      <c r="N24" s="301">
        <v>4.8732943469785572E-2</v>
      </c>
      <c r="O24" s="301">
        <v>0.2055494642241148</v>
      </c>
      <c r="P24" s="301">
        <v>0.25428240769390037</v>
      </c>
      <c r="Q24" s="301">
        <v>0</v>
      </c>
    </row>
    <row r="25" spans="1:17">
      <c r="A25" s="378"/>
      <c r="B25" s="118" t="s">
        <v>282</v>
      </c>
      <c r="C25" s="298">
        <v>31</v>
      </c>
      <c r="D25" s="299">
        <v>2.2723151633657848</v>
      </c>
      <c r="E25" s="299">
        <v>1.7806833706667538</v>
      </c>
      <c r="F25" s="299">
        <v>4.0529985340325387</v>
      </c>
      <c r="G25" s="299">
        <v>0.49163179269903101</v>
      </c>
      <c r="H25" s="298">
        <v>70</v>
      </c>
      <c r="I25" s="299">
        <v>1.4349447707953338</v>
      </c>
      <c r="J25" s="299">
        <v>2.0841668591891747</v>
      </c>
      <c r="K25" s="299">
        <v>3.5191116299845087</v>
      </c>
      <c r="L25" s="299">
        <v>0</v>
      </c>
      <c r="M25" s="135">
        <f t="shared" si="5"/>
        <v>101</v>
      </c>
      <c r="N25" s="136">
        <f t="shared" si="6"/>
        <v>1.6919594457426999</v>
      </c>
      <c r="O25" s="136">
        <f t="shared" si="7"/>
        <v>1.9324251149279643</v>
      </c>
      <c r="P25" s="136">
        <f t="shared" si="8"/>
        <v>4.0529985340325387</v>
      </c>
      <c r="Q25" s="136">
        <f t="shared" si="9"/>
        <v>0</v>
      </c>
    </row>
    <row r="26" spans="1:17">
      <c r="A26" s="224" t="s">
        <v>283</v>
      </c>
      <c r="B26" s="118" t="s">
        <v>284</v>
      </c>
      <c r="C26" s="298">
        <v>0</v>
      </c>
      <c r="D26" s="299" t="s">
        <v>87</v>
      </c>
      <c r="E26" s="299" t="s">
        <v>87</v>
      </c>
      <c r="F26" s="299" t="s">
        <v>87</v>
      </c>
      <c r="G26" s="299" t="s">
        <v>87</v>
      </c>
      <c r="H26" s="298">
        <v>0</v>
      </c>
      <c r="I26" s="299" t="s">
        <v>87</v>
      </c>
      <c r="J26" s="299" t="s">
        <v>87</v>
      </c>
      <c r="K26" s="299" t="s">
        <v>87</v>
      </c>
      <c r="L26" s="299" t="s">
        <v>87</v>
      </c>
      <c r="M26" s="135">
        <f t="shared" si="5"/>
        <v>0</v>
      </c>
      <c r="N26" s="136" t="str">
        <f t="shared" si="6"/>
        <v/>
      </c>
      <c r="O26" s="136" t="str">
        <f t="shared" si="7"/>
        <v/>
      </c>
      <c r="P26" s="136">
        <f t="shared" si="8"/>
        <v>0</v>
      </c>
      <c r="Q26" s="136">
        <f t="shared" si="9"/>
        <v>0</v>
      </c>
    </row>
    <row r="27" spans="1:17">
      <c r="A27" s="378" t="s">
        <v>285</v>
      </c>
      <c r="B27" s="118" t="s">
        <v>286</v>
      </c>
      <c r="C27" s="298">
        <v>0</v>
      </c>
      <c r="D27" s="299" t="s">
        <v>87</v>
      </c>
      <c r="E27" s="299" t="s">
        <v>87</v>
      </c>
      <c r="F27" s="299" t="s">
        <v>87</v>
      </c>
      <c r="G27" s="299" t="s">
        <v>87</v>
      </c>
      <c r="H27" s="298">
        <v>0</v>
      </c>
      <c r="I27" s="299" t="s">
        <v>87</v>
      </c>
      <c r="J27" s="299" t="s">
        <v>87</v>
      </c>
      <c r="K27" s="299" t="s">
        <v>87</v>
      </c>
      <c r="L27" s="299" t="s">
        <v>87</v>
      </c>
      <c r="M27" s="135">
        <f t="shared" si="5"/>
        <v>0</v>
      </c>
      <c r="N27" s="136" t="str">
        <f t="shared" si="6"/>
        <v/>
      </c>
      <c r="O27" s="136" t="str">
        <f t="shared" si="7"/>
        <v/>
      </c>
      <c r="P27" s="136">
        <f t="shared" si="8"/>
        <v>0</v>
      </c>
      <c r="Q27" s="136">
        <f t="shared" si="9"/>
        <v>0</v>
      </c>
    </row>
    <row r="28" spans="1:17">
      <c r="A28" s="378"/>
      <c r="B28" s="118" t="s">
        <v>287</v>
      </c>
      <c r="C28" s="298">
        <v>48</v>
      </c>
      <c r="D28" s="299">
        <v>0</v>
      </c>
      <c r="E28" s="299">
        <v>0</v>
      </c>
      <c r="F28" s="299">
        <v>0</v>
      </c>
      <c r="G28" s="299">
        <v>0</v>
      </c>
      <c r="H28" s="298">
        <v>70</v>
      </c>
      <c r="I28" s="299">
        <v>0</v>
      </c>
      <c r="J28" s="299">
        <v>0</v>
      </c>
      <c r="K28" s="299">
        <v>0</v>
      </c>
      <c r="L28" s="299">
        <v>0</v>
      </c>
      <c r="M28" s="135">
        <f t="shared" si="5"/>
        <v>118</v>
      </c>
      <c r="N28" s="136">
        <f t="shared" si="6"/>
        <v>0</v>
      </c>
      <c r="O28" s="136">
        <f t="shared" si="7"/>
        <v>0</v>
      </c>
      <c r="P28" s="136">
        <f t="shared" si="8"/>
        <v>0</v>
      </c>
      <c r="Q28" s="136">
        <f t="shared" si="9"/>
        <v>0</v>
      </c>
    </row>
    <row r="29" spans="1:17">
      <c r="A29" s="378" t="s">
        <v>288</v>
      </c>
      <c r="B29" s="118" t="s">
        <v>289</v>
      </c>
      <c r="C29" s="298">
        <v>45</v>
      </c>
      <c r="D29" s="299">
        <v>1.7288888888888889</v>
      </c>
      <c r="E29" s="299">
        <v>2.8511259516056446</v>
      </c>
      <c r="F29" s="299">
        <v>4.5800148404945338</v>
      </c>
      <c r="G29" s="299">
        <v>0</v>
      </c>
      <c r="H29" s="298">
        <v>63</v>
      </c>
      <c r="I29" s="299">
        <v>0.36031746031746031</v>
      </c>
      <c r="J29" s="299">
        <v>1.6819285860467406</v>
      </c>
      <c r="K29" s="299">
        <v>2.0422460463642009</v>
      </c>
      <c r="L29" s="299">
        <v>0</v>
      </c>
      <c r="M29" s="135">
        <f t="shared" si="5"/>
        <v>108</v>
      </c>
      <c r="N29" s="136">
        <f t="shared" si="6"/>
        <v>0.93055555555555558</v>
      </c>
      <c r="O29" s="136">
        <f t="shared" si="7"/>
        <v>2.2665272688261924</v>
      </c>
      <c r="P29" s="136">
        <f t="shared" si="8"/>
        <v>4.5800148404945338</v>
      </c>
      <c r="Q29" s="136">
        <f t="shared" si="9"/>
        <v>0</v>
      </c>
    </row>
    <row r="30" spans="1:17">
      <c r="A30" s="378"/>
      <c r="B30" s="118" t="s">
        <v>290</v>
      </c>
      <c r="C30" s="298">
        <v>0</v>
      </c>
      <c r="D30" s="299" t="s">
        <v>87</v>
      </c>
      <c r="E30" s="299" t="s">
        <v>87</v>
      </c>
      <c r="F30" s="299" t="s">
        <v>87</v>
      </c>
      <c r="G30" s="299" t="s">
        <v>87</v>
      </c>
      <c r="H30" s="298">
        <v>0</v>
      </c>
      <c r="I30" s="299" t="s">
        <v>87</v>
      </c>
      <c r="J30" s="299" t="s">
        <v>87</v>
      </c>
      <c r="K30" s="299" t="s">
        <v>87</v>
      </c>
      <c r="L30" s="299" t="s">
        <v>87</v>
      </c>
      <c r="M30" s="135">
        <f t="shared" si="5"/>
        <v>0</v>
      </c>
      <c r="N30" s="136" t="str">
        <f t="shared" si="6"/>
        <v/>
      </c>
      <c r="O30" s="136" t="str">
        <f t="shared" si="7"/>
        <v/>
      </c>
      <c r="P30" s="136">
        <f t="shared" si="8"/>
        <v>0</v>
      </c>
      <c r="Q30" s="136">
        <f t="shared" si="9"/>
        <v>0</v>
      </c>
    </row>
    <row r="31" spans="1:17">
      <c r="A31" s="380" t="s">
        <v>291</v>
      </c>
      <c r="B31" s="118" t="s">
        <v>292</v>
      </c>
      <c r="C31" s="298">
        <v>30</v>
      </c>
      <c r="D31" s="301">
        <v>0.99269333333333332</v>
      </c>
      <c r="E31" s="301">
        <v>1.5618886298177674E-2</v>
      </c>
      <c r="F31" s="301">
        <v>1</v>
      </c>
      <c r="G31" s="301">
        <v>0.94583667443880026</v>
      </c>
      <c r="H31" s="298">
        <v>48</v>
      </c>
      <c r="I31" s="301">
        <v>0.99410833333333326</v>
      </c>
      <c r="J31" s="301">
        <v>2.9236699709937787E-2</v>
      </c>
      <c r="K31" s="301">
        <v>1</v>
      </c>
      <c r="L31" s="301">
        <v>0.90639823420351995</v>
      </c>
      <c r="M31" s="135">
        <f t="shared" si="5"/>
        <v>78</v>
      </c>
      <c r="N31" s="302">
        <f t="shared" si="6"/>
        <v>0.99356410256410244</v>
      </c>
      <c r="O31" s="302">
        <f t="shared" si="7"/>
        <v>2.2427793004057731E-2</v>
      </c>
      <c r="P31" s="302">
        <f t="shared" si="8"/>
        <v>1</v>
      </c>
      <c r="Q31" s="302">
        <f t="shared" si="9"/>
        <v>0.90639823420351995</v>
      </c>
    </row>
    <row r="32" spans="1:17">
      <c r="A32" s="381"/>
      <c r="B32" s="118" t="s">
        <v>293</v>
      </c>
      <c r="C32" s="298">
        <v>26</v>
      </c>
      <c r="D32" s="299">
        <v>2.8703846153846153</v>
      </c>
      <c r="E32" s="299">
        <v>3.7495359507749551</v>
      </c>
      <c r="F32" s="299">
        <v>6.6199205661595704</v>
      </c>
      <c r="G32" s="299">
        <v>0</v>
      </c>
      <c r="H32" s="298">
        <v>34</v>
      </c>
      <c r="I32" s="299">
        <v>2.6088235294117648</v>
      </c>
      <c r="J32" s="299">
        <v>1.8993200772363847</v>
      </c>
      <c r="K32" s="299">
        <v>4.5081436066481491</v>
      </c>
      <c r="L32" s="299">
        <v>0.70950345217538002</v>
      </c>
      <c r="M32" s="135">
        <f t="shared" si="5"/>
        <v>60</v>
      </c>
      <c r="N32" s="136">
        <f t="shared" si="6"/>
        <v>2.7221666666666664</v>
      </c>
      <c r="O32" s="136">
        <f t="shared" si="7"/>
        <v>2.8244280140056697</v>
      </c>
      <c r="P32" s="136">
        <f t="shared" si="8"/>
        <v>6.6199205661595704</v>
      </c>
      <c r="Q32" s="136">
        <f t="shared" si="9"/>
        <v>0</v>
      </c>
    </row>
    <row r="33" spans="1:17">
      <c r="A33" s="381"/>
      <c r="B33" s="118" t="s">
        <v>294</v>
      </c>
      <c r="C33" s="298">
        <v>25</v>
      </c>
      <c r="D33" s="299">
        <v>10.022399999999999</v>
      </c>
      <c r="E33" s="299">
        <v>4.337185416065739</v>
      </c>
      <c r="F33" s="299">
        <v>14.359585416065737</v>
      </c>
      <c r="G33" s="299">
        <v>5.6852145839342603</v>
      </c>
      <c r="H33" s="298">
        <v>34</v>
      </c>
      <c r="I33" s="299">
        <v>8.2379411764705885</v>
      </c>
      <c r="J33" s="299">
        <v>4.210254997972223</v>
      </c>
      <c r="K33" s="299">
        <v>12.448196174442812</v>
      </c>
      <c r="L33" s="299">
        <v>4.0276861784983655</v>
      </c>
      <c r="M33" s="135">
        <f t="shared" si="5"/>
        <v>59</v>
      </c>
      <c r="N33" s="136">
        <f t="shared" si="6"/>
        <v>8.9940677966101692</v>
      </c>
      <c r="O33" s="136">
        <f t="shared" si="7"/>
        <v>4.2737202070189806</v>
      </c>
      <c r="P33" s="136">
        <f t="shared" si="8"/>
        <v>14.359585416065737</v>
      </c>
      <c r="Q33" s="136">
        <f t="shared" si="9"/>
        <v>4.0276861784983655</v>
      </c>
    </row>
    <row r="34" spans="1:17">
      <c r="A34" s="381"/>
      <c r="B34" s="118" t="s">
        <v>295</v>
      </c>
      <c r="C34" s="298">
        <v>18</v>
      </c>
      <c r="D34" s="299">
        <v>1.4166666666666667</v>
      </c>
      <c r="E34" s="299">
        <v>0.54906337360571966</v>
      </c>
      <c r="F34" s="299">
        <v>1.9657300402723865</v>
      </c>
      <c r="G34" s="299">
        <v>0.86760329306094708</v>
      </c>
      <c r="H34" s="298">
        <v>13</v>
      </c>
      <c r="I34" s="299">
        <v>1.6384615384615384</v>
      </c>
      <c r="J34" s="299">
        <v>0.48224900473106402</v>
      </c>
      <c r="K34" s="299">
        <v>2.1207105431926023</v>
      </c>
      <c r="L34" s="299">
        <v>1.1562125337304745</v>
      </c>
      <c r="M34" s="135">
        <f t="shared" si="5"/>
        <v>31</v>
      </c>
      <c r="N34" s="136">
        <f t="shared" si="6"/>
        <v>1.5096774193548386</v>
      </c>
      <c r="O34" s="136">
        <f t="shared" si="7"/>
        <v>0.51565618916839184</v>
      </c>
      <c r="P34" s="136">
        <f t="shared" si="8"/>
        <v>2.1207105431926023</v>
      </c>
      <c r="Q34" s="136">
        <f t="shared" si="9"/>
        <v>0.86760329306094708</v>
      </c>
    </row>
    <row r="35" spans="1:17">
      <c r="A35" s="382"/>
      <c r="B35" s="118" t="s">
        <v>296</v>
      </c>
      <c r="C35" s="298">
        <v>0</v>
      </c>
      <c r="D35" s="299" t="s">
        <v>87</v>
      </c>
      <c r="E35" s="299" t="s">
        <v>87</v>
      </c>
      <c r="F35" s="299" t="s">
        <v>87</v>
      </c>
      <c r="G35" s="299" t="s">
        <v>87</v>
      </c>
      <c r="H35" s="298">
        <v>2</v>
      </c>
      <c r="I35" s="299">
        <v>0</v>
      </c>
      <c r="J35" s="299">
        <v>0</v>
      </c>
      <c r="K35" s="299">
        <v>0</v>
      </c>
      <c r="L35" s="299">
        <v>0</v>
      </c>
      <c r="M35" s="298">
        <v>2</v>
      </c>
      <c r="N35" s="299">
        <v>0</v>
      </c>
      <c r="O35" s="299">
        <v>0</v>
      </c>
      <c r="P35" s="299">
        <v>0</v>
      </c>
      <c r="Q35" s="299">
        <v>0</v>
      </c>
    </row>
    <row r="36" spans="1:17">
      <c r="A36" s="382"/>
      <c r="B36" s="118" t="s">
        <v>297</v>
      </c>
      <c r="C36" s="298">
        <v>0</v>
      </c>
      <c r="D36" s="299" t="s">
        <v>87</v>
      </c>
      <c r="E36" s="299" t="s">
        <v>87</v>
      </c>
      <c r="F36" s="299" t="s">
        <v>87</v>
      </c>
      <c r="G36" s="299" t="s">
        <v>87</v>
      </c>
      <c r="H36" s="298">
        <v>2</v>
      </c>
      <c r="I36" s="299">
        <v>0</v>
      </c>
      <c r="J36" s="299">
        <v>0</v>
      </c>
      <c r="K36" s="299">
        <v>0</v>
      </c>
      <c r="L36" s="299">
        <v>0</v>
      </c>
      <c r="M36" s="298">
        <v>2</v>
      </c>
      <c r="N36" s="299">
        <v>0</v>
      </c>
      <c r="O36" s="299">
        <v>0</v>
      </c>
      <c r="P36" s="299">
        <v>0</v>
      </c>
      <c r="Q36" s="299">
        <v>0</v>
      </c>
    </row>
    <row r="37" spans="1:17">
      <c r="A37" s="383"/>
      <c r="B37" s="118" t="s">
        <v>298</v>
      </c>
      <c r="C37" s="298">
        <v>0</v>
      </c>
      <c r="D37" s="299" t="s">
        <v>87</v>
      </c>
      <c r="E37" s="299" t="s">
        <v>87</v>
      </c>
      <c r="F37" s="299" t="s">
        <v>87</v>
      </c>
      <c r="G37" s="299" t="s">
        <v>87</v>
      </c>
      <c r="H37" s="298">
        <v>2</v>
      </c>
      <c r="I37" s="299">
        <v>0</v>
      </c>
      <c r="J37" s="299">
        <v>0</v>
      </c>
      <c r="K37" s="299">
        <v>0</v>
      </c>
      <c r="L37" s="299">
        <v>0</v>
      </c>
      <c r="M37" s="298">
        <v>2</v>
      </c>
      <c r="N37" s="299">
        <v>0</v>
      </c>
      <c r="O37" s="299">
        <v>0</v>
      </c>
      <c r="P37" s="299">
        <v>0</v>
      </c>
      <c r="Q37" s="299">
        <v>0</v>
      </c>
    </row>
    <row r="38" spans="1:17">
      <c r="A38" s="364" t="s">
        <v>299</v>
      </c>
      <c r="B38" s="118" t="s">
        <v>300</v>
      </c>
      <c r="C38" s="298">
        <v>36</v>
      </c>
      <c r="D38" s="299">
        <v>9.8611111111111107</v>
      </c>
      <c r="E38" s="299">
        <v>24.980166736007391</v>
      </c>
      <c r="F38" s="299">
        <v>34.841277847118505</v>
      </c>
      <c r="G38" s="299">
        <v>0</v>
      </c>
      <c r="H38" s="298">
        <v>45</v>
      </c>
      <c r="I38" s="299">
        <v>1.4222222222222223</v>
      </c>
      <c r="J38" s="299">
        <v>9.540556703999103</v>
      </c>
      <c r="K38" s="299">
        <v>10.962778926221326</v>
      </c>
      <c r="L38" s="299">
        <v>0</v>
      </c>
      <c r="M38" s="135">
        <f t="shared" si="5"/>
        <v>81</v>
      </c>
      <c r="N38" s="136">
        <f t="shared" si="6"/>
        <v>5.1728395061728394</v>
      </c>
      <c r="O38" s="136">
        <f t="shared" si="7"/>
        <v>17.260361720003246</v>
      </c>
      <c r="P38" s="136">
        <f t="shared" si="8"/>
        <v>34.841277847118505</v>
      </c>
      <c r="Q38" s="136">
        <f t="shared" si="9"/>
        <v>0</v>
      </c>
    </row>
    <row r="39" spans="1:17">
      <c r="A39" s="364"/>
      <c r="B39" s="118" t="s">
        <v>301</v>
      </c>
      <c r="C39" s="298">
        <v>40</v>
      </c>
      <c r="D39" s="299">
        <v>5.2417499999999997</v>
      </c>
      <c r="E39" s="299">
        <v>2.7101810777804087</v>
      </c>
      <c r="F39" s="299">
        <v>7.951931077780408</v>
      </c>
      <c r="G39" s="299">
        <v>2.531568922219591</v>
      </c>
      <c r="H39" s="298">
        <v>59</v>
      </c>
      <c r="I39" s="299">
        <v>3.7255932203389839</v>
      </c>
      <c r="J39" s="299">
        <v>1.8030101948441271</v>
      </c>
      <c r="K39" s="299">
        <v>5.5286034151831114</v>
      </c>
      <c r="L39" s="299">
        <v>1.9225830254948568</v>
      </c>
      <c r="M39" s="135">
        <f t="shared" si="5"/>
        <v>99</v>
      </c>
      <c r="N39" s="136">
        <f t="shared" si="6"/>
        <v>4.3381818181818188</v>
      </c>
      <c r="O39" s="136">
        <f t="shared" si="7"/>
        <v>2.2565956363122677</v>
      </c>
      <c r="P39" s="136">
        <f t="shared" si="8"/>
        <v>7.951931077780408</v>
      </c>
      <c r="Q39" s="136">
        <f t="shared" si="9"/>
        <v>1.9225830254948568</v>
      </c>
    </row>
    <row r="40" spans="1:17">
      <c r="A40" s="364"/>
      <c r="B40" s="118" t="s">
        <v>302</v>
      </c>
      <c r="C40" s="298">
        <v>22</v>
      </c>
      <c r="D40" s="301">
        <v>5.6759090909090919E-2</v>
      </c>
      <c r="E40" s="301">
        <v>1.8341591017110803E-2</v>
      </c>
      <c r="F40" s="301">
        <v>7.5100681926201729E-2</v>
      </c>
      <c r="G40" s="301">
        <v>3.8417499891980116E-2</v>
      </c>
      <c r="H40" s="298">
        <v>56</v>
      </c>
      <c r="I40" s="300">
        <v>6.896964285714284E-2</v>
      </c>
      <c r="J40" s="300">
        <v>5.5094398064158508E-2</v>
      </c>
      <c r="K40" s="300">
        <v>0.12406404092130136</v>
      </c>
      <c r="L40" s="300">
        <v>1.3875244792984333E-2</v>
      </c>
      <c r="M40" s="135">
        <f t="shared" si="5"/>
        <v>78</v>
      </c>
      <c r="N40" s="302">
        <f t="shared" si="6"/>
        <v>6.5525641025641013E-2</v>
      </c>
      <c r="O40" s="302">
        <f t="shared" si="7"/>
        <v>3.6717994540634652E-2</v>
      </c>
      <c r="P40" s="302">
        <f t="shared" si="8"/>
        <v>0.12406404092130136</v>
      </c>
      <c r="Q40" s="302">
        <f t="shared" si="9"/>
        <v>1.3875244792984333E-2</v>
      </c>
    </row>
    <row r="41" spans="1:17">
      <c r="A41" s="364"/>
      <c r="B41" s="120" t="s">
        <v>303</v>
      </c>
      <c r="C41" s="298">
        <v>0</v>
      </c>
      <c r="D41" s="299" t="s">
        <v>87</v>
      </c>
      <c r="E41" s="299" t="s">
        <v>87</v>
      </c>
      <c r="F41" s="299" t="s">
        <v>87</v>
      </c>
      <c r="G41" s="299" t="s">
        <v>87</v>
      </c>
      <c r="H41" s="298">
        <v>10</v>
      </c>
      <c r="I41" s="299">
        <v>0</v>
      </c>
      <c r="J41" s="299">
        <v>0</v>
      </c>
      <c r="K41" s="299">
        <v>0</v>
      </c>
      <c r="L41" s="299">
        <v>0</v>
      </c>
      <c r="M41" s="298">
        <v>10</v>
      </c>
      <c r="N41" s="299">
        <v>0</v>
      </c>
      <c r="O41" s="299">
        <v>0</v>
      </c>
      <c r="P41" s="299">
        <v>0</v>
      </c>
      <c r="Q41" s="299">
        <v>0</v>
      </c>
    </row>
    <row r="42" spans="1:17">
      <c r="A42" s="364"/>
      <c r="B42" s="120" t="s">
        <v>304</v>
      </c>
      <c r="C42" s="298">
        <v>0</v>
      </c>
      <c r="D42" s="299" t="s">
        <v>87</v>
      </c>
      <c r="E42" s="299" t="s">
        <v>87</v>
      </c>
      <c r="F42" s="299" t="s">
        <v>87</v>
      </c>
      <c r="G42" s="299" t="s">
        <v>87</v>
      </c>
      <c r="H42" s="298">
        <v>10</v>
      </c>
      <c r="I42" s="299">
        <v>0</v>
      </c>
      <c r="J42" s="299">
        <v>0</v>
      </c>
      <c r="K42" s="299">
        <v>0</v>
      </c>
      <c r="L42" s="299">
        <v>0</v>
      </c>
      <c r="M42" s="298">
        <v>10</v>
      </c>
      <c r="N42" s="299">
        <v>0</v>
      </c>
      <c r="O42" s="299">
        <v>0</v>
      </c>
      <c r="P42" s="299">
        <v>0</v>
      </c>
      <c r="Q42" s="299">
        <v>0</v>
      </c>
    </row>
    <row r="43" spans="1:17">
      <c r="A43" s="364"/>
      <c r="B43" s="120" t="s">
        <v>305</v>
      </c>
      <c r="C43" s="298">
        <v>0</v>
      </c>
      <c r="D43" s="299" t="s">
        <v>87</v>
      </c>
      <c r="E43" s="299" t="s">
        <v>87</v>
      </c>
      <c r="F43" s="299" t="s">
        <v>87</v>
      </c>
      <c r="G43" s="299" t="s">
        <v>87</v>
      </c>
      <c r="H43" s="298">
        <v>2</v>
      </c>
      <c r="I43" s="299">
        <v>0</v>
      </c>
      <c r="J43" s="299">
        <v>0</v>
      </c>
      <c r="K43" s="299">
        <v>0</v>
      </c>
      <c r="L43" s="299">
        <v>0</v>
      </c>
      <c r="M43" s="298">
        <v>2</v>
      </c>
      <c r="N43" s="299">
        <v>0</v>
      </c>
      <c r="O43" s="299">
        <v>0</v>
      </c>
      <c r="P43" s="299">
        <v>0</v>
      </c>
      <c r="Q43" s="299">
        <v>0</v>
      </c>
    </row>
    <row r="44" spans="1:17" ht="22.5">
      <c r="A44" s="390" t="s">
        <v>463</v>
      </c>
      <c r="B44" s="125" t="s">
        <v>464</v>
      </c>
      <c r="C44" s="298">
        <v>8</v>
      </c>
      <c r="D44" s="299">
        <v>57.770985248664033</v>
      </c>
      <c r="E44" s="299">
        <v>25.142444551010691</v>
      </c>
      <c r="F44" s="299">
        <v>82.913429799674731</v>
      </c>
      <c r="G44" s="299">
        <v>32.628540697653342</v>
      </c>
      <c r="H44" s="298">
        <v>20</v>
      </c>
      <c r="I44" s="299">
        <v>59.101463565326085</v>
      </c>
      <c r="J44" s="299">
        <v>21.677073496867184</v>
      </c>
      <c r="K44" s="299">
        <v>80.778537062193266</v>
      </c>
      <c r="L44" s="299">
        <v>37.424390068458905</v>
      </c>
      <c r="M44" s="135">
        <f t="shared" si="5"/>
        <v>28</v>
      </c>
      <c r="N44" s="136">
        <f t="shared" si="6"/>
        <v>58.721326903422643</v>
      </c>
      <c r="O44" s="136">
        <f t="shared" si="7"/>
        <v>23.409759023938939</v>
      </c>
      <c r="P44" s="136">
        <f t="shared" si="8"/>
        <v>82.913429799674731</v>
      </c>
      <c r="Q44" s="136">
        <f t="shared" si="9"/>
        <v>32.628540697653342</v>
      </c>
    </row>
    <row r="45" spans="1:17" ht="22.5">
      <c r="A45" s="391"/>
      <c r="B45" s="125" t="s">
        <v>328</v>
      </c>
      <c r="C45" s="298">
        <v>7</v>
      </c>
      <c r="D45" s="299">
        <v>67.305613086382422</v>
      </c>
      <c r="E45" s="299">
        <v>30.686894474865468</v>
      </c>
      <c r="F45" s="299">
        <v>97.992507561247891</v>
      </c>
      <c r="G45" s="299">
        <v>36.618718611516954</v>
      </c>
      <c r="H45" s="298">
        <v>20</v>
      </c>
      <c r="I45" s="299">
        <v>68.199191458895541</v>
      </c>
      <c r="J45" s="299">
        <v>22.191637683088338</v>
      </c>
      <c r="K45" s="299">
        <v>90.390829141983886</v>
      </c>
      <c r="L45" s="299">
        <v>46.007553775807203</v>
      </c>
      <c r="M45" s="135">
        <f t="shared" si="5"/>
        <v>27</v>
      </c>
      <c r="N45" s="136">
        <f t="shared" si="6"/>
        <v>67.967522991947689</v>
      </c>
      <c r="O45" s="136">
        <f t="shared" si="7"/>
        <v>26.439266078976903</v>
      </c>
      <c r="P45" s="136">
        <f t="shared" si="8"/>
        <v>97.992507561247891</v>
      </c>
      <c r="Q45" s="136">
        <f t="shared" si="9"/>
        <v>36.618718611516954</v>
      </c>
    </row>
    <row r="46" spans="1:17" ht="22.5">
      <c r="A46" s="391"/>
      <c r="B46" s="125" t="s">
        <v>329</v>
      </c>
      <c r="C46" s="298">
        <v>24</v>
      </c>
      <c r="D46" s="299">
        <v>49.170448068914943</v>
      </c>
      <c r="E46" s="299">
        <v>11.721450492270019</v>
      </c>
      <c r="F46" s="299">
        <v>60.891898561184959</v>
      </c>
      <c r="G46" s="299">
        <v>37.448997576644928</v>
      </c>
      <c r="H46" s="298">
        <v>31</v>
      </c>
      <c r="I46" s="299">
        <v>48.323708939064602</v>
      </c>
      <c r="J46" s="299">
        <v>20.585512060593732</v>
      </c>
      <c r="K46" s="299">
        <v>68.909220999658331</v>
      </c>
      <c r="L46" s="299">
        <v>27.73819687847087</v>
      </c>
      <c r="M46" s="135">
        <f t="shared" si="5"/>
        <v>55</v>
      </c>
      <c r="N46" s="136">
        <f t="shared" si="6"/>
        <v>48.693195104817477</v>
      </c>
      <c r="O46" s="136">
        <f t="shared" si="7"/>
        <v>16.153481276431876</v>
      </c>
      <c r="P46" s="136">
        <f t="shared" si="8"/>
        <v>68.909220999658331</v>
      </c>
      <c r="Q46" s="136">
        <f t="shared" si="9"/>
        <v>27.73819687847087</v>
      </c>
    </row>
    <row r="47" spans="1:17" ht="22.5">
      <c r="A47" s="392"/>
      <c r="B47" s="125" t="s">
        <v>330</v>
      </c>
      <c r="C47" s="298">
        <v>25</v>
      </c>
      <c r="D47" s="299">
        <v>68.724866729981642</v>
      </c>
      <c r="E47" s="299">
        <v>15.625970697594971</v>
      </c>
      <c r="F47" s="299">
        <v>84.350837427576607</v>
      </c>
      <c r="G47" s="299">
        <v>53.098896032386669</v>
      </c>
      <c r="H47" s="298">
        <v>31</v>
      </c>
      <c r="I47" s="299">
        <v>68.539628011624032</v>
      </c>
      <c r="J47" s="299">
        <v>23.189228296956731</v>
      </c>
      <c r="K47" s="299">
        <v>91.72885630858076</v>
      </c>
      <c r="L47" s="299">
        <v>45.350399714667304</v>
      </c>
      <c r="M47" s="135">
        <f t="shared" si="5"/>
        <v>56</v>
      </c>
      <c r="N47" s="136">
        <f t="shared" si="6"/>
        <v>68.622323868033675</v>
      </c>
      <c r="O47" s="136">
        <f t="shared" si="7"/>
        <v>19.40759949727585</v>
      </c>
      <c r="P47" s="136">
        <f t="shared" si="8"/>
        <v>91.72885630858076</v>
      </c>
      <c r="Q47" s="136">
        <f t="shared" si="9"/>
        <v>45.350399714667304</v>
      </c>
    </row>
  </sheetData>
  <mergeCells count="13">
    <mergeCell ref="A14:A16"/>
    <mergeCell ref="A1:B2"/>
    <mergeCell ref="C1:G1"/>
    <mergeCell ref="H1:L1"/>
    <mergeCell ref="M1:Q1"/>
    <mergeCell ref="A3:A13"/>
    <mergeCell ref="A44:A47"/>
    <mergeCell ref="A31:A37"/>
    <mergeCell ref="A17:A20"/>
    <mergeCell ref="A21:A25"/>
    <mergeCell ref="A27:A28"/>
    <mergeCell ref="A29:A30"/>
    <mergeCell ref="A38:A43"/>
  </mergeCells>
  <phoneticPr fontId="26" type="noConversion"/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>
    <oddHeader>&amp;L&amp;G&amp;C&amp;F&amp;R文档密级</oddHeader>
    <oddFooter>&amp;L&amp;D&amp;C华为保密信息,未经授权禁止扩散&amp;R第&amp;P页，共&amp;N页</oddFooter>
  </headerFooter>
  <legacyDrawingHF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55"/>
  <sheetViews>
    <sheetView topLeftCell="A37" workbookViewId="0">
      <selection activeCell="I21" sqref="I21"/>
    </sheetView>
  </sheetViews>
  <sheetFormatPr defaultRowHeight="14.25"/>
  <cols>
    <col min="1" max="1" width="9" style="116"/>
    <col min="2" max="2" width="35.5" style="116" bestFit="1" customWidth="1"/>
    <col min="3" max="4" width="7.25" style="116" customWidth="1"/>
    <col min="5" max="5" width="7.5" style="116" customWidth="1"/>
    <col min="6" max="6" width="7.25" style="116" customWidth="1"/>
    <col min="7" max="7" width="7" style="128" customWidth="1"/>
    <col min="8" max="9" width="7.25" style="116" customWidth="1"/>
    <col min="10" max="10" width="5.875" style="116" customWidth="1"/>
    <col min="11" max="12" width="7.25" style="116" customWidth="1"/>
    <col min="13" max="16384" width="9" style="116"/>
  </cols>
  <sheetData>
    <row r="1" spans="1:17" ht="14.25" customHeight="1">
      <c r="A1" s="379" t="s">
        <v>339</v>
      </c>
      <c r="B1" s="379"/>
      <c r="C1" s="376" t="s">
        <v>455</v>
      </c>
      <c r="D1" s="377"/>
      <c r="E1" s="377"/>
      <c r="F1" s="377"/>
      <c r="G1" s="377"/>
      <c r="H1" s="376" t="s">
        <v>456</v>
      </c>
      <c r="I1" s="377"/>
      <c r="J1" s="377"/>
      <c r="K1" s="377"/>
      <c r="L1" s="377"/>
      <c r="M1" s="376" t="s">
        <v>457</v>
      </c>
      <c r="N1" s="377"/>
      <c r="O1" s="377"/>
      <c r="P1" s="377"/>
      <c r="Q1" s="377"/>
    </row>
    <row r="2" spans="1:17">
      <c r="A2" s="379"/>
      <c r="B2" s="379"/>
      <c r="C2" s="225" t="s">
        <v>340</v>
      </c>
      <c r="D2" s="225" t="s">
        <v>319</v>
      </c>
      <c r="E2" s="225" t="s">
        <v>260</v>
      </c>
      <c r="F2" s="225" t="s">
        <v>261</v>
      </c>
      <c r="G2" s="305" t="s">
        <v>262</v>
      </c>
      <c r="H2" s="225" t="s">
        <v>318</v>
      </c>
      <c r="I2" s="225" t="s">
        <v>319</v>
      </c>
      <c r="J2" s="225" t="s">
        <v>260</v>
      </c>
      <c r="K2" s="225" t="s">
        <v>326</v>
      </c>
      <c r="L2" s="225" t="s">
        <v>262</v>
      </c>
      <c r="M2" s="225" t="s">
        <v>318</v>
      </c>
      <c r="N2" s="225" t="s">
        <v>319</v>
      </c>
      <c r="O2" s="225" t="s">
        <v>260</v>
      </c>
      <c r="P2" s="225" t="s">
        <v>326</v>
      </c>
      <c r="Q2" s="225" t="s">
        <v>262</v>
      </c>
    </row>
    <row r="3" spans="1:17">
      <c r="A3" s="351" t="s">
        <v>258</v>
      </c>
      <c r="B3" s="117" t="s">
        <v>259</v>
      </c>
      <c r="C3" s="248"/>
      <c r="D3" s="246"/>
      <c r="E3" s="246"/>
      <c r="F3" s="246"/>
      <c r="G3" s="306"/>
      <c r="H3" s="303">
        <v>32</v>
      </c>
      <c r="I3" s="304">
        <v>75.975672251464985</v>
      </c>
      <c r="J3" s="304">
        <v>40.9459299514115</v>
      </c>
      <c r="K3" s="304">
        <v>116.92160220287649</v>
      </c>
      <c r="L3" s="304">
        <v>35.029742300053485</v>
      </c>
      <c r="M3" s="135">
        <f>IFERROR(C3+H3,"")</f>
        <v>32</v>
      </c>
      <c r="N3" s="136">
        <f>IFERROR((C3*D3+H3*I3)/M3,"")</f>
        <v>75.975672251464985</v>
      </c>
      <c r="O3" s="136">
        <f>IFERROR((E3+J3)/2,"")</f>
        <v>20.47296497570575</v>
      </c>
      <c r="P3" s="136">
        <f>IFERROR(MAXA(F3,K3),"")</f>
        <v>116.92160220287649</v>
      </c>
      <c r="Q3" s="136">
        <f>IFERROR(MINA(G3,L3),"")</f>
        <v>35.029742300053485</v>
      </c>
    </row>
    <row r="4" spans="1:17">
      <c r="A4" s="351"/>
      <c r="B4" s="118" t="s">
        <v>331</v>
      </c>
      <c r="C4" s="248"/>
      <c r="D4" s="246"/>
      <c r="E4" s="246"/>
      <c r="F4" s="246"/>
      <c r="G4" s="307"/>
      <c r="H4" s="303">
        <v>16</v>
      </c>
      <c r="I4" s="304">
        <v>105.78329679833402</v>
      </c>
      <c r="J4" s="304">
        <v>61.273607926144095</v>
      </c>
      <c r="K4" s="304">
        <v>167.0569047244781</v>
      </c>
      <c r="L4" s="304">
        <v>44.509688872189926</v>
      </c>
      <c r="M4" s="135">
        <f t="shared" ref="M4:M43" si="0">IFERROR(C4+H4,"")</f>
        <v>16</v>
      </c>
      <c r="N4" s="136">
        <f t="shared" ref="N4:N43" si="1">IFERROR((C4*D4+H4*I4)/M4,"")</f>
        <v>105.78329679833402</v>
      </c>
      <c r="O4" s="136">
        <f t="shared" ref="O4:O43" si="2">IFERROR((E4+J4)/2,"")</f>
        <v>30.636803963072047</v>
      </c>
      <c r="P4" s="136">
        <f t="shared" ref="P4:P43" si="3">IFERROR(MAXA(F4,K4),"")</f>
        <v>167.0569047244781</v>
      </c>
      <c r="Q4" s="136">
        <f t="shared" ref="Q4:Q43" si="4">IFERROR(MINA(G4,L4),"")</f>
        <v>44.509688872189926</v>
      </c>
    </row>
    <row r="5" spans="1:17">
      <c r="A5" s="351"/>
      <c r="B5" s="118" t="s">
        <v>263</v>
      </c>
      <c r="C5" s="248"/>
      <c r="D5" s="246"/>
      <c r="E5" s="246"/>
      <c r="F5" s="246"/>
      <c r="G5" s="307"/>
      <c r="H5" s="303">
        <v>0</v>
      </c>
      <c r="I5" s="304" t="s">
        <v>87</v>
      </c>
      <c r="J5" s="304" t="s">
        <v>87</v>
      </c>
      <c r="K5" s="304" t="s">
        <v>87</v>
      </c>
      <c r="L5" s="304" t="s">
        <v>87</v>
      </c>
      <c r="M5" s="135">
        <f t="shared" si="0"/>
        <v>0</v>
      </c>
      <c r="N5" s="136" t="str">
        <f t="shared" si="1"/>
        <v/>
      </c>
      <c r="O5" s="136" t="str">
        <f t="shared" si="2"/>
        <v/>
      </c>
      <c r="P5" s="136">
        <f t="shared" si="3"/>
        <v>0</v>
      </c>
      <c r="Q5" s="136">
        <f t="shared" si="4"/>
        <v>0</v>
      </c>
    </row>
    <row r="6" spans="1:17">
      <c r="A6" s="351"/>
      <c r="B6" s="118" t="s">
        <v>257</v>
      </c>
      <c r="C6" s="248"/>
      <c r="D6" s="246"/>
      <c r="E6" s="246"/>
      <c r="F6" s="246"/>
      <c r="G6" s="307"/>
      <c r="H6" s="303">
        <v>0</v>
      </c>
      <c r="I6" s="304" t="s">
        <v>87</v>
      </c>
      <c r="J6" s="304" t="s">
        <v>87</v>
      </c>
      <c r="K6" s="304" t="s">
        <v>87</v>
      </c>
      <c r="L6" s="304" t="s">
        <v>87</v>
      </c>
      <c r="M6" s="135">
        <f t="shared" si="0"/>
        <v>0</v>
      </c>
      <c r="N6" s="136" t="str">
        <f t="shared" si="1"/>
        <v/>
      </c>
      <c r="O6" s="136" t="str">
        <f t="shared" si="2"/>
        <v/>
      </c>
      <c r="P6" s="136">
        <f t="shared" si="3"/>
        <v>0</v>
      </c>
      <c r="Q6" s="136">
        <f t="shared" si="4"/>
        <v>0</v>
      </c>
    </row>
    <row r="7" spans="1:17">
      <c r="A7" s="351"/>
      <c r="B7" s="118" t="s">
        <v>327</v>
      </c>
      <c r="C7" s="248"/>
      <c r="D7" s="246"/>
      <c r="E7" s="246"/>
      <c r="F7" s="246"/>
      <c r="G7" s="307"/>
      <c r="H7" s="303">
        <v>0</v>
      </c>
      <c r="I7" s="304" t="s">
        <v>87</v>
      </c>
      <c r="J7" s="304" t="s">
        <v>87</v>
      </c>
      <c r="K7" s="304" t="s">
        <v>87</v>
      </c>
      <c r="L7" s="304" t="s">
        <v>87</v>
      </c>
      <c r="M7" s="135">
        <f t="shared" si="0"/>
        <v>0</v>
      </c>
      <c r="N7" s="136" t="str">
        <f t="shared" si="1"/>
        <v/>
      </c>
      <c r="O7" s="136" t="str">
        <f t="shared" si="2"/>
        <v/>
      </c>
      <c r="P7" s="136">
        <f t="shared" si="3"/>
        <v>0</v>
      </c>
      <c r="Q7" s="136">
        <f t="shared" si="4"/>
        <v>0</v>
      </c>
    </row>
    <row r="8" spans="1:17">
      <c r="A8" s="351"/>
      <c r="B8" s="118" t="s">
        <v>264</v>
      </c>
      <c r="C8" s="248"/>
      <c r="D8" s="246"/>
      <c r="E8" s="246"/>
      <c r="F8" s="246"/>
      <c r="G8" s="307"/>
      <c r="H8" s="303">
        <v>12</v>
      </c>
      <c r="I8" s="304">
        <v>79.866526525172361</v>
      </c>
      <c r="J8" s="304">
        <v>75.449591319076305</v>
      </c>
      <c r="K8" s="304">
        <v>155.31611784424865</v>
      </c>
      <c r="L8" s="304">
        <v>4.4169352060960563</v>
      </c>
      <c r="M8" s="135">
        <f t="shared" si="0"/>
        <v>12</v>
      </c>
      <c r="N8" s="136">
        <f t="shared" si="1"/>
        <v>79.866526525172361</v>
      </c>
      <c r="O8" s="136">
        <f t="shared" si="2"/>
        <v>37.724795659538152</v>
      </c>
      <c r="P8" s="136">
        <f t="shared" si="3"/>
        <v>155.31611784424865</v>
      </c>
      <c r="Q8" s="136">
        <f t="shared" si="4"/>
        <v>4.4169352060960563</v>
      </c>
    </row>
    <row r="9" spans="1:17">
      <c r="A9" s="351"/>
      <c r="B9" s="118" t="s">
        <v>265</v>
      </c>
      <c r="C9" s="248"/>
      <c r="D9" s="246"/>
      <c r="E9" s="246"/>
      <c r="F9" s="246"/>
      <c r="G9" s="307"/>
      <c r="H9" s="303">
        <v>0</v>
      </c>
      <c r="I9" s="304" t="s">
        <v>87</v>
      </c>
      <c r="J9" s="304" t="s">
        <v>87</v>
      </c>
      <c r="K9" s="304" t="s">
        <v>87</v>
      </c>
      <c r="L9" s="304" t="s">
        <v>87</v>
      </c>
      <c r="M9" s="135">
        <f t="shared" si="0"/>
        <v>0</v>
      </c>
      <c r="N9" s="136" t="str">
        <f t="shared" si="1"/>
        <v/>
      </c>
      <c r="O9" s="136" t="str">
        <f t="shared" si="2"/>
        <v/>
      </c>
      <c r="P9" s="136">
        <f t="shared" si="3"/>
        <v>0</v>
      </c>
      <c r="Q9" s="136">
        <f t="shared" si="4"/>
        <v>0</v>
      </c>
    </row>
    <row r="10" spans="1:17">
      <c r="A10" s="351"/>
      <c r="B10" s="118" t="s">
        <v>266</v>
      </c>
      <c r="C10" s="248"/>
      <c r="D10" s="246"/>
      <c r="E10" s="246"/>
      <c r="F10" s="246"/>
      <c r="G10" s="307"/>
      <c r="H10" s="303">
        <v>0</v>
      </c>
      <c r="I10" s="304" t="s">
        <v>87</v>
      </c>
      <c r="J10" s="304" t="s">
        <v>87</v>
      </c>
      <c r="K10" s="304" t="s">
        <v>87</v>
      </c>
      <c r="L10" s="304" t="s">
        <v>87</v>
      </c>
      <c r="M10" s="135">
        <f t="shared" si="0"/>
        <v>0</v>
      </c>
      <c r="N10" s="136" t="str">
        <f t="shared" si="1"/>
        <v/>
      </c>
      <c r="O10" s="136" t="str">
        <f t="shared" si="2"/>
        <v/>
      </c>
      <c r="P10" s="136">
        <f t="shared" si="3"/>
        <v>0</v>
      </c>
      <c r="Q10" s="136">
        <f t="shared" si="4"/>
        <v>0</v>
      </c>
    </row>
    <row r="11" spans="1:17">
      <c r="A11" s="351"/>
      <c r="B11" s="118" t="s">
        <v>267</v>
      </c>
      <c r="C11" s="248"/>
      <c r="D11" s="247"/>
      <c r="E11" s="247"/>
      <c r="F11" s="247"/>
      <c r="G11" s="307"/>
      <c r="H11" s="303">
        <v>0</v>
      </c>
      <c r="I11" s="247" t="s">
        <v>87</v>
      </c>
      <c r="J11" s="247" t="s">
        <v>87</v>
      </c>
      <c r="K11" s="247" t="s">
        <v>87</v>
      </c>
      <c r="L11" s="247" t="s">
        <v>87</v>
      </c>
      <c r="M11" s="135">
        <f t="shared" si="0"/>
        <v>0</v>
      </c>
      <c r="N11" s="247" t="str">
        <f t="shared" si="1"/>
        <v/>
      </c>
      <c r="O11" s="247" t="str">
        <f t="shared" si="2"/>
        <v/>
      </c>
      <c r="P11" s="247">
        <f t="shared" si="3"/>
        <v>0</v>
      </c>
      <c r="Q11" s="247">
        <f t="shared" si="4"/>
        <v>0</v>
      </c>
    </row>
    <row r="12" spans="1:17">
      <c r="A12" s="351"/>
      <c r="B12" s="118" t="s">
        <v>352</v>
      </c>
      <c r="C12" s="248"/>
      <c r="D12" s="247"/>
      <c r="E12" s="247"/>
      <c r="F12" s="247"/>
      <c r="G12" s="307"/>
      <c r="H12" s="303">
        <v>0</v>
      </c>
      <c r="I12" s="247" t="s">
        <v>87</v>
      </c>
      <c r="J12" s="247" t="s">
        <v>87</v>
      </c>
      <c r="K12" s="247" t="s">
        <v>87</v>
      </c>
      <c r="L12" s="247" t="s">
        <v>87</v>
      </c>
      <c r="M12" s="135">
        <f t="shared" si="0"/>
        <v>0</v>
      </c>
      <c r="N12" s="247" t="str">
        <f t="shared" si="1"/>
        <v/>
      </c>
      <c r="O12" s="247" t="str">
        <f t="shared" si="2"/>
        <v/>
      </c>
      <c r="P12" s="247">
        <f t="shared" si="3"/>
        <v>0</v>
      </c>
      <c r="Q12" s="247">
        <f t="shared" si="4"/>
        <v>0</v>
      </c>
    </row>
    <row r="13" spans="1:17">
      <c r="A13" s="351"/>
      <c r="B13" s="118" t="s">
        <v>268</v>
      </c>
      <c r="C13" s="248"/>
      <c r="D13" s="247"/>
      <c r="E13" s="247"/>
      <c r="F13" s="247"/>
      <c r="G13" s="307"/>
      <c r="H13" s="303">
        <v>0</v>
      </c>
      <c r="I13" s="247" t="s">
        <v>87</v>
      </c>
      <c r="J13" s="247" t="s">
        <v>87</v>
      </c>
      <c r="K13" s="247" t="s">
        <v>87</v>
      </c>
      <c r="L13" s="247" t="s">
        <v>87</v>
      </c>
      <c r="M13" s="135">
        <f t="shared" si="0"/>
        <v>0</v>
      </c>
      <c r="N13" s="247" t="str">
        <f t="shared" si="1"/>
        <v/>
      </c>
      <c r="O13" s="247" t="str">
        <f t="shared" si="2"/>
        <v/>
      </c>
      <c r="P13" s="247">
        <f t="shared" si="3"/>
        <v>0</v>
      </c>
      <c r="Q13" s="247">
        <f t="shared" si="4"/>
        <v>0</v>
      </c>
    </row>
    <row r="14" spans="1:17">
      <c r="A14" s="378" t="s">
        <v>269</v>
      </c>
      <c r="B14" s="118" t="s">
        <v>270</v>
      </c>
      <c r="C14" s="248"/>
      <c r="D14" s="247"/>
      <c r="E14" s="247"/>
      <c r="F14" s="247"/>
      <c r="G14" s="307"/>
      <c r="H14" s="303">
        <v>0</v>
      </c>
      <c r="I14" s="247" t="s">
        <v>87</v>
      </c>
      <c r="J14" s="247" t="s">
        <v>87</v>
      </c>
      <c r="K14" s="247" t="s">
        <v>87</v>
      </c>
      <c r="L14" s="247" t="s">
        <v>87</v>
      </c>
      <c r="M14" s="135">
        <f t="shared" si="0"/>
        <v>0</v>
      </c>
      <c r="N14" s="247" t="str">
        <f t="shared" si="1"/>
        <v/>
      </c>
      <c r="O14" s="247" t="str">
        <f t="shared" si="2"/>
        <v/>
      </c>
      <c r="P14" s="247">
        <f t="shared" si="3"/>
        <v>0</v>
      </c>
      <c r="Q14" s="247">
        <f t="shared" si="4"/>
        <v>0</v>
      </c>
    </row>
    <row r="15" spans="1:17">
      <c r="A15" s="378"/>
      <c r="B15" s="118" t="s">
        <v>271</v>
      </c>
      <c r="C15" s="248"/>
      <c r="D15" s="246"/>
      <c r="E15" s="246"/>
      <c r="F15" s="246"/>
      <c r="G15" s="307"/>
      <c r="H15" s="303">
        <v>0</v>
      </c>
      <c r="I15" s="304" t="s">
        <v>87</v>
      </c>
      <c r="J15" s="304" t="s">
        <v>87</v>
      </c>
      <c r="K15" s="304" t="s">
        <v>87</v>
      </c>
      <c r="L15" s="304" t="s">
        <v>87</v>
      </c>
      <c r="M15" s="135">
        <f t="shared" si="0"/>
        <v>0</v>
      </c>
      <c r="N15" s="136" t="str">
        <f t="shared" si="1"/>
        <v/>
      </c>
      <c r="O15" s="136" t="str">
        <f t="shared" si="2"/>
        <v/>
      </c>
      <c r="P15" s="136">
        <f t="shared" si="3"/>
        <v>0</v>
      </c>
      <c r="Q15" s="136">
        <f t="shared" si="4"/>
        <v>0</v>
      </c>
    </row>
    <row r="16" spans="1:17">
      <c r="A16" s="378"/>
      <c r="B16" s="118" t="s">
        <v>272</v>
      </c>
      <c r="C16" s="248"/>
      <c r="D16" s="246"/>
      <c r="E16" s="246"/>
      <c r="F16" s="246"/>
      <c r="G16" s="307"/>
      <c r="H16" s="303">
        <v>0</v>
      </c>
      <c r="I16" s="304" t="s">
        <v>87</v>
      </c>
      <c r="J16" s="304" t="s">
        <v>87</v>
      </c>
      <c r="K16" s="304" t="s">
        <v>87</v>
      </c>
      <c r="L16" s="304" t="s">
        <v>87</v>
      </c>
      <c r="M16" s="135">
        <f t="shared" si="0"/>
        <v>0</v>
      </c>
      <c r="N16" s="136" t="str">
        <f t="shared" si="1"/>
        <v/>
      </c>
      <c r="O16" s="136" t="str">
        <f t="shared" si="2"/>
        <v/>
      </c>
      <c r="P16" s="136">
        <f t="shared" si="3"/>
        <v>0</v>
      </c>
      <c r="Q16" s="136">
        <f t="shared" si="4"/>
        <v>0</v>
      </c>
    </row>
    <row r="17" spans="1:17">
      <c r="A17" s="378" t="s">
        <v>273</v>
      </c>
      <c r="B17" s="118" t="s">
        <v>306</v>
      </c>
      <c r="C17" s="248"/>
      <c r="D17" s="246"/>
      <c r="E17" s="246"/>
      <c r="F17" s="246"/>
      <c r="G17" s="307"/>
      <c r="H17" s="303">
        <v>16</v>
      </c>
      <c r="I17" s="304">
        <v>3.1453974427101818</v>
      </c>
      <c r="J17" s="304">
        <v>4.9131818693784908</v>
      </c>
      <c r="K17" s="304">
        <v>8.0585793120886731</v>
      </c>
      <c r="L17" s="304">
        <v>0</v>
      </c>
      <c r="M17" s="135">
        <f t="shared" si="0"/>
        <v>16</v>
      </c>
      <c r="N17" s="136">
        <f t="shared" si="1"/>
        <v>3.1453974427101818</v>
      </c>
      <c r="O17" s="136">
        <f t="shared" si="2"/>
        <v>2.4565909346892454</v>
      </c>
      <c r="P17" s="136">
        <f t="shared" si="3"/>
        <v>8.0585793120886731</v>
      </c>
      <c r="Q17" s="136">
        <f t="shared" si="4"/>
        <v>0</v>
      </c>
    </row>
    <row r="18" spans="1:17">
      <c r="A18" s="378"/>
      <c r="B18" s="118" t="s">
        <v>274</v>
      </c>
      <c r="C18" s="248"/>
      <c r="D18" s="246"/>
      <c r="E18" s="246"/>
      <c r="F18" s="246"/>
      <c r="G18" s="307"/>
      <c r="H18" s="303">
        <v>0</v>
      </c>
      <c r="I18" s="304" t="s">
        <v>87</v>
      </c>
      <c r="J18" s="304" t="s">
        <v>87</v>
      </c>
      <c r="K18" s="304" t="s">
        <v>87</v>
      </c>
      <c r="L18" s="304" t="s">
        <v>87</v>
      </c>
      <c r="M18" s="135">
        <f t="shared" si="0"/>
        <v>0</v>
      </c>
      <c r="N18" s="136" t="str">
        <f t="shared" si="1"/>
        <v/>
      </c>
      <c r="O18" s="136" t="str">
        <f t="shared" si="2"/>
        <v/>
      </c>
      <c r="P18" s="136">
        <f t="shared" si="3"/>
        <v>0</v>
      </c>
      <c r="Q18" s="136">
        <f t="shared" si="4"/>
        <v>0</v>
      </c>
    </row>
    <row r="19" spans="1:17">
      <c r="A19" s="378"/>
      <c r="B19" s="118" t="s">
        <v>275</v>
      </c>
      <c r="C19" s="248"/>
      <c r="D19" s="246"/>
      <c r="E19" s="246"/>
      <c r="F19" s="246"/>
      <c r="G19" s="307"/>
      <c r="H19" s="303">
        <v>0</v>
      </c>
      <c r="I19" s="304" t="s">
        <v>87</v>
      </c>
      <c r="J19" s="304" t="s">
        <v>87</v>
      </c>
      <c r="K19" s="304" t="s">
        <v>87</v>
      </c>
      <c r="L19" s="304" t="s">
        <v>87</v>
      </c>
      <c r="M19" s="135">
        <f t="shared" si="0"/>
        <v>0</v>
      </c>
      <c r="N19" s="136" t="str">
        <f t="shared" si="1"/>
        <v/>
      </c>
      <c r="O19" s="136" t="str">
        <f t="shared" si="2"/>
        <v/>
      </c>
      <c r="P19" s="136">
        <f t="shared" si="3"/>
        <v>0</v>
      </c>
      <c r="Q19" s="136">
        <f t="shared" si="4"/>
        <v>0</v>
      </c>
    </row>
    <row r="20" spans="1:17">
      <c r="A20" s="378"/>
      <c r="B20" s="118" t="s">
        <v>276</v>
      </c>
      <c r="C20" s="248"/>
      <c r="D20" s="246"/>
      <c r="E20" s="246"/>
      <c r="F20" s="246"/>
      <c r="G20" s="307"/>
      <c r="H20" s="303">
        <v>0</v>
      </c>
      <c r="I20" s="304" t="s">
        <v>87</v>
      </c>
      <c r="J20" s="304" t="s">
        <v>87</v>
      </c>
      <c r="K20" s="304" t="s">
        <v>87</v>
      </c>
      <c r="L20" s="304" t="s">
        <v>87</v>
      </c>
      <c r="M20" s="135">
        <f t="shared" si="0"/>
        <v>0</v>
      </c>
      <c r="N20" s="136" t="str">
        <f t="shared" si="1"/>
        <v/>
      </c>
      <c r="O20" s="136" t="str">
        <f t="shared" si="2"/>
        <v/>
      </c>
      <c r="P20" s="136">
        <f t="shared" si="3"/>
        <v>0</v>
      </c>
      <c r="Q20" s="136">
        <f t="shared" si="4"/>
        <v>0</v>
      </c>
    </row>
    <row r="21" spans="1:17">
      <c r="A21" s="378" t="s">
        <v>277</v>
      </c>
      <c r="B21" s="118" t="s">
        <v>278</v>
      </c>
      <c r="C21" s="248"/>
      <c r="D21" s="246"/>
      <c r="E21" s="246"/>
      <c r="F21" s="246"/>
      <c r="G21" s="307"/>
      <c r="H21" s="303">
        <v>0</v>
      </c>
      <c r="I21" s="304" t="s">
        <v>87</v>
      </c>
      <c r="J21" s="304" t="s">
        <v>87</v>
      </c>
      <c r="K21" s="304" t="s">
        <v>87</v>
      </c>
      <c r="L21" s="304" t="s">
        <v>87</v>
      </c>
      <c r="M21" s="135">
        <f t="shared" si="0"/>
        <v>0</v>
      </c>
      <c r="N21" s="136" t="str">
        <f t="shared" si="1"/>
        <v/>
      </c>
      <c r="O21" s="136" t="str">
        <f t="shared" si="2"/>
        <v/>
      </c>
      <c r="P21" s="136">
        <f t="shared" si="3"/>
        <v>0</v>
      </c>
      <c r="Q21" s="136">
        <f t="shared" si="4"/>
        <v>0</v>
      </c>
    </row>
    <row r="22" spans="1:17">
      <c r="A22" s="378"/>
      <c r="B22" s="118" t="s">
        <v>279</v>
      </c>
      <c r="C22" s="248"/>
      <c r="D22" s="246"/>
      <c r="E22" s="246"/>
      <c r="F22" s="246"/>
      <c r="G22" s="307"/>
      <c r="H22" s="303">
        <v>0</v>
      </c>
      <c r="I22" s="304" t="s">
        <v>87</v>
      </c>
      <c r="J22" s="304" t="s">
        <v>87</v>
      </c>
      <c r="K22" s="304" t="s">
        <v>87</v>
      </c>
      <c r="L22" s="304" t="s">
        <v>87</v>
      </c>
      <c r="M22" s="135">
        <f t="shared" si="0"/>
        <v>0</v>
      </c>
      <c r="N22" s="136" t="str">
        <f t="shared" si="1"/>
        <v/>
      </c>
      <c r="O22" s="136" t="str">
        <f t="shared" si="2"/>
        <v/>
      </c>
      <c r="P22" s="136">
        <f t="shared" si="3"/>
        <v>0</v>
      </c>
      <c r="Q22" s="136">
        <f t="shared" si="4"/>
        <v>0</v>
      </c>
    </row>
    <row r="23" spans="1:17">
      <c r="A23" s="378"/>
      <c r="B23" s="118" t="s">
        <v>280</v>
      </c>
      <c r="C23" s="248"/>
      <c r="D23" s="246"/>
      <c r="E23" s="246"/>
      <c r="F23" s="246"/>
      <c r="G23" s="307"/>
      <c r="H23" s="303">
        <v>0</v>
      </c>
      <c r="I23" s="304" t="s">
        <v>87</v>
      </c>
      <c r="J23" s="304" t="s">
        <v>87</v>
      </c>
      <c r="K23" s="304" t="s">
        <v>87</v>
      </c>
      <c r="L23" s="304" t="s">
        <v>87</v>
      </c>
      <c r="M23" s="135">
        <f t="shared" si="0"/>
        <v>0</v>
      </c>
      <c r="N23" s="136" t="str">
        <f t="shared" si="1"/>
        <v/>
      </c>
      <c r="O23" s="136" t="str">
        <f t="shared" si="2"/>
        <v/>
      </c>
      <c r="P23" s="136">
        <f t="shared" si="3"/>
        <v>0</v>
      </c>
      <c r="Q23" s="136">
        <f t="shared" si="4"/>
        <v>0</v>
      </c>
    </row>
    <row r="24" spans="1:17">
      <c r="A24" s="378"/>
      <c r="B24" s="118" t="s">
        <v>281</v>
      </c>
      <c r="C24" s="248"/>
      <c r="D24" s="247"/>
      <c r="E24" s="247"/>
      <c r="F24" s="247"/>
      <c r="G24" s="307"/>
      <c r="H24" s="303">
        <v>0</v>
      </c>
      <c r="I24" s="247" t="s">
        <v>87</v>
      </c>
      <c r="J24" s="247" t="s">
        <v>87</v>
      </c>
      <c r="K24" s="247" t="s">
        <v>87</v>
      </c>
      <c r="L24" s="247" t="s">
        <v>87</v>
      </c>
      <c r="M24" s="135">
        <f t="shared" si="0"/>
        <v>0</v>
      </c>
      <c r="N24" s="247" t="str">
        <f t="shared" si="1"/>
        <v/>
      </c>
      <c r="O24" s="247" t="str">
        <f t="shared" si="2"/>
        <v/>
      </c>
      <c r="P24" s="247">
        <f t="shared" si="3"/>
        <v>0</v>
      </c>
      <c r="Q24" s="247">
        <f t="shared" si="4"/>
        <v>0</v>
      </c>
    </row>
    <row r="25" spans="1:17">
      <c r="A25" s="378"/>
      <c r="B25" s="118" t="s">
        <v>282</v>
      </c>
      <c r="C25" s="248"/>
      <c r="D25" s="246"/>
      <c r="E25" s="246"/>
      <c r="F25" s="246"/>
      <c r="G25" s="307"/>
      <c r="H25" s="303">
        <v>0</v>
      </c>
      <c r="I25" s="304" t="s">
        <v>87</v>
      </c>
      <c r="J25" s="304" t="s">
        <v>87</v>
      </c>
      <c r="K25" s="304" t="s">
        <v>87</v>
      </c>
      <c r="L25" s="304" t="s">
        <v>87</v>
      </c>
      <c r="M25" s="135">
        <f t="shared" si="0"/>
        <v>0</v>
      </c>
      <c r="N25" s="136" t="str">
        <f t="shared" si="1"/>
        <v/>
      </c>
      <c r="O25" s="136" t="str">
        <f t="shared" si="2"/>
        <v/>
      </c>
      <c r="P25" s="136">
        <f t="shared" si="3"/>
        <v>0</v>
      </c>
      <c r="Q25" s="136">
        <f t="shared" si="4"/>
        <v>0</v>
      </c>
    </row>
    <row r="26" spans="1:17">
      <c r="A26" s="224" t="s">
        <v>283</v>
      </c>
      <c r="B26" s="118" t="s">
        <v>284</v>
      </c>
      <c r="C26" s="248"/>
      <c r="D26" s="246"/>
      <c r="E26" s="246"/>
      <c r="F26" s="246"/>
      <c r="G26" s="307"/>
      <c r="H26" s="303">
        <v>0</v>
      </c>
      <c r="I26" s="304" t="s">
        <v>87</v>
      </c>
      <c r="J26" s="304" t="s">
        <v>87</v>
      </c>
      <c r="K26" s="304" t="s">
        <v>87</v>
      </c>
      <c r="L26" s="304" t="s">
        <v>87</v>
      </c>
      <c r="M26" s="135">
        <f t="shared" si="0"/>
        <v>0</v>
      </c>
      <c r="N26" s="136" t="str">
        <f t="shared" si="1"/>
        <v/>
      </c>
      <c r="O26" s="136" t="str">
        <f t="shared" si="2"/>
        <v/>
      </c>
      <c r="P26" s="136">
        <f t="shared" si="3"/>
        <v>0</v>
      </c>
      <c r="Q26" s="136">
        <f t="shared" si="4"/>
        <v>0</v>
      </c>
    </row>
    <row r="27" spans="1:17">
      <c r="A27" s="378" t="s">
        <v>285</v>
      </c>
      <c r="B27" s="118" t="s">
        <v>286</v>
      </c>
      <c r="C27" s="248"/>
      <c r="D27" s="246"/>
      <c r="E27" s="246"/>
      <c r="F27" s="246"/>
      <c r="G27" s="307"/>
      <c r="H27" s="303">
        <v>0</v>
      </c>
      <c r="I27" s="304" t="s">
        <v>87</v>
      </c>
      <c r="J27" s="304" t="s">
        <v>87</v>
      </c>
      <c r="K27" s="304" t="s">
        <v>87</v>
      </c>
      <c r="L27" s="304" t="s">
        <v>87</v>
      </c>
      <c r="M27" s="135">
        <f t="shared" si="0"/>
        <v>0</v>
      </c>
      <c r="N27" s="136" t="str">
        <f t="shared" si="1"/>
        <v/>
      </c>
      <c r="O27" s="136" t="str">
        <f t="shared" si="2"/>
        <v/>
      </c>
      <c r="P27" s="136">
        <f t="shared" si="3"/>
        <v>0</v>
      </c>
      <c r="Q27" s="136">
        <f t="shared" si="4"/>
        <v>0</v>
      </c>
    </row>
    <row r="28" spans="1:17">
      <c r="A28" s="378"/>
      <c r="B28" s="118" t="s">
        <v>287</v>
      </c>
      <c r="C28" s="248"/>
      <c r="D28" s="246"/>
      <c r="E28" s="246"/>
      <c r="F28" s="246"/>
      <c r="G28" s="307"/>
      <c r="H28" s="303">
        <v>0</v>
      </c>
      <c r="I28" s="304" t="s">
        <v>87</v>
      </c>
      <c r="J28" s="304" t="s">
        <v>87</v>
      </c>
      <c r="K28" s="304" t="s">
        <v>87</v>
      </c>
      <c r="L28" s="304" t="s">
        <v>87</v>
      </c>
      <c r="M28" s="135">
        <f t="shared" si="0"/>
        <v>0</v>
      </c>
      <c r="N28" s="136" t="str">
        <f t="shared" si="1"/>
        <v/>
      </c>
      <c r="O28" s="136" t="str">
        <f t="shared" si="2"/>
        <v/>
      </c>
      <c r="P28" s="136">
        <f t="shared" si="3"/>
        <v>0</v>
      </c>
      <c r="Q28" s="136">
        <f t="shared" si="4"/>
        <v>0</v>
      </c>
    </row>
    <row r="29" spans="1:17">
      <c r="A29" s="378" t="s">
        <v>288</v>
      </c>
      <c r="B29" s="118" t="s">
        <v>289</v>
      </c>
      <c r="C29" s="248"/>
      <c r="D29" s="246"/>
      <c r="E29" s="246"/>
      <c r="F29" s="246"/>
      <c r="G29" s="307"/>
      <c r="H29" s="303">
        <v>0</v>
      </c>
      <c r="I29" s="304" t="s">
        <v>87</v>
      </c>
      <c r="J29" s="304" t="s">
        <v>87</v>
      </c>
      <c r="K29" s="304" t="s">
        <v>87</v>
      </c>
      <c r="L29" s="304" t="s">
        <v>87</v>
      </c>
      <c r="M29" s="135">
        <f t="shared" si="0"/>
        <v>0</v>
      </c>
      <c r="N29" s="136" t="str">
        <f t="shared" si="1"/>
        <v/>
      </c>
      <c r="O29" s="136" t="str">
        <f t="shared" si="2"/>
        <v/>
      </c>
      <c r="P29" s="136">
        <f t="shared" si="3"/>
        <v>0</v>
      </c>
      <c r="Q29" s="136">
        <f t="shared" si="4"/>
        <v>0</v>
      </c>
    </row>
    <row r="30" spans="1:17">
      <c r="A30" s="378"/>
      <c r="B30" s="118" t="s">
        <v>290</v>
      </c>
      <c r="C30" s="248"/>
      <c r="D30" s="246"/>
      <c r="E30" s="246"/>
      <c r="F30" s="246"/>
      <c r="G30" s="307"/>
      <c r="H30" s="303">
        <v>0</v>
      </c>
      <c r="I30" s="304" t="s">
        <v>87</v>
      </c>
      <c r="J30" s="304" t="s">
        <v>87</v>
      </c>
      <c r="K30" s="304" t="s">
        <v>87</v>
      </c>
      <c r="L30" s="304" t="s">
        <v>87</v>
      </c>
      <c r="M30" s="135">
        <f t="shared" si="0"/>
        <v>0</v>
      </c>
      <c r="N30" s="136" t="str">
        <f t="shared" si="1"/>
        <v/>
      </c>
      <c r="O30" s="136" t="str">
        <f t="shared" si="2"/>
        <v/>
      </c>
      <c r="P30" s="136">
        <f t="shared" si="3"/>
        <v>0</v>
      </c>
      <c r="Q30" s="136">
        <f t="shared" si="4"/>
        <v>0</v>
      </c>
    </row>
    <row r="31" spans="1:17">
      <c r="A31" s="380" t="s">
        <v>291</v>
      </c>
      <c r="B31" s="118" t="s">
        <v>292</v>
      </c>
      <c r="C31" s="248"/>
      <c r="D31" s="247"/>
      <c r="E31" s="247"/>
      <c r="F31" s="247"/>
      <c r="G31" s="307"/>
      <c r="H31" s="303">
        <v>0</v>
      </c>
      <c r="I31" s="247" t="s">
        <v>87</v>
      </c>
      <c r="J31" s="247" t="s">
        <v>87</v>
      </c>
      <c r="K31" s="247" t="s">
        <v>87</v>
      </c>
      <c r="L31" s="247" t="s">
        <v>87</v>
      </c>
      <c r="M31" s="135">
        <f t="shared" si="0"/>
        <v>0</v>
      </c>
      <c r="N31" s="247" t="str">
        <f t="shared" si="1"/>
        <v/>
      </c>
      <c r="O31" s="247" t="str">
        <f t="shared" si="2"/>
        <v/>
      </c>
      <c r="P31" s="247">
        <f t="shared" si="3"/>
        <v>0</v>
      </c>
      <c r="Q31" s="247">
        <f t="shared" si="4"/>
        <v>0</v>
      </c>
    </row>
    <row r="32" spans="1:17">
      <c r="A32" s="381"/>
      <c r="B32" s="118" t="s">
        <v>293</v>
      </c>
      <c r="C32" s="248"/>
      <c r="D32" s="246"/>
      <c r="E32" s="246"/>
      <c r="F32" s="246"/>
      <c r="G32" s="307"/>
      <c r="H32" s="303">
        <v>0</v>
      </c>
      <c r="I32" s="304" t="s">
        <v>87</v>
      </c>
      <c r="J32" s="304" t="s">
        <v>87</v>
      </c>
      <c r="K32" s="304" t="s">
        <v>87</v>
      </c>
      <c r="L32" s="304" t="s">
        <v>87</v>
      </c>
      <c r="M32" s="135">
        <f t="shared" si="0"/>
        <v>0</v>
      </c>
      <c r="N32" s="136" t="str">
        <f t="shared" si="1"/>
        <v/>
      </c>
      <c r="O32" s="136" t="str">
        <f t="shared" si="2"/>
        <v/>
      </c>
      <c r="P32" s="136">
        <f t="shared" si="3"/>
        <v>0</v>
      </c>
      <c r="Q32" s="136">
        <f t="shared" si="4"/>
        <v>0</v>
      </c>
    </row>
    <row r="33" spans="1:17">
      <c r="A33" s="381"/>
      <c r="B33" s="118" t="s">
        <v>294</v>
      </c>
      <c r="C33" s="248"/>
      <c r="D33" s="246"/>
      <c r="E33" s="246"/>
      <c r="F33" s="246"/>
      <c r="G33" s="307"/>
      <c r="H33" s="303">
        <v>0</v>
      </c>
      <c r="I33" s="304" t="s">
        <v>87</v>
      </c>
      <c r="J33" s="304" t="s">
        <v>87</v>
      </c>
      <c r="K33" s="304" t="s">
        <v>87</v>
      </c>
      <c r="L33" s="304" t="s">
        <v>87</v>
      </c>
      <c r="M33" s="135">
        <f t="shared" si="0"/>
        <v>0</v>
      </c>
      <c r="N33" s="136" t="str">
        <f t="shared" si="1"/>
        <v/>
      </c>
      <c r="O33" s="136" t="str">
        <f t="shared" si="2"/>
        <v/>
      </c>
      <c r="P33" s="136">
        <f t="shared" si="3"/>
        <v>0</v>
      </c>
      <c r="Q33" s="136">
        <f t="shared" si="4"/>
        <v>0</v>
      </c>
    </row>
    <row r="34" spans="1:17">
      <c r="A34" s="381"/>
      <c r="B34" s="118" t="s">
        <v>295</v>
      </c>
      <c r="C34" s="248"/>
      <c r="D34" s="246"/>
      <c r="E34" s="246"/>
      <c r="F34" s="246"/>
      <c r="G34" s="307"/>
      <c r="H34" s="303">
        <v>0</v>
      </c>
      <c r="I34" s="304" t="s">
        <v>87</v>
      </c>
      <c r="J34" s="304" t="s">
        <v>87</v>
      </c>
      <c r="K34" s="304" t="s">
        <v>87</v>
      </c>
      <c r="L34" s="304" t="s">
        <v>87</v>
      </c>
      <c r="M34" s="135">
        <f t="shared" si="0"/>
        <v>0</v>
      </c>
      <c r="N34" s="136" t="str">
        <f t="shared" si="1"/>
        <v/>
      </c>
      <c r="O34" s="136" t="str">
        <f t="shared" si="2"/>
        <v/>
      </c>
      <c r="P34" s="136">
        <f t="shared" si="3"/>
        <v>0</v>
      </c>
      <c r="Q34" s="136">
        <f t="shared" si="4"/>
        <v>0</v>
      </c>
    </row>
    <row r="35" spans="1:17">
      <c r="A35" s="382"/>
      <c r="B35" s="118" t="s">
        <v>296</v>
      </c>
      <c r="C35" s="248"/>
      <c r="D35" s="246"/>
      <c r="E35" s="246"/>
      <c r="F35" s="246"/>
      <c r="G35" s="307"/>
      <c r="H35" s="303">
        <v>0</v>
      </c>
      <c r="I35" s="304" t="s">
        <v>87</v>
      </c>
      <c r="J35" s="304" t="s">
        <v>87</v>
      </c>
      <c r="K35" s="304" t="s">
        <v>87</v>
      </c>
      <c r="L35" s="304" t="s">
        <v>87</v>
      </c>
      <c r="M35" s="135">
        <f t="shared" si="0"/>
        <v>0</v>
      </c>
      <c r="N35" s="136" t="str">
        <f t="shared" si="1"/>
        <v/>
      </c>
      <c r="O35" s="136" t="str">
        <f t="shared" si="2"/>
        <v/>
      </c>
      <c r="P35" s="136">
        <f t="shared" si="3"/>
        <v>0</v>
      </c>
      <c r="Q35" s="136">
        <f t="shared" si="4"/>
        <v>0</v>
      </c>
    </row>
    <row r="36" spans="1:17">
      <c r="A36" s="382"/>
      <c r="B36" s="118" t="s">
        <v>297</v>
      </c>
      <c r="C36" s="248"/>
      <c r="D36" s="246"/>
      <c r="E36" s="246"/>
      <c r="F36" s="246"/>
      <c r="G36" s="307"/>
      <c r="H36" s="303">
        <v>0</v>
      </c>
      <c r="I36" s="304" t="s">
        <v>87</v>
      </c>
      <c r="J36" s="304" t="s">
        <v>87</v>
      </c>
      <c r="K36" s="304" t="s">
        <v>87</v>
      </c>
      <c r="L36" s="304" t="s">
        <v>87</v>
      </c>
      <c r="M36" s="135">
        <f t="shared" si="0"/>
        <v>0</v>
      </c>
      <c r="N36" s="136" t="str">
        <f t="shared" si="1"/>
        <v/>
      </c>
      <c r="O36" s="136" t="str">
        <f t="shared" si="2"/>
        <v/>
      </c>
      <c r="P36" s="136">
        <f t="shared" si="3"/>
        <v>0</v>
      </c>
      <c r="Q36" s="136">
        <f t="shared" si="4"/>
        <v>0</v>
      </c>
    </row>
    <row r="37" spans="1:17">
      <c r="A37" s="383"/>
      <c r="B37" s="118" t="s">
        <v>298</v>
      </c>
      <c r="C37" s="248"/>
      <c r="D37" s="246"/>
      <c r="E37" s="246"/>
      <c r="F37" s="246"/>
      <c r="G37" s="307"/>
      <c r="H37" s="303">
        <v>0</v>
      </c>
      <c r="I37" s="304" t="s">
        <v>87</v>
      </c>
      <c r="J37" s="304" t="s">
        <v>87</v>
      </c>
      <c r="K37" s="304" t="s">
        <v>87</v>
      </c>
      <c r="L37" s="304" t="s">
        <v>87</v>
      </c>
      <c r="M37" s="135">
        <f t="shared" si="0"/>
        <v>0</v>
      </c>
      <c r="N37" s="136" t="str">
        <f t="shared" si="1"/>
        <v/>
      </c>
      <c r="O37" s="136" t="str">
        <f t="shared" si="2"/>
        <v/>
      </c>
      <c r="P37" s="136">
        <f t="shared" si="3"/>
        <v>0</v>
      </c>
      <c r="Q37" s="136">
        <f t="shared" si="4"/>
        <v>0</v>
      </c>
    </row>
    <row r="38" spans="1:17">
      <c r="A38" s="364" t="s">
        <v>299</v>
      </c>
      <c r="B38" s="118" t="s">
        <v>300</v>
      </c>
      <c r="C38" s="248"/>
      <c r="D38" s="246"/>
      <c r="E38" s="246"/>
      <c r="F38" s="246"/>
      <c r="G38" s="307"/>
      <c r="H38" s="303">
        <v>0</v>
      </c>
      <c r="I38" s="304" t="s">
        <v>87</v>
      </c>
      <c r="J38" s="304" t="s">
        <v>87</v>
      </c>
      <c r="K38" s="304" t="s">
        <v>87</v>
      </c>
      <c r="L38" s="304" t="s">
        <v>87</v>
      </c>
      <c r="M38" s="135">
        <f t="shared" si="0"/>
        <v>0</v>
      </c>
      <c r="N38" s="136" t="str">
        <f t="shared" si="1"/>
        <v/>
      </c>
      <c r="O38" s="136" t="str">
        <f t="shared" si="2"/>
        <v/>
      </c>
      <c r="P38" s="136">
        <f t="shared" si="3"/>
        <v>0</v>
      </c>
      <c r="Q38" s="136">
        <f t="shared" si="4"/>
        <v>0</v>
      </c>
    </row>
    <row r="39" spans="1:17">
      <c r="A39" s="364"/>
      <c r="B39" s="118" t="s">
        <v>301</v>
      </c>
      <c r="C39" s="248"/>
      <c r="D39" s="246"/>
      <c r="E39" s="246"/>
      <c r="F39" s="246"/>
      <c r="G39" s="307"/>
      <c r="H39" s="303">
        <v>0</v>
      </c>
      <c r="I39" s="304" t="s">
        <v>87</v>
      </c>
      <c r="J39" s="304" t="s">
        <v>87</v>
      </c>
      <c r="K39" s="304" t="s">
        <v>87</v>
      </c>
      <c r="L39" s="304" t="s">
        <v>87</v>
      </c>
      <c r="M39" s="135">
        <f t="shared" si="0"/>
        <v>0</v>
      </c>
      <c r="N39" s="136" t="str">
        <f t="shared" si="1"/>
        <v/>
      </c>
      <c r="O39" s="136" t="str">
        <f t="shared" si="2"/>
        <v/>
      </c>
      <c r="P39" s="136">
        <f t="shared" si="3"/>
        <v>0</v>
      </c>
      <c r="Q39" s="136">
        <f t="shared" si="4"/>
        <v>0</v>
      </c>
    </row>
    <row r="40" spans="1:17">
      <c r="A40" s="364"/>
      <c r="B40" s="118" t="s">
        <v>302</v>
      </c>
      <c r="C40" s="248"/>
      <c r="D40" s="247"/>
      <c r="E40" s="247"/>
      <c r="F40" s="247"/>
      <c r="G40" s="307"/>
      <c r="H40" s="303">
        <v>0</v>
      </c>
      <c r="I40" s="247" t="s">
        <v>87</v>
      </c>
      <c r="J40" s="247" t="s">
        <v>87</v>
      </c>
      <c r="K40" s="247" t="s">
        <v>87</v>
      </c>
      <c r="L40" s="247" t="s">
        <v>87</v>
      </c>
      <c r="M40" s="135">
        <f t="shared" si="0"/>
        <v>0</v>
      </c>
      <c r="N40" s="247" t="str">
        <f t="shared" si="1"/>
        <v/>
      </c>
      <c r="O40" s="247" t="str">
        <f t="shared" si="2"/>
        <v/>
      </c>
      <c r="P40" s="247">
        <f t="shared" si="3"/>
        <v>0</v>
      </c>
      <c r="Q40" s="247">
        <f t="shared" si="4"/>
        <v>0</v>
      </c>
    </row>
    <row r="41" spans="1:17">
      <c r="A41" s="364"/>
      <c r="B41" s="120" t="s">
        <v>303</v>
      </c>
      <c r="C41" s="248"/>
      <c r="D41" s="246"/>
      <c r="E41" s="246"/>
      <c r="F41" s="246"/>
      <c r="G41" s="308"/>
      <c r="H41" s="303">
        <v>0</v>
      </c>
      <c r="I41" s="304" t="s">
        <v>87</v>
      </c>
      <c r="J41" s="304" t="s">
        <v>87</v>
      </c>
      <c r="K41" s="304" t="s">
        <v>87</v>
      </c>
      <c r="L41" s="304" t="s">
        <v>87</v>
      </c>
      <c r="M41" s="135">
        <f t="shared" si="0"/>
        <v>0</v>
      </c>
      <c r="N41" s="136" t="str">
        <f t="shared" si="1"/>
        <v/>
      </c>
      <c r="O41" s="136" t="str">
        <f t="shared" si="2"/>
        <v/>
      </c>
      <c r="P41" s="136">
        <f t="shared" si="3"/>
        <v>0</v>
      </c>
      <c r="Q41" s="136">
        <f t="shared" si="4"/>
        <v>0</v>
      </c>
    </row>
    <row r="42" spans="1:17">
      <c r="A42" s="364"/>
      <c r="B42" s="120" t="s">
        <v>304</v>
      </c>
      <c r="C42" s="248"/>
      <c r="D42" s="246"/>
      <c r="E42" s="246"/>
      <c r="F42" s="246"/>
      <c r="G42" s="308"/>
      <c r="H42" s="303">
        <v>0</v>
      </c>
      <c r="I42" s="304" t="s">
        <v>87</v>
      </c>
      <c r="J42" s="304" t="s">
        <v>87</v>
      </c>
      <c r="K42" s="304" t="s">
        <v>87</v>
      </c>
      <c r="L42" s="304" t="s">
        <v>87</v>
      </c>
      <c r="M42" s="135">
        <f t="shared" si="0"/>
        <v>0</v>
      </c>
      <c r="N42" s="136" t="str">
        <f t="shared" si="1"/>
        <v/>
      </c>
      <c r="O42" s="136" t="str">
        <f t="shared" si="2"/>
        <v/>
      </c>
      <c r="P42" s="136">
        <f t="shared" si="3"/>
        <v>0</v>
      </c>
      <c r="Q42" s="136">
        <f t="shared" si="4"/>
        <v>0</v>
      </c>
    </row>
    <row r="43" spans="1:17">
      <c r="A43" s="364"/>
      <c r="B43" s="120" t="s">
        <v>305</v>
      </c>
      <c r="C43" s="248"/>
      <c r="D43" s="246"/>
      <c r="E43" s="246"/>
      <c r="F43" s="246"/>
      <c r="G43" s="308"/>
      <c r="H43" s="303">
        <v>0</v>
      </c>
      <c r="I43" s="304" t="s">
        <v>87</v>
      </c>
      <c r="J43" s="304" t="s">
        <v>87</v>
      </c>
      <c r="K43" s="304" t="s">
        <v>87</v>
      </c>
      <c r="L43" s="304" t="s">
        <v>87</v>
      </c>
      <c r="M43" s="135">
        <f t="shared" si="0"/>
        <v>0</v>
      </c>
      <c r="N43" s="136" t="str">
        <f t="shared" si="1"/>
        <v/>
      </c>
      <c r="O43" s="136" t="str">
        <f t="shared" si="2"/>
        <v/>
      </c>
      <c r="P43" s="136">
        <f t="shared" si="3"/>
        <v>0</v>
      </c>
      <c r="Q43" s="136">
        <f t="shared" si="4"/>
        <v>0</v>
      </c>
    </row>
    <row r="44" spans="1:17">
      <c r="A44" s="393" t="s">
        <v>476</v>
      </c>
      <c r="B44" s="309" t="s">
        <v>465</v>
      </c>
      <c r="C44" s="136"/>
      <c r="D44" s="136"/>
      <c r="E44" s="136"/>
      <c r="F44" s="136"/>
      <c r="G44" s="313"/>
      <c r="H44" s="303">
        <v>16</v>
      </c>
      <c r="I44" s="304">
        <v>27.9375</v>
      </c>
      <c r="J44" s="304">
        <v>8.233822522579251</v>
      </c>
      <c r="K44" s="304">
        <v>36.171322522579253</v>
      </c>
      <c r="L44" s="304">
        <v>19.703677477420747</v>
      </c>
      <c r="M44" s="135">
        <f t="shared" ref="M44:M55" si="5">IFERROR(C44+H44,"")</f>
        <v>16</v>
      </c>
      <c r="N44" s="136">
        <f t="shared" ref="N44:N55" si="6">IFERROR((C44*D44+H44*I44)/M44,"")</f>
        <v>27.9375</v>
      </c>
      <c r="O44" s="136">
        <f t="shared" ref="O44:O55" si="7">IFERROR((E44+J44)/2,"")</f>
        <v>4.1169112612896255</v>
      </c>
      <c r="P44" s="136">
        <f t="shared" ref="P44:P55" si="8">IFERROR(MAXA(F44,K44),"")</f>
        <v>36.171322522579253</v>
      </c>
      <c r="Q44" s="136">
        <f t="shared" ref="Q44:Q55" si="9">IFERROR(MINA(G44,L44),"")</f>
        <v>19.703677477420747</v>
      </c>
    </row>
    <row r="45" spans="1:17" ht="16.5">
      <c r="A45" s="394"/>
      <c r="B45" s="310" t="s">
        <v>466</v>
      </c>
      <c r="C45" s="136"/>
      <c r="D45" s="136"/>
      <c r="E45" s="136"/>
      <c r="F45" s="136"/>
      <c r="G45" s="312"/>
      <c r="H45" s="303">
        <v>16</v>
      </c>
      <c r="I45" s="304">
        <v>30.135000000000002</v>
      </c>
      <c r="J45" s="304">
        <v>6.4059857425171698</v>
      </c>
      <c r="K45" s="304">
        <v>36.540985742517172</v>
      </c>
      <c r="L45" s="304">
        <v>23.729014257482831</v>
      </c>
      <c r="M45" s="135">
        <f t="shared" si="5"/>
        <v>16</v>
      </c>
      <c r="N45" s="136">
        <f t="shared" si="6"/>
        <v>30.135000000000002</v>
      </c>
      <c r="O45" s="136">
        <f t="shared" si="7"/>
        <v>3.2029928712585849</v>
      </c>
      <c r="P45" s="136">
        <f t="shared" si="8"/>
        <v>36.540985742517172</v>
      </c>
      <c r="Q45" s="136">
        <f t="shared" si="9"/>
        <v>23.729014257482831</v>
      </c>
    </row>
    <row r="46" spans="1:17" ht="16.5">
      <c r="A46" s="394"/>
      <c r="B46" s="311" t="s">
        <v>467</v>
      </c>
      <c r="C46" s="136"/>
      <c r="D46" s="136"/>
      <c r="E46" s="136"/>
      <c r="F46" s="136"/>
      <c r="G46" s="314"/>
      <c r="H46" s="303">
        <v>16</v>
      </c>
      <c r="I46" s="304">
        <v>0</v>
      </c>
      <c r="J46" s="304">
        <v>0</v>
      </c>
      <c r="K46" s="304">
        <v>0</v>
      </c>
      <c r="L46" s="304">
        <v>0</v>
      </c>
      <c r="M46" s="135">
        <f t="shared" si="5"/>
        <v>16</v>
      </c>
      <c r="N46" s="136">
        <f t="shared" si="6"/>
        <v>0</v>
      </c>
      <c r="O46" s="136">
        <f t="shared" si="7"/>
        <v>0</v>
      </c>
      <c r="P46" s="136">
        <f t="shared" si="8"/>
        <v>0</v>
      </c>
      <c r="Q46" s="136">
        <f t="shared" si="9"/>
        <v>0</v>
      </c>
    </row>
    <row r="47" spans="1:17" ht="16.5">
      <c r="A47" s="394"/>
      <c r="B47" s="311" t="s">
        <v>468</v>
      </c>
      <c r="C47" s="136"/>
      <c r="D47" s="136"/>
      <c r="E47" s="136"/>
      <c r="F47" s="136"/>
      <c r="G47" s="314"/>
      <c r="H47" s="303">
        <v>44</v>
      </c>
      <c r="I47" s="304">
        <v>4.6074359547244423</v>
      </c>
      <c r="J47" s="304">
        <v>2.7866793335219171</v>
      </c>
      <c r="K47" s="304">
        <v>7.3941152882463594</v>
      </c>
      <c r="L47" s="304">
        <v>1.8207566212025252</v>
      </c>
      <c r="M47" s="135">
        <f t="shared" si="5"/>
        <v>44</v>
      </c>
      <c r="N47" s="136">
        <f t="shared" si="6"/>
        <v>4.6074359547244423</v>
      </c>
      <c r="O47" s="136">
        <f t="shared" si="7"/>
        <v>1.3933396667609586</v>
      </c>
      <c r="P47" s="136">
        <f t="shared" si="8"/>
        <v>7.3941152882463594</v>
      </c>
      <c r="Q47" s="136">
        <f t="shared" si="9"/>
        <v>1.8207566212025252</v>
      </c>
    </row>
    <row r="48" spans="1:17" ht="16.5">
      <c r="A48" s="394"/>
      <c r="B48" s="311" t="s">
        <v>469</v>
      </c>
      <c r="C48" s="136"/>
      <c r="D48" s="136"/>
      <c r="E48" s="136"/>
      <c r="F48" s="136"/>
      <c r="G48" s="314"/>
      <c r="H48" s="303">
        <v>45</v>
      </c>
      <c r="I48" s="304">
        <v>0.68888888888888888</v>
      </c>
      <c r="J48" s="304">
        <v>1.5641178492890637</v>
      </c>
      <c r="K48" s="304">
        <v>2.2530067381779526</v>
      </c>
      <c r="L48" s="304">
        <v>0</v>
      </c>
      <c r="M48" s="135">
        <f t="shared" si="5"/>
        <v>45</v>
      </c>
      <c r="N48" s="136">
        <f t="shared" si="6"/>
        <v>0.68888888888888888</v>
      </c>
      <c r="O48" s="136">
        <f t="shared" si="7"/>
        <v>0.78205892464453186</v>
      </c>
      <c r="P48" s="136">
        <f t="shared" si="8"/>
        <v>2.2530067381779526</v>
      </c>
      <c r="Q48" s="136">
        <f t="shared" si="9"/>
        <v>0</v>
      </c>
    </row>
    <row r="49" spans="1:17" ht="16.5">
      <c r="A49" s="394"/>
      <c r="B49" s="311" t="s">
        <v>470</v>
      </c>
      <c r="C49" s="136"/>
      <c r="D49" s="136"/>
      <c r="E49" s="136"/>
      <c r="F49" s="136"/>
      <c r="G49" s="314"/>
      <c r="H49" s="303">
        <v>16</v>
      </c>
      <c r="I49" s="304">
        <v>0.125</v>
      </c>
      <c r="J49" s="304">
        <v>0.34156502553198659</v>
      </c>
      <c r="K49" s="304">
        <v>0.46656502553198659</v>
      </c>
      <c r="L49" s="304">
        <v>0</v>
      </c>
      <c r="M49" s="135">
        <f t="shared" si="5"/>
        <v>16</v>
      </c>
      <c r="N49" s="136">
        <f t="shared" si="6"/>
        <v>0.125</v>
      </c>
      <c r="O49" s="136">
        <f t="shared" si="7"/>
        <v>0.17078251276599329</v>
      </c>
      <c r="P49" s="136">
        <f t="shared" si="8"/>
        <v>0.46656502553198659</v>
      </c>
      <c r="Q49" s="136">
        <f t="shared" si="9"/>
        <v>0</v>
      </c>
    </row>
    <row r="50" spans="1:17" ht="16.5">
      <c r="A50" s="394"/>
      <c r="B50" s="311" t="s">
        <v>471</v>
      </c>
      <c r="C50" s="136"/>
      <c r="D50" s="136"/>
      <c r="E50" s="136"/>
      <c r="F50" s="136"/>
      <c r="G50" s="314"/>
      <c r="H50" s="303">
        <v>32</v>
      </c>
      <c r="I50" s="304">
        <v>0.625</v>
      </c>
      <c r="J50" s="304">
        <v>1.4312187452567107</v>
      </c>
      <c r="K50" s="304">
        <v>2.0562187452567109</v>
      </c>
      <c r="L50" s="304">
        <v>0</v>
      </c>
      <c r="M50" s="135">
        <f t="shared" si="5"/>
        <v>32</v>
      </c>
      <c r="N50" s="136">
        <f t="shared" si="6"/>
        <v>0.625</v>
      </c>
      <c r="O50" s="136">
        <f t="shared" si="7"/>
        <v>0.71560937262835533</v>
      </c>
      <c r="P50" s="136">
        <f t="shared" si="8"/>
        <v>2.0562187452567109</v>
      </c>
      <c r="Q50" s="136">
        <f t="shared" si="9"/>
        <v>0</v>
      </c>
    </row>
    <row r="51" spans="1:17" ht="16.5">
      <c r="A51" s="394"/>
      <c r="B51" s="311" t="s">
        <v>472</v>
      </c>
      <c r="C51" s="136"/>
      <c r="D51" s="136"/>
      <c r="E51" s="136"/>
      <c r="F51" s="136"/>
      <c r="G51" s="314"/>
      <c r="H51" s="303">
        <v>16</v>
      </c>
      <c r="I51" s="304">
        <v>0</v>
      </c>
      <c r="J51" s="304">
        <v>0</v>
      </c>
      <c r="K51" s="304">
        <v>0</v>
      </c>
      <c r="L51" s="304">
        <v>0</v>
      </c>
      <c r="M51" s="135">
        <f t="shared" si="5"/>
        <v>16</v>
      </c>
      <c r="N51" s="136">
        <f t="shared" si="6"/>
        <v>0</v>
      </c>
      <c r="O51" s="136">
        <f t="shared" si="7"/>
        <v>0</v>
      </c>
      <c r="P51" s="136">
        <f t="shared" si="8"/>
        <v>0</v>
      </c>
      <c r="Q51" s="136">
        <f t="shared" si="9"/>
        <v>0</v>
      </c>
    </row>
    <row r="52" spans="1:17" ht="16.5">
      <c r="A52" s="394"/>
      <c r="B52" s="311" t="s">
        <v>473</v>
      </c>
      <c r="C52" s="136"/>
      <c r="D52" s="136"/>
      <c r="E52" s="136"/>
      <c r="F52" s="136"/>
      <c r="G52" s="314"/>
      <c r="H52" s="303">
        <v>27</v>
      </c>
      <c r="I52" s="304">
        <v>0.8210662031644036</v>
      </c>
      <c r="J52" s="304">
        <v>0.18884767834182051</v>
      </c>
      <c r="K52" s="304">
        <v>1.0099138815062241</v>
      </c>
      <c r="L52" s="304">
        <v>0.63221852482258312</v>
      </c>
      <c r="M52" s="135">
        <f t="shared" si="5"/>
        <v>27</v>
      </c>
      <c r="N52" s="136">
        <f t="shared" si="6"/>
        <v>0.8210662031644036</v>
      </c>
      <c r="O52" s="136">
        <f t="shared" si="7"/>
        <v>9.4423839170910254E-2</v>
      </c>
      <c r="P52" s="136">
        <f t="shared" si="8"/>
        <v>1.0099138815062241</v>
      </c>
      <c r="Q52" s="136">
        <f t="shared" si="9"/>
        <v>0.63221852482258312</v>
      </c>
    </row>
    <row r="53" spans="1:17" ht="16.5">
      <c r="A53" s="394"/>
      <c r="B53" s="310" t="s">
        <v>474</v>
      </c>
      <c r="C53" s="136"/>
      <c r="D53" s="136"/>
      <c r="E53" s="136"/>
      <c r="F53" s="136"/>
      <c r="G53" s="312"/>
      <c r="H53" s="303">
        <v>27</v>
      </c>
      <c r="I53" s="304">
        <v>6.8859259259259256</v>
      </c>
      <c r="J53" s="304">
        <v>2.3804253971139442</v>
      </c>
      <c r="K53" s="304">
        <v>9.2663513230398706</v>
      </c>
      <c r="L53" s="304">
        <v>4.5055005288119814</v>
      </c>
      <c r="M53" s="135">
        <f t="shared" si="5"/>
        <v>27</v>
      </c>
      <c r="N53" s="136">
        <f t="shared" si="6"/>
        <v>6.8859259259259256</v>
      </c>
      <c r="O53" s="136">
        <f t="shared" si="7"/>
        <v>1.1902126985569721</v>
      </c>
      <c r="P53" s="136">
        <f t="shared" si="8"/>
        <v>9.2663513230398706</v>
      </c>
      <c r="Q53" s="136">
        <f t="shared" si="9"/>
        <v>4.5055005288119814</v>
      </c>
    </row>
    <row r="54" spans="1:17" ht="16.5">
      <c r="A54" s="394"/>
      <c r="B54" s="310" t="s">
        <v>334</v>
      </c>
      <c r="C54" s="136"/>
      <c r="D54" s="136"/>
      <c r="E54" s="136"/>
      <c r="F54" s="136"/>
      <c r="G54" s="312"/>
      <c r="H54" s="303">
        <v>16</v>
      </c>
      <c r="I54" s="304">
        <v>0.90990000000000004</v>
      </c>
      <c r="J54" s="304">
        <v>7.5092476320867171E-2</v>
      </c>
      <c r="K54" s="304">
        <v>1.1351774289626015</v>
      </c>
      <c r="L54" s="304">
        <v>0.68462257103739854</v>
      </c>
      <c r="M54" s="135">
        <f t="shared" si="5"/>
        <v>16</v>
      </c>
      <c r="N54" s="136">
        <f t="shared" si="6"/>
        <v>0.90990000000000004</v>
      </c>
      <c r="O54" s="136">
        <f t="shared" si="7"/>
        <v>3.7546238160433586E-2</v>
      </c>
      <c r="P54" s="136">
        <f t="shared" si="8"/>
        <v>1.1351774289626015</v>
      </c>
      <c r="Q54" s="136">
        <f t="shared" si="9"/>
        <v>0.68462257103739854</v>
      </c>
    </row>
    <row r="55" spans="1:17" ht="16.5">
      <c r="A55" s="394"/>
      <c r="B55" s="312" t="s">
        <v>475</v>
      </c>
      <c r="C55" s="136"/>
      <c r="D55" s="136"/>
      <c r="E55" s="136"/>
      <c r="F55" s="136"/>
      <c r="G55" s="312"/>
      <c r="H55" s="303">
        <v>15</v>
      </c>
      <c r="I55" s="304">
        <v>0.97892666666666661</v>
      </c>
      <c r="J55" s="304">
        <v>3.692978795085667E-2</v>
      </c>
      <c r="K55" s="304">
        <v>1.0897160305192366</v>
      </c>
      <c r="L55" s="304">
        <v>0.86813730281409662</v>
      </c>
      <c r="M55" s="135">
        <f t="shared" si="5"/>
        <v>15</v>
      </c>
      <c r="N55" s="136">
        <f t="shared" si="6"/>
        <v>0.97892666666666661</v>
      </c>
      <c r="O55" s="136">
        <f t="shared" si="7"/>
        <v>1.8464893975428335E-2</v>
      </c>
      <c r="P55" s="136">
        <f t="shared" si="8"/>
        <v>1.0897160305192366</v>
      </c>
      <c r="Q55" s="136">
        <f t="shared" si="9"/>
        <v>0.86813730281409662</v>
      </c>
    </row>
  </sheetData>
  <mergeCells count="13">
    <mergeCell ref="A14:A16"/>
    <mergeCell ref="A1:B2"/>
    <mergeCell ref="C1:G1"/>
    <mergeCell ref="H1:L1"/>
    <mergeCell ref="M1:Q1"/>
    <mergeCell ref="A3:A13"/>
    <mergeCell ref="A44:A55"/>
    <mergeCell ref="A17:A20"/>
    <mergeCell ref="A21:A25"/>
    <mergeCell ref="A27:A28"/>
    <mergeCell ref="A29:A30"/>
    <mergeCell ref="A38:A43"/>
    <mergeCell ref="A31:A37"/>
  </mergeCells>
  <phoneticPr fontId="26" type="noConversion"/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>
    <oddHeader>&amp;L&amp;G&amp;C&amp;F&amp;R文档密级</oddHeader>
    <oddFooter>&amp;L&amp;D&amp;C华为保密信息,未经授权禁止扩散&amp;R第&amp;P页，共&amp;N页</oddFooter>
  </headerFooter>
  <legacyDrawingHF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56"/>
  <sheetViews>
    <sheetView topLeftCell="A36" workbookViewId="0">
      <selection activeCell="P55" sqref="P55"/>
    </sheetView>
  </sheetViews>
  <sheetFormatPr defaultRowHeight="14.25"/>
  <cols>
    <col min="1" max="1" width="9" style="116"/>
    <col min="2" max="2" width="35.5" style="116" bestFit="1" customWidth="1"/>
    <col min="3" max="4" width="7.25" style="116" customWidth="1"/>
    <col min="5" max="5" width="7.5" style="116" customWidth="1"/>
    <col min="6" max="9" width="7.25" style="116" customWidth="1"/>
    <col min="10" max="10" width="5.875" style="116" customWidth="1"/>
    <col min="11" max="11" width="7.625" style="116" customWidth="1"/>
    <col min="12" max="12" width="7.25" style="116" customWidth="1"/>
    <col min="13" max="16384" width="9" style="116"/>
  </cols>
  <sheetData>
    <row r="1" spans="1:17" ht="14.25" customHeight="1">
      <c r="A1" s="379" t="s">
        <v>339</v>
      </c>
      <c r="B1" s="379"/>
      <c r="C1" s="376" t="s">
        <v>455</v>
      </c>
      <c r="D1" s="377"/>
      <c r="E1" s="377"/>
      <c r="F1" s="377"/>
      <c r="G1" s="377"/>
      <c r="H1" s="376" t="s">
        <v>456</v>
      </c>
      <c r="I1" s="377"/>
      <c r="J1" s="377"/>
      <c r="K1" s="377"/>
      <c r="L1" s="377"/>
      <c r="M1" s="376" t="s">
        <v>457</v>
      </c>
      <c r="N1" s="377"/>
      <c r="O1" s="377"/>
      <c r="P1" s="377"/>
      <c r="Q1" s="377"/>
    </row>
    <row r="2" spans="1:17">
      <c r="A2" s="379"/>
      <c r="B2" s="379"/>
      <c r="C2" s="225" t="s">
        <v>340</v>
      </c>
      <c r="D2" s="225" t="s">
        <v>319</v>
      </c>
      <c r="E2" s="225" t="s">
        <v>260</v>
      </c>
      <c r="F2" s="225" t="s">
        <v>261</v>
      </c>
      <c r="G2" s="225" t="s">
        <v>262</v>
      </c>
      <c r="H2" s="225" t="s">
        <v>318</v>
      </c>
      <c r="I2" s="225" t="s">
        <v>319</v>
      </c>
      <c r="J2" s="225" t="s">
        <v>260</v>
      </c>
      <c r="K2" s="225" t="s">
        <v>326</v>
      </c>
      <c r="L2" s="225" t="s">
        <v>262</v>
      </c>
      <c r="M2" s="225" t="s">
        <v>318</v>
      </c>
      <c r="N2" s="225" t="s">
        <v>319</v>
      </c>
      <c r="O2" s="225" t="s">
        <v>260</v>
      </c>
      <c r="P2" s="225" t="s">
        <v>326</v>
      </c>
      <c r="Q2" s="225" t="s">
        <v>262</v>
      </c>
    </row>
    <row r="3" spans="1:17" ht="22.5">
      <c r="A3" s="351" t="s">
        <v>258</v>
      </c>
      <c r="B3" s="117" t="s">
        <v>478</v>
      </c>
      <c r="C3" s="248"/>
      <c r="D3" s="246"/>
      <c r="E3" s="246"/>
      <c r="F3" s="246"/>
      <c r="G3" s="246"/>
      <c r="H3" s="248">
        <v>24</v>
      </c>
      <c r="I3" s="246">
        <v>31.380416666666672</v>
      </c>
      <c r="J3" s="246">
        <v>3.9296227047197561</v>
      </c>
      <c r="K3" s="246">
        <v>35.310039371386431</v>
      </c>
      <c r="L3" s="246">
        <v>27.450793961946918</v>
      </c>
      <c r="M3" s="135">
        <f>IFERROR(C3+H3,"")</f>
        <v>24</v>
      </c>
      <c r="N3" s="136">
        <f>IFERROR((C3*D3+H3*I3)/M3,"")</f>
        <v>31.380416666666672</v>
      </c>
      <c r="O3" s="136">
        <f>IFERROR((E3+J3)/2,"")</f>
        <v>1.964811352359878</v>
      </c>
      <c r="P3" s="136">
        <f>IFERROR(MAXA(F3,K3),"")</f>
        <v>35.310039371386431</v>
      </c>
      <c r="Q3" s="136">
        <f>IFERROR(MINA(G3,L3),"")</f>
        <v>27.450793961946918</v>
      </c>
    </row>
    <row r="4" spans="1:17" ht="22.5">
      <c r="A4" s="351"/>
      <c r="B4" s="118" t="s">
        <v>477</v>
      </c>
      <c r="C4" s="248"/>
      <c r="D4" s="246"/>
      <c r="E4" s="246"/>
      <c r="F4" s="246"/>
      <c r="G4" s="246"/>
      <c r="H4" s="248">
        <v>49</v>
      </c>
      <c r="I4" s="246">
        <v>46.94959183673469</v>
      </c>
      <c r="J4" s="246">
        <v>9.9018710267268588</v>
      </c>
      <c r="K4" s="246">
        <v>56.851462863461549</v>
      </c>
      <c r="L4" s="246">
        <v>37.047720810007831</v>
      </c>
      <c r="M4" s="135">
        <f t="shared" ref="M4:M43" si="0">IFERROR(C4+H4,"")</f>
        <v>49</v>
      </c>
      <c r="N4" s="136">
        <f t="shared" ref="N4:N43" si="1">IFERROR((C4*D4+H4*I4)/M4,"")</f>
        <v>46.94959183673469</v>
      </c>
      <c r="O4" s="136">
        <f t="shared" ref="O4:O43" si="2">IFERROR((E4+J4)/2,"")</f>
        <v>4.9509355133634294</v>
      </c>
      <c r="P4" s="136">
        <f t="shared" ref="P4:P43" si="3">IFERROR(MAXA(F4,K4),"")</f>
        <v>56.851462863461549</v>
      </c>
      <c r="Q4" s="136">
        <f t="shared" ref="Q4:Q43" si="4">IFERROR(MINA(G4,L4),"")</f>
        <v>37.047720810007831</v>
      </c>
    </row>
    <row r="5" spans="1:17">
      <c r="A5" s="351"/>
      <c r="B5" s="118" t="s">
        <v>263</v>
      </c>
      <c r="C5" s="248"/>
      <c r="D5" s="246"/>
      <c r="E5" s="246"/>
      <c r="F5" s="246"/>
      <c r="G5" s="246"/>
      <c r="H5" s="248">
        <v>0</v>
      </c>
      <c r="I5" s="246" t="s">
        <v>87</v>
      </c>
      <c r="J5" s="246" t="s">
        <v>87</v>
      </c>
      <c r="K5" s="246" t="s">
        <v>87</v>
      </c>
      <c r="L5" s="246" t="s">
        <v>87</v>
      </c>
      <c r="M5" s="135">
        <f t="shared" si="0"/>
        <v>0</v>
      </c>
      <c r="N5" s="136" t="str">
        <f t="shared" si="1"/>
        <v/>
      </c>
      <c r="O5" s="136" t="str">
        <f t="shared" si="2"/>
        <v/>
      </c>
      <c r="P5" s="136">
        <f t="shared" si="3"/>
        <v>0</v>
      </c>
      <c r="Q5" s="136">
        <f t="shared" si="4"/>
        <v>0</v>
      </c>
    </row>
    <row r="6" spans="1:17">
      <c r="A6" s="351"/>
      <c r="B6" s="118" t="s">
        <v>257</v>
      </c>
      <c r="C6" s="248"/>
      <c r="D6" s="246"/>
      <c r="E6" s="246"/>
      <c r="F6" s="246"/>
      <c r="G6" s="246"/>
      <c r="H6" s="248">
        <v>0</v>
      </c>
      <c r="I6" s="246" t="s">
        <v>87</v>
      </c>
      <c r="J6" s="246" t="s">
        <v>87</v>
      </c>
      <c r="K6" s="246" t="s">
        <v>87</v>
      </c>
      <c r="L6" s="246" t="s">
        <v>87</v>
      </c>
      <c r="M6" s="135">
        <f t="shared" si="0"/>
        <v>0</v>
      </c>
      <c r="N6" s="136" t="str">
        <f t="shared" si="1"/>
        <v/>
      </c>
      <c r="O6" s="136" t="str">
        <f t="shared" si="2"/>
        <v/>
      </c>
      <c r="P6" s="136">
        <f t="shared" si="3"/>
        <v>0</v>
      </c>
      <c r="Q6" s="136">
        <f t="shared" si="4"/>
        <v>0</v>
      </c>
    </row>
    <row r="7" spans="1:17">
      <c r="A7" s="351"/>
      <c r="B7" s="118" t="s">
        <v>327</v>
      </c>
      <c r="C7" s="248"/>
      <c r="D7" s="246"/>
      <c r="E7" s="246"/>
      <c r="F7" s="246"/>
      <c r="G7" s="246"/>
      <c r="H7" s="248">
        <v>14</v>
      </c>
      <c r="I7" s="246">
        <v>23.945</v>
      </c>
      <c r="J7" s="246">
        <v>7.01309407191565</v>
      </c>
      <c r="K7" s="246">
        <v>30.958094071915649</v>
      </c>
      <c r="L7" s="246">
        <v>16.931905928084351</v>
      </c>
      <c r="M7" s="135">
        <f t="shared" si="0"/>
        <v>14</v>
      </c>
      <c r="N7" s="136">
        <f t="shared" si="1"/>
        <v>23.945</v>
      </c>
      <c r="O7" s="136">
        <f t="shared" si="2"/>
        <v>3.506547035957825</v>
      </c>
      <c r="P7" s="136">
        <f t="shared" si="3"/>
        <v>30.958094071915649</v>
      </c>
      <c r="Q7" s="136">
        <f t="shared" si="4"/>
        <v>16.931905928084351</v>
      </c>
    </row>
    <row r="8" spans="1:17">
      <c r="A8" s="351"/>
      <c r="B8" s="118" t="s">
        <v>264</v>
      </c>
      <c r="C8" s="248"/>
      <c r="D8" s="246"/>
      <c r="E8" s="246"/>
      <c r="F8" s="246"/>
      <c r="G8" s="246"/>
      <c r="H8" s="248">
        <v>14</v>
      </c>
      <c r="I8" s="246">
        <v>25.789285714285715</v>
      </c>
      <c r="J8" s="246">
        <v>10.643335556029498</v>
      </c>
      <c r="K8" s="246">
        <v>36.432621270315209</v>
      </c>
      <c r="L8" s="246">
        <v>15.145950158256216</v>
      </c>
      <c r="M8" s="135">
        <f t="shared" si="0"/>
        <v>14</v>
      </c>
      <c r="N8" s="136">
        <f t="shared" si="1"/>
        <v>25.789285714285715</v>
      </c>
      <c r="O8" s="136">
        <f t="shared" si="2"/>
        <v>5.3216677780147492</v>
      </c>
      <c r="P8" s="136">
        <f t="shared" si="3"/>
        <v>36.432621270315209</v>
      </c>
      <c r="Q8" s="136">
        <f t="shared" si="4"/>
        <v>15.145950158256216</v>
      </c>
    </row>
    <row r="9" spans="1:17">
      <c r="A9" s="351"/>
      <c r="B9" s="118" t="s">
        <v>265</v>
      </c>
      <c r="C9" s="248"/>
      <c r="D9" s="246"/>
      <c r="E9" s="246"/>
      <c r="F9" s="246"/>
      <c r="G9" s="246"/>
      <c r="H9" s="248">
        <v>6</v>
      </c>
      <c r="I9" s="246">
        <v>14.718333333333334</v>
      </c>
      <c r="J9" s="246">
        <v>3.0702339758830526</v>
      </c>
      <c r="K9" s="246">
        <v>17.788567309216386</v>
      </c>
      <c r="L9" s="246">
        <v>11.648099357450281</v>
      </c>
      <c r="M9" s="135">
        <f t="shared" si="0"/>
        <v>6</v>
      </c>
      <c r="N9" s="136">
        <f t="shared" si="1"/>
        <v>14.718333333333334</v>
      </c>
      <c r="O9" s="136">
        <f t="shared" si="2"/>
        <v>1.5351169879415263</v>
      </c>
      <c r="P9" s="136">
        <f t="shared" si="3"/>
        <v>17.788567309216386</v>
      </c>
      <c r="Q9" s="136">
        <f t="shared" si="4"/>
        <v>11.648099357450281</v>
      </c>
    </row>
    <row r="10" spans="1:17">
      <c r="A10" s="351"/>
      <c r="B10" s="118" t="s">
        <v>266</v>
      </c>
      <c r="C10" s="248"/>
      <c r="D10" s="246"/>
      <c r="E10" s="246"/>
      <c r="F10" s="246"/>
      <c r="G10" s="246"/>
      <c r="H10" s="248">
        <v>0</v>
      </c>
      <c r="I10" s="246" t="s">
        <v>87</v>
      </c>
      <c r="J10" s="246" t="s">
        <v>87</v>
      </c>
      <c r="K10" s="246" t="s">
        <v>87</v>
      </c>
      <c r="L10" s="246" t="s">
        <v>87</v>
      </c>
      <c r="M10" s="135">
        <f t="shared" si="0"/>
        <v>0</v>
      </c>
      <c r="N10" s="136" t="str">
        <f t="shared" si="1"/>
        <v/>
      </c>
      <c r="O10" s="136" t="str">
        <f t="shared" si="2"/>
        <v/>
      </c>
      <c r="P10" s="136">
        <f t="shared" si="3"/>
        <v>0</v>
      </c>
      <c r="Q10" s="136">
        <f t="shared" si="4"/>
        <v>0</v>
      </c>
    </row>
    <row r="11" spans="1:17">
      <c r="A11" s="351"/>
      <c r="B11" s="118" t="s">
        <v>267</v>
      </c>
      <c r="C11" s="248"/>
      <c r="D11" s="247"/>
      <c r="E11" s="247"/>
      <c r="F11" s="247"/>
      <c r="G11" s="247"/>
      <c r="H11" s="248">
        <v>0</v>
      </c>
      <c r="I11" s="247" t="s">
        <v>87</v>
      </c>
      <c r="J11" s="247" t="s">
        <v>87</v>
      </c>
      <c r="K11" s="247" t="s">
        <v>87</v>
      </c>
      <c r="L11" s="247" t="s">
        <v>87</v>
      </c>
      <c r="M11" s="135">
        <f t="shared" si="0"/>
        <v>0</v>
      </c>
      <c r="N11" s="247" t="str">
        <f t="shared" si="1"/>
        <v/>
      </c>
      <c r="O11" s="247" t="str">
        <f t="shared" si="2"/>
        <v/>
      </c>
      <c r="P11" s="247">
        <f t="shared" si="3"/>
        <v>0</v>
      </c>
      <c r="Q11" s="247">
        <f t="shared" si="4"/>
        <v>0</v>
      </c>
    </row>
    <row r="12" spans="1:17">
      <c r="A12" s="351"/>
      <c r="B12" s="118" t="s">
        <v>352</v>
      </c>
      <c r="C12" s="248"/>
      <c r="D12" s="247"/>
      <c r="E12" s="247"/>
      <c r="F12" s="247"/>
      <c r="G12" s="247"/>
      <c r="H12" s="248">
        <v>70</v>
      </c>
      <c r="I12" s="247">
        <v>0</v>
      </c>
      <c r="J12" s="247">
        <v>0</v>
      </c>
      <c r="K12" s="247">
        <v>0</v>
      </c>
      <c r="L12" s="247">
        <v>0</v>
      </c>
      <c r="M12" s="135">
        <f t="shared" si="0"/>
        <v>70</v>
      </c>
      <c r="N12" s="247">
        <f t="shared" si="1"/>
        <v>0</v>
      </c>
      <c r="O12" s="247">
        <f t="shared" si="2"/>
        <v>0</v>
      </c>
      <c r="P12" s="247">
        <f t="shared" si="3"/>
        <v>0</v>
      </c>
      <c r="Q12" s="247">
        <f t="shared" si="4"/>
        <v>0</v>
      </c>
    </row>
    <row r="13" spans="1:17">
      <c r="A13" s="351"/>
      <c r="B13" s="118" t="s">
        <v>268</v>
      </c>
      <c r="C13" s="248"/>
      <c r="D13" s="247"/>
      <c r="E13" s="247"/>
      <c r="F13" s="247"/>
      <c r="G13" s="247"/>
      <c r="H13" s="248">
        <v>2</v>
      </c>
      <c r="I13" s="247">
        <v>0</v>
      </c>
      <c r="J13" s="247">
        <v>0</v>
      </c>
      <c r="K13" s="247">
        <v>0</v>
      </c>
      <c r="L13" s="247">
        <v>0</v>
      </c>
      <c r="M13" s="135">
        <f t="shared" si="0"/>
        <v>2</v>
      </c>
      <c r="N13" s="247">
        <f t="shared" si="1"/>
        <v>0</v>
      </c>
      <c r="O13" s="247">
        <f t="shared" si="2"/>
        <v>0</v>
      </c>
      <c r="P13" s="247">
        <f t="shared" si="3"/>
        <v>0</v>
      </c>
      <c r="Q13" s="247">
        <f t="shared" si="4"/>
        <v>0</v>
      </c>
    </row>
    <row r="14" spans="1:17">
      <c r="A14" s="378" t="s">
        <v>269</v>
      </c>
      <c r="B14" s="118" t="s">
        <v>270</v>
      </c>
      <c r="C14" s="248"/>
      <c r="D14" s="247"/>
      <c r="E14" s="247"/>
      <c r="F14" s="247"/>
      <c r="G14" s="247"/>
      <c r="H14" s="248">
        <v>0</v>
      </c>
      <c r="I14" s="247" t="s">
        <v>87</v>
      </c>
      <c r="J14" s="247" t="s">
        <v>87</v>
      </c>
      <c r="K14" s="247" t="s">
        <v>87</v>
      </c>
      <c r="L14" s="247" t="s">
        <v>87</v>
      </c>
      <c r="M14" s="135">
        <f t="shared" si="0"/>
        <v>0</v>
      </c>
      <c r="N14" s="247" t="str">
        <f t="shared" si="1"/>
        <v/>
      </c>
      <c r="O14" s="247" t="str">
        <f t="shared" si="2"/>
        <v/>
      </c>
      <c r="P14" s="247">
        <f t="shared" si="3"/>
        <v>0</v>
      </c>
      <c r="Q14" s="247">
        <f t="shared" si="4"/>
        <v>0</v>
      </c>
    </row>
    <row r="15" spans="1:17">
      <c r="A15" s="378"/>
      <c r="B15" s="118" t="s">
        <v>271</v>
      </c>
      <c r="C15" s="248"/>
      <c r="D15" s="246"/>
      <c r="E15" s="246"/>
      <c r="F15" s="246"/>
      <c r="G15" s="246"/>
      <c r="H15" s="248">
        <v>0</v>
      </c>
      <c r="I15" s="246" t="s">
        <v>87</v>
      </c>
      <c r="J15" s="246" t="s">
        <v>87</v>
      </c>
      <c r="K15" s="246" t="s">
        <v>87</v>
      </c>
      <c r="L15" s="246" t="s">
        <v>87</v>
      </c>
      <c r="M15" s="135">
        <f t="shared" si="0"/>
        <v>0</v>
      </c>
      <c r="N15" s="136" t="str">
        <f t="shared" si="1"/>
        <v/>
      </c>
      <c r="O15" s="136" t="str">
        <f t="shared" si="2"/>
        <v/>
      </c>
      <c r="P15" s="136">
        <f t="shared" si="3"/>
        <v>0</v>
      </c>
      <c r="Q15" s="136">
        <f t="shared" si="4"/>
        <v>0</v>
      </c>
    </row>
    <row r="16" spans="1:17">
      <c r="A16" s="378"/>
      <c r="B16" s="118" t="s">
        <v>272</v>
      </c>
      <c r="C16" s="248"/>
      <c r="D16" s="246"/>
      <c r="E16" s="246"/>
      <c r="F16" s="246"/>
      <c r="G16" s="246"/>
      <c r="H16" s="248">
        <v>0</v>
      </c>
      <c r="I16" s="246" t="s">
        <v>87</v>
      </c>
      <c r="J16" s="246" t="s">
        <v>87</v>
      </c>
      <c r="K16" s="246" t="s">
        <v>87</v>
      </c>
      <c r="L16" s="246" t="s">
        <v>87</v>
      </c>
      <c r="M16" s="135">
        <f t="shared" si="0"/>
        <v>0</v>
      </c>
      <c r="N16" s="136" t="str">
        <f t="shared" si="1"/>
        <v/>
      </c>
      <c r="O16" s="136" t="str">
        <f t="shared" si="2"/>
        <v/>
      </c>
      <c r="P16" s="136">
        <f t="shared" si="3"/>
        <v>0</v>
      </c>
      <c r="Q16" s="136">
        <f t="shared" si="4"/>
        <v>0</v>
      </c>
    </row>
    <row r="17" spans="1:17">
      <c r="A17" s="378" t="s">
        <v>273</v>
      </c>
      <c r="B17" s="118" t="s">
        <v>306</v>
      </c>
      <c r="C17" s="248"/>
      <c r="D17" s="246"/>
      <c r="E17" s="246"/>
      <c r="F17" s="246"/>
      <c r="G17" s="246"/>
      <c r="H17" s="248">
        <v>69</v>
      </c>
      <c r="I17" s="246">
        <v>5.8456290059050122</v>
      </c>
      <c r="J17" s="246">
        <v>3.5921962706876975</v>
      </c>
      <c r="K17" s="246">
        <v>9.4378252765927098</v>
      </c>
      <c r="L17" s="246">
        <v>2.2534327352173147</v>
      </c>
      <c r="M17" s="135">
        <f t="shared" si="0"/>
        <v>69</v>
      </c>
      <c r="N17" s="136">
        <f t="shared" si="1"/>
        <v>5.8456290059050122</v>
      </c>
      <c r="O17" s="136">
        <f t="shared" si="2"/>
        <v>1.7960981353438488</v>
      </c>
      <c r="P17" s="136">
        <f t="shared" si="3"/>
        <v>9.4378252765927098</v>
      </c>
      <c r="Q17" s="136">
        <f t="shared" si="4"/>
        <v>2.2534327352173147</v>
      </c>
    </row>
    <row r="18" spans="1:17">
      <c r="A18" s="378"/>
      <c r="B18" s="118" t="s">
        <v>274</v>
      </c>
      <c r="C18" s="248"/>
      <c r="D18" s="246"/>
      <c r="E18" s="246"/>
      <c r="F18" s="246"/>
      <c r="G18" s="246"/>
      <c r="H18" s="248">
        <v>7</v>
      </c>
      <c r="I18" s="246">
        <v>1.8414285714285719</v>
      </c>
      <c r="J18" s="246">
        <v>0.6822616451046849</v>
      </c>
      <c r="K18" s="246">
        <v>2.5236902165332569</v>
      </c>
      <c r="L18" s="246">
        <v>1.1591669263238868</v>
      </c>
      <c r="M18" s="135">
        <f t="shared" si="0"/>
        <v>7</v>
      </c>
      <c r="N18" s="136">
        <f t="shared" si="1"/>
        <v>1.8414285714285719</v>
      </c>
      <c r="O18" s="136">
        <f t="shared" si="2"/>
        <v>0.34113082255234245</v>
      </c>
      <c r="P18" s="136">
        <f t="shared" si="3"/>
        <v>2.5236902165332569</v>
      </c>
      <c r="Q18" s="136">
        <f t="shared" si="4"/>
        <v>1.1591669263238868</v>
      </c>
    </row>
    <row r="19" spans="1:17">
      <c r="A19" s="378"/>
      <c r="B19" s="118" t="s">
        <v>275</v>
      </c>
      <c r="C19" s="248"/>
      <c r="D19" s="246"/>
      <c r="E19" s="246"/>
      <c r="F19" s="246"/>
      <c r="G19" s="246"/>
      <c r="H19" s="248">
        <v>64</v>
      </c>
      <c r="I19" s="246">
        <v>1.5625E-2</v>
      </c>
      <c r="J19" s="246">
        <v>0.125</v>
      </c>
      <c r="K19" s="246">
        <v>0.140625</v>
      </c>
      <c r="L19" s="246">
        <v>0</v>
      </c>
      <c r="M19" s="135">
        <f t="shared" si="0"/>
        <v>64</v>
      </c>
      <c r="N19" s="136">
        <f t="shared" si="1"/>
        <v>1.5625E-2</v>
      </c>
      <c r="O19" s="136">
        <f t="shared" si="2"/>
        <v>6.25E-2</v>
      </c>
      <c r="P19" s="136">
        <f t="shared" si="3"/>
        <v>0.140625</v>
      </c>
      <c r="Q19" s="136">
        <f t="shared" si="4"/>
        <v>0</v>
      </c>
    </row>
    <row r="20" spans="1:17">
      <c r="A20" s="378"/>
      <c r="B20" s="118" t="s">
        <v>276</v>
      </c>
      <c r="C20" s="248"/>
      <c r="D20" s="246"/>
      <c r="E20" s="246"/>
      <c r="F20" s="246"/>
      <c r="G20" s="246"/>
      <c r="H20" s="248">
        <v>70</v>
      </c>
      <c r="I20" s="246">
        <v>0</v>
      </c>
      <c r="J20" s="246">
        <v>0</v>
      </c>
      <c r="K20" s="246">
        <v>0</v>
      </c>
      <c r="L20" s="246">
        <v>0</v>
      </c>
      <c r="M20" s="135">
        <f t="shared" si="0"/>
        <v>70</v>
      </c>
      <c r="N20" s="136">
        <f t="shared" si="1"/>
        <v>0</v>
      </c>
      <c r="O20" s="136">
        <f t="shared" si="2"/>
        <v>0</v>
      </c>
      <c r="P20" s="136">
        <f t="shared" si="3"/>
        <v>0</v>
      </c>
      <c r="Q20" s="136">
        <f t="shared" si="4"/>
        <v>0</v>
      </c>
    </row>
    <row r="21" spans="1:17">
      <c r="A21" s="378" t="s">
        <v>277</v>
      </c>
      <c r="B21" s="118" t="s">
        <v>278</v>
      </c>
      <c r="C21" s="248"/>
      <c r="D21" s="246"/>
      <c r="E21" s="246"/>
      <c r="F21" s="246"/>
      <c r="G21" s="246"/>
      <c r="H21" s="248">
        <v>0</v>
      </c>
      <c r="I21" s="246" t="s">
        <v>87</v>
      </c>
      <c r="J21" s="246" t="s">
        <v>87</v>
      </c>
      <c r="K21" s="246" t="s">
        <v>87</v>
      </c>
      <c r="L21" s="246" t="s">
        <v>87</v>
      </c>
      <c r="M21" s="135">
        <f t="shared" si="0"/>
        <v>0</v>
      </c>
      <c r="N21" s="136" t="str">
        <f t="shared" si="1"/>
        <v/>
      </c>
      <c r="O21" s="136" t="str">
        <f t="shared" si="2"/>
        <v/>
      </c>
      <c r="P21" s="136">
        <f t="shared" si="3"/>
        <v>0</v>
      </c>
      <c r="Q21" s="136">
        <f t="shared" si="4"/>
        <v>0</v>
      </c>
    </row>
    <row r="22" spans="1:17">
      <c r="A22" s="378"/>
      <c r="B22" s="118" t="s">
        <v>279</v>
      </c>
      <c r="C22" s="248"/>
      <c r="D22" s="246"/>
      <c r="E22" s="246"/>
      <c r="F22" s="246"/>
      <c r="G22" s="246"/>
      <c r="H22" s="248">
        <v>1</v>
      </c>
      <c r="I22" s="246">
        <v>20.100000000000001</v>
      </c>
      <c r="J22" s="246" t="s">
        <v>87</v>
      </c>
      <c r="K22" s="246" t="s">
        <v>87</v>
      </c>
      <c r="L22" s="246" t="s">
        <v>87</v>
      </c>
      <c r="M22" s="135">
        <f t="shared" si="0"/>
        <v>1</v>
      </c>
      <c r="N22" s="136">
        <f t="shared" si="1"/>
        <v>20.100000000000001</v>
      </c>
      <c r="O22" s="136" t="str">
        <f t="shared" si="2"/>
        <v/>
      </c>
      <c r="P22" s="136">
        <f t="shared" si="3"/>
        <v>0</v>
      </c>
      <c r="Q22" s="136">
        <f t="shared" si="4"/>
        <v>0</v>
      </c>
    </row>
    <row r="23" spans="1:17">
      <c r="A23" s="378"/>
      <c r="B23" s="118" t="s">
        <v>280</v>
      </c>
      <c r="C23" s="248"/>
      <c r="D23" s="246"/>
      <c r="E23" s="246"/>
      <c r="F23" s="246"/>
      <c r="G23" s="246"/>
      <c r="H23" s="248">
        <v>8</v>
      </c>
      <c r="I23" s="246">
        <v>20.588999999999999</v>
      </c>
      <c r="J23" s="246">
        <v>1.9444740750576821</v>
      </c>
      <c r="K23" s="246">
        <v>26.422422225173044</v>
      </c>
      <c r="L23" s="246">
        <v>14.755577774826953</v>
      </c>
      <c r="M23" s="135">
        <f t="shared" si="0"/>
        <v>8</v>
      </c>
      <c r="N23" s="136">
        <f t="shared" si="1"/>
        <v>20.588999999999999</v>
      </c>
      <c r="O23" s="136">
        <f t="shared" si="2"/>
        <v>0.97223703752884105</v>
      </c>
      <c r="P23" s="136">
        <f t="shared" si="3"/>
        <v>26.422422225173044</v>
      </c>
      <c r="Q23" s="136">
        <f t="shared" si="4"/>
        <v>14.755577774826953</v>
      </c>
    </row>
    <row r="24" spans="1:17">
      <c r="A24" s="378"/>
      <c r="B24" s="118" t="s">
        <v>281</v>
      </c>
      <c r="C24" s="248"/>
      <c r="D24" s="247"/>
      <c r="E24" s="247"/>
      <c r="F24" s="247"/>
      <c r="G24" s="247"/>
      <c r="H24" s="315">
        <v>4</v>
      </c>
      <c r="I24" s="316">
        <v>0.85950000000000004</v>
      </c>
      <c r="J24" s="316">
        <v>0.12607273033187266</v>
      </c>
      <c r="K24" s="316">
        <v>0.98557273033187265</v>
      </c>
      <c r="L24" s="316">
        <v>0.73342726966812744</v>
      </c>
      <c r="M24" s="135">
        <f t="shared" si="0"/>
        <v>4</v>
      </c>
      <c r="N24" s="247">
        <f t="shared" si="1"/>
        <v>0.85950000000000004</v>
      </c>
      <c r="O24" s="247">
        <f t="shared" si="2"/>
        <v>6.3036365165936331E-2</v>
      </c>
      <c r="P24" s="247">
        <f t="shared" si="3"/>
        <v>0.98557273033187265</v>
      </c>
      <c r="Q24" s="247">
        <f t="shared" si="4"/>
        <v>0.73342726966812744</v>
      </c>
    </row>
    <row r="25" spans="1:17">
      <c r="A25" s="378"/>
      <c r="B25" s="118" t="s">
        <v>282</v>
      </c>
      <c r="C25" s="248"/>
      <c r="D25" s="246"/>
      <c r="E25" s="246"/>
      <c r="F25" s="246"/>
      <c r="G25" s="246"/>
      <c r="H25" s="248">
        <v>24</v>
      </c>
      <c r="I25" s="246">
        <v>2.7705833333333332</v>
      </c>
      <c r="J25" s="246">
        <v>3.2934622184045121</v>
      </c>
      <c r="K25" s="246">
        <v>6.0640455517378449</v>
      </c>
      <c r="L25" s="246">
        <v>0</v>
      </c>
      <c r="M25" s="135">
        <f t="shared" si="0"/>
        <v>24</v>
      </c>
      <c r="N25" s="136">
        <f t="shared" si="1"/>
        <v>2.7705833333333332</v>
      </c>
      <c r="O25" s="136">
        <f t="shared" si="2"/>
        <v>1.6467311092022561</v>
      </c>
      <c r="P25" s="136">
        <f t="shared" si="3"/>
        <v>6.0640455517378449</v>
      </c>
      <c r="Q25" s="136">
        <f t="shared" si="4"/>
        <v>0</v>
      </c>
    </row>
    <row r="26" spans="1:17">
      <c r="A26" s="224" t="s">
        <v>283</v>
      </c>
      <c r="B26" s="118" t="s">
        <v>284</v>
      </c>
      <c r="C26" s="248"/>
      <c r="D26" s="246"/>
      <c r="E26" s="246"/>
      <c r="F26" s="246"/>
      <c r="G26" s="246"/>
      <c r="H26" s="248">
        <v>0</v>
      </c>
      <c r="I26" s="246" t="s">
        <v>87</v>
      </c>
      <c r="J26" s="246" t="s">
        <v>87</v>
      </c>
      <c r="K26" s="246" t="s">
        <v>87</v>
      </c>
      <c r="L26" s="246" t="s">
        <v>87</v>
      </c>
      <c r="M26" s="135">
        <f t="shared" si="0"/>
        <v>0</v>
      </c>
      <c r="N26" s="136" t="str">
        <f t="shared" si="1"/>
        <v/>
      </c>
      <c r="O26" s="136" t="str">
        <f t="shared" si="2"/>
        <v/>
      </c>
      <c r="P26" s="136">
        <f t="shared" si="3"/>
        <v>0</v>
      </c>
      <c r="Q26" s="136">
        <f t="shared" si="4"/>
        <v>0</v>
      </c>
    </row>
    <row r="27" spans="1:17">
      <c r="A27" s="378" t="s">
        <v>285</v>
      </c>
      <c r="B27" s="118" t="s">
        <v>286</v>
      </c>
      <c r="C27" s="248"/>
      <c r="D27" s="246"/>
      <c r="E27" s="246"/>
      <c r="F27" s="246"/>
      <c r="G27" s="246"/>
      <c r="H27" s="248">
        <v>0</v>
      </c>
      <c r="I27" s="246" t="s">
        <v>87</v>
      </c>
      <c r="J27" s="246" t="s">
        <v>87</v>
      </c>
      <c r="K27" s="246" t="s">
        <v>87</v>
      </c>
      <c r="L27" s="246" t="s">
        <v>87</v>
      </c>
      <c r="M27" s="135">
        <f t="shared" si="0"/>
        <v>0</v>
      </c>
      <c r="N27" s="136" t="str">
        <f t="shared" si="1"/>
        <v/>
      </c>
      <c r="O27" s="136" t="str">
        <f t="shared" si="2"/>
        <v/>
      </c>
      <c r="P27" s="136">
        <f t="shared" si="3"/>
        <v>0</v>
      </c>
      <c r="Q27" s="136">
        <f t="shared" si="4"/>
        <v>0</v>
      </c>
    </row>
    <row r="28" spans="1:17">
      <c r="A28" s="378"/>
      <c r="B28" s="118" t="s">
        <v>287</v>
      </c>
      <c r="C28" s="248"/>
      <c r="D28" s="246"/>
      <c r="E28" s="246"/>
      <c r="F28" s="246"/>
      <c r="G28" s="246"/>
      <c r="H28" s="248">
        <v>4</v>
      </c>
      <c r="I28" s="246">
        <v>0</v>
      </c>
      <c r="J28" s="246">
        <v>0</v>
      </c>
      <c r="K28" s="246">
        <v>0</v>
      </c>
      <c r="L28" s="246">
        <v>0</v>
      </c>
      <c r="M28" s="135">
        <f t="shared" si="0"/>
        <v>4</v>
      </c>
      <c r="N28" s="136">
        <f t="shared" si="1"/>
        <v>0</v>
      </c>
      <c r="O28" s="136">
        <f t="shared" si="2"/>
        <v>0</v>
      </c>
      <c r="P28" s="136">
        <f t="shared" si="3"/>
        <v>0</v>
      </c>
      <c r="Q28" s="136">
        <f t="shared" si="4"/>
        <v>0</v>
      </c>
    </row>
    <row r="29" spans="1:17">
      <c r="A29" s="378" t="s">
        <v>288</v>
      </c>
      <c r="B29" s="118" t="s">
        <v>289</v>
      </c>
      <c r="C29" s="248"/>
      <c r="D29" s="246"/>
      <c r="E29" s="246"/>
      <c r="F29" s="246"/>
      <c r="G29" s="246"/>
      <c r="H29" s="248">
        <v>28</v>
      </c>
      <c r="I29" s="246">
        <v>0</v>
      </c>
      <c r="J29" s="246">
        <v>0</v>
      </c>
      <c r="K29" s="246">
        <v>0</v>
      </c>
      <c r="L29" s="246">
        <v>0</v>
      </c>
      <c r="M29" s="135">
        <f t="shared" si="0"/>
        <v>28</v>
      </c>
      <c r="N29" s="136">
        <f t="shared" si="1"/>
        <v>0</v>
      </c>
      <c r="O29" s="136">
        <f t="shared" si="2"/>
        <v>0</v>
      </c>
      <c r="P29" s="136">
        <f t="shared" si="3"/>
        <v>0</v>
      </c>
      <c r="Q29" s="136">
        <f t="shared" si="4"/>
        <v>0</v>
      </c>
    </row>
    <row r="30" spans="1:17">
      <c r="A30" s="378"/>
      <c r="B30" s="118" t="s">
        <v>290</v>
      </c>
      <c r="C30" s="248"/>
      <c r="D30" s="246"/>
      <c r="E30" s="246"/>
      <c r="F30" s="246"/>
      <c r="G30" s="246"/>
      <c r="H30" s="248">
        <v>42</v>
      </c>
      <c r="I30" s="246">
        <v>0</v>
      </c>
      <c r="J30" s="246">
        <v>0</v>
      </c>
      <c r="K30" s="246">
        <v>0</v>
      </c>
      <c r="L30" s="246">
        <v>0</v>
      </c>
      <c r="M30" s="135">
        <f t="shared" si="0"/>
        <v>42</v>
      </c>
      <c r="N30" s="136">
        <f t="shared" si="1"/>
        <v>0</v>
      </c>
      <c r="O30" s="136">
        <f t="shared" si="2"/>
        <v>0</v>
      </c>
      <c r="P30" s="136">
        <f t="shared" si="3"/>
        <v>0</v>
      </c>
      <c r="Q30" s="136">
        <f t="shared" si="4"/>
        <v>0</v>
      </c>
    </row>
    <row r="31" spans="1:17">
      <c r="A31" s="380" t="s">
        <v>291</v>
      </c>
      <c r="B31" s="118" t="s">
        <v>292</v>
      </c>
      <c r="C31" s="248"/>
      <c r="D31" s="247"/>
      <c r="E31" s="247"/>
      <c r="F31" s="247"/>
      <c r="G31" s="247"/>
      <c r="H31" s="248">
        <v>15</v>
      </c>
      <c r="I31" s="247">
        <v>1</v>
      </c>
      <c r="J31" s="247">
        <v>0</v>
      </c>
      <c r="K31" s="247">
        <v>1</v>
      </c>
      <c r="L31" s="247">
        <v>1</v>
      </c>
      <c r="M31" s="135">
        <f t="shared" si="0"/>
        <v>15</v>
      </c>
      <c r="N31" s="247">
        <f t="shared" si="1"/>
        <v>1</v>
      </c>
      <c r="O31" s="247">
        <f t="shared" si="2"/>
        <v>0</v>
      </c>
      <c r="P31" s="247">
        <f t="shared" si="3"/>
        <v>1</v>
      </c>
      <c r="Q31" s="247">
        <f t="shared" si="4"/>
        <v>1</v>
      </c>
    </row>
    <row r="32" spans="1:17">
      <c r="A32" s="381"/>
      <c r="B32" s="118" t="s">
        <v>293</v>
      </c>
      <c r="C32" s="248"/>
      <c r="D32" s="246"/>
      <c r="E32" s="246"/>
      <c r="F32" s="246"/>
      <c r="G32" s="246"/>
      <c r="H32" s="248">
        <v>0</v>
      </c>
      <c r="I32" s="246" t="s">
        <v>87</v>
      </c>
      <c r="J32" s="246" t="s">
        <v>87</v>
      </c>
      <c r="K32" s="246" t="s">
        <v>87</v>
      </c>
      <c r="L32" s="246" t="s">
        <v>87</v>
      </c>
      <c r="M32" s="135">
        <f t="shared" si="0"/>
        <v>0</v>
      </c>
      <c r="N32" s="136" t="str">
        <f t="shared" si="1"/>
        <v/>
      </c>
      <c r="O32" s="136" t="str">
        <f t="shared" si="2"/>
        <v/>
      </c>
      <c r="P32" s="136">
        <f t="shared" si="3"/>
        <v>0</v>
      </c>
      <c r="Q32" s="136">
        <f t="shared" si="4"/>
        <v>0</v>
      </c>
    </row>
    <row r="33" spans="1:17">
      <c r="A33" s="381"/>
      <c r="B33" s="118" t="s">
        <v>294</v>
      </c>
      <c r="C33" s="248"/>
      <c r="D33" s="246"/>
      <c r="E33" s="246"/>
      <c r="F33" s="246"/>
      <c r="G33" s="246"/>
      <c r="H33" s="248">
        <v>0</v>
      </c>
      <c r="I33" s="246" t="s">
        <v>87</v>
      </c>
      <c r="J33" s="246" t="s">
        <v>87</v>
      </c>
      <c r="K33" s="246" t="s">
        <v>87</v>
      </c>
      <c r="L33" s="246" t="s">
        <v>87</v>
      </c>
      <c r="M33" s="135">
        <f t="shared" si="0"/>
        <v>0</v>
      </c>
      <c r="N33" s="136" t="str">
        <f t="shared" si="1"/>
        <v/>
      </c>
      <c r="O33" s="136" t="str">
        <f t="shared" si="2"/>
        <v/>
      </c>
      <c r="P33" s="136">
        <f t="shared" si="3"/>
        <v>0</v>
      </c>
      <c r="Q33" s="136">
        <f t="shared" si="4"/>
        <v>0</v>
      </c>
    </row>
    <row r="34" spans="1:17">
      <c r="A34" s="381"/>
      <c r="B34" s="118" t="s">
        <v>295</v>
      </c>
      <c r="C34" s="248"/>
      <c r="D34" s="246"/>
      <c r="E34" s="246"/>
      <c r="F34" s="246"/>
      <c r="G34" s="246"/>
      <c r="H34" s="248">
        <v>0</v>
      </c>
      <c r="I34" s="246" t="s">
        <v>87</v>
      </c>
      <c r="J34" s="246" t="s">
        <v>87</v>
      </c>
      <c r="K34" s="246" t="s">
        <v>87</v>
      </c>
      <c r="L34" s="246" t="s">
        <v>87</v>
      </c>
      <c r="M34" s="135">
        <f t="shared" si="0"/>
        <v>0</v>
      </c>
      <c r="N34" s="136" t="str">
        <f t="shared" si="1"/>
        <v/>
      </c>
      <c r="O34" s="136" t="str">
        <f t="shared" si="2"/>
        <v/>
      </c>
      <c r="P34" s="136">
        <f t="shared" si="3"/>
        <v>0</v>
      </c>
      <c r="Q34" s="136">
        <f t="shared" si="4"/>
        <v>0</v>
      </c>
    </row>
    <row r="35" spans="1:17">
      <c r="A35" s="382"/>
      <c r="B35" s="118" t="s">
        <v>296</v>
      </c>
      <c r="C35" s="248"/>
      <c r="D35" s="246"/>
      <c r="E35" s="246"/>
      <c r="F35" s="246"/>
      <c r="G35" s="246"/>
      <c r="H35" s="248">
        <v>0</v>
      </c>
      <c r="I35" s="246" t="s">
        <v>87</v>
      </c>
      <c r="J35" s="246" t="s">
        <v>87</v>
      </c>
      <c r="K35" s="246" t="s">
        <v>87</v>
      </c>
      <c r="L35" s="246" t="s">
        <v>87</v>
      </c>
      <c r="M35" s="135">
        <f t="shared" si="0"/>
        <v>0</v>
      </c>
      <c r="N35" s="136" t="str">
        <f t="shared" si="1"/>
        <v/>
      </c>
      <c r="O35" s="136" t="str">
        <f t="shared" si="2"/>
        <v/>
      </c>
      <c r="P35" s="136">
        <f t="shared" si="3"/>
        <v>0</v>
      </c>
      <c r="Q35" s="136">
        <f t="shared" si="4"/>
        <v>0</v>
      </c>
    </row>
    <row r="36" spans="1:17">
      <c r="A36" s="382"/>
      <c r="B36" s="118" t="s">
        <v>297</v>
      </c>
      <c r="C36" s="248"/>
      <c r="D36" s="246"/>
      <c r="E36" s="246"/>
      <c r="F36" s="246"/>
      <c r="G36" s="246"/>
      <c r="H36" s="248">
        <v>0</v>
      </c>
      <c r="I36" s="246" t="s">
        <v>87</v>
      </c>
      <c r="J36" s="246" t="s">
        <v>87</v>
      </c>
      <c r="K36" s="246" t="s">
        <v>87</v>
      </c>
      <c r="L36" s="246" t="s">
        <v>87</v>
      </c>
      <c r="M36" s="135">
        <f t="shared" si="0"/>
        <v>0</v>
      </c>
      <c r="N36" s="136" t="str">
        <f t="shared" si="1"/>
        <v/>
      </c>
      <c r="O36" s="136" t="str">
        <f t="shared" si="2"/>
        <v/>
      </c>
      <c r="P36" s="136">
        <f t="shared" si="3"/>
        <v>0</v>
      </c>
      <c r="Q36" s="136">
        <f t="shared" si="4"/>
        <v>0</v>
      </c>
    </row>
    <row r="37" spans="1:17">
      <c r="A37" s="383"/>
      <c r="B37" s="118" t="s">
        <v>298</v>
      </c>
      <c r="C37" s="248"/>
      <c r="D37" s="246"/>
      <c r="E37" s="246"/>
      <c r="F37" s="246"/>
      <c r="G37" s="246"/>
      <c r="H37" s="248">
        <v>0</v>
      </c>
      <c r="I37" s="246" t="s">
        <v>87</v>
      </c>
      <c r="J37" s="246" t="s">
        <v>87</v>
      </c>
      <c r="K37" s="246" t="s">
        <v>87</v>
      </c>
      <c r="L37" s="246" t="s">
        <v>87</v>
      </c>
      <c r="M37" s="135">
        <f t="shared" si="0"/>
        <v>0</v>
      </c>
      <c r="N37" s="136" t="str">
        <f t="shared" si="1"/>
        <v/>
      </c>
      <c r="O37" s="136" t="str">
        <f t="shared" si="2"/>
        <v/>
      </c>
      <c r="P37" s="136">
        <f t="shared" si="3"/>
        <v>0</v>
      </c>
      <c r="Q37" s="136">
        <f t="shared" si="4"/>
        <v>0</v>
      </c>
    </row>
    <row r="38" spans="1:17">
      <c r="A38" s="364" t="s">
        <v>299</v>
      </c>
      <c r="B38" s="118" t="s">
        <v>300</v>
      </c>
      <c r="C38" s="248"/>
      <c r="D38" s="246"/>
      <c r="E38" s="246"/>
      <c r="F38" s="246"/>
      <c r="G38" s="246"/>
      <c r="H38" s="248">
        <v>40</v>
      </c>
      <c r="I38" s="246">
        <v>1.2250000000000001</v>
      </c>
      <c r="J38" s="246">
        <v>3.6828605103182417</v>
      </c>
      <c r="K38" s="246">
        <v>4.9078605103182422</v>
      </c>
      <c r="L38" s="246">
        <v>0</v>
      </c>
      <c r="M38" s="135">
        <f t="shared" si="0"/>
        <v>40</v>
      </c>
      <c r="N38" s="136">
        <f t="shared" si="1"/>
        <v>1.2250000000000001</v>
      </c>
      <c r="O38" s="136">
        <f t="shared" si="2"/>
        <v>1.8414302551591208</v>
      </c>
      <c r="P38" s="136">
        <f t="shared" si="3"/>
        <v>4.9078605103182422</v>
      </c>
      <c r="Q38" s="136">
        <f t="shared" si="4"/>
        <v>0</v>
      </c>
    </row>
    <row r="39" spans="1:17">
      <c r="A39" s="364"/>
      <c r="B39" s="118" t="s">
        <v>301</v>
      </c>
      <c r="C39" s="248"/>
      <c r="D39" s="246"/>
      <c r="E39" s="246"/>
      <c r="F39" s="246"/>
      <c r="G39" s="246"/>
      <c r="H39" s="248">
        <v>23</v>
      </c>
      <c r="I39" s="246">
        <v>3.3391304347826085</v>
      </c>
      <c r="J39" s="246">
        <v>1.5605037445513854</v>
      </c>
      <c r="K39" s="246">
        <v>4.8996341793339937</v>
      </c>
      <c r="L39" s="246">
        <v>1.7786266902312231</v>
      </c>
      <c r="M39" s="135">
        <f t="shared" si="0"/>
        <v>23</v>
      </c>
      <c r="N39" s="136">
        <f t="shared" si="1"/>
        <v>3.3391304347826085</v>
      </c>
      <c r="O39" s="136">
        <f t="shared" si="2"/>
        <v>0.7802518722756927</v>
      </c>
      <c r="P39" s="136">
        <f t="shared" si="3"/>
        <v>4.8996341793339937</v>
      </c>
      <c r="Q39" s="136">
        <f t="shared" si="4"/>
        <v>1.7786266902312231</v>
      </c>
    </row>
    <row r="40" spans="1:17">
      <c r="A40" s="364"/>
      <c r="B40" s="118" t="s">
        <v>302</v>
      </c>
      <c r="C40" s="248"/>
      <c r="D40" s="247"/>
      <c r="E40" s="247"/>
      <c r="F40" s="247"/>
      <c r="G40" s="247"/>
      <c r="H40" s="248">
        <v>10</v>
      </c>
      <c r="I40" s="247">
        <v>5.850000000000001E-2</v>
      </c>
      <c r="J40" s="247">
        <v>2.2642192669635325E-2</v>
      </c>
      <c r="K40" s="247">
        <v>8.1142192669635335E-2</v>
      </c>
      <c r="L40" s="247">
        <v>3.5857807330364685E-2</v>
      </c>
      <c r="M40" s="135">
        <f t="shared" si="0"/>
        <v>10</v>
      </c>
      <c r="N40" s="247">
        <f t="shared" si="1"/>
        <v>5.850000000000001E-2</v>
      </c>
      <c r="O40" s="247">
        <f t="shared" si="2"/>
        <v>1.1321096334817662E-2</v>
      </c>
      <c r="P40" s="247">
        <f t="shared" si="3"/>
        <v>8.1142192669635335E-2</v>
      </c>
      <c r="Q40" s="247">
        <f t="shared" si="4"/>
        <v>3.5857807330364685E-2</v>
      </c>
    </row>
    <row r="41" spans="1:17">
      <c r="A41" s="364"/>
      <c r="B41" s="120" t="s">
        <v>303</v>
      </c>
      <c r="C41" s="248"/>
      <c r="D41" s="246"/>
      <c r="E41" s="246"/>
      <c r="F41" s="246"/>
      <c r="G41" s="246"/>
      <c r="H41" s="248">
        <v>9</v>
      </c>
      <c r="I41" s="246">
        <v>0.1111111111111111</v>
      </c>
      <c r="J41" s="246">
        <v>0.33333333333333331</v>
      </c>
      <c r="K41" s="246">
        <v>0.44444444444444442</v>
      </c>
      <c r="L41" s="246">
        <v>0</v>
      </c>
      <c r="M41" s="135">
        <f t="shared" si="0"/>
        <v>9</v>
      </c>
      <c r="N41" s="136">
        <f t="shared" si="1"/>
        <v>0.1111111111111111</v>
      </c>
      <c r="O41" s="136">
        <f t="shared" si="2"/>
        <v>0.16666666666666666</v>
      </c>
      <c r="P41" s="136">
        <f t="shared" si="3"/>
        <v>0.44444444444444442</v>
      </c>
      <c r="Q41" s="136">
        <f t="shared" si="4"/>
        <v>0</v>
      </c>
    </row>
    <row r="42" spans="1:17">
      <c r="A42" s="364"/>
      <c r="B42" s="120" t="s">
        <v>304</v>
      </c>
      <c r="C42" s="248"/>
      <c r="D42" s="246"/>
      <c r="E42" s="246"/>
      <c r="F42" s="246"/>
      <c r="G42" s="246"/>
      <c r="H42" s="248">
        <v>8</v>
      </c>
      <c r="I42" s="246">
        <v>0</v>
      </c>
      <c r="J42" s="246">
        <v>0</v>
      </c>
      <c r="K42" s="246">
        <v>0</v>
      </c>
      <c r="L42" s="246">
        <v>0</v>
      </c>
      <c r="M42" s="135">
        <f t="shared" si="0"/>
        <v>8</v>
      </c>
      <c r="N42" s="136">
        <f t="shared" si="1"/>
        <v>0</v>
      </c>
      <c r="O42" s="136">
        <f t="shared" si="2"/>
        <v>0</v>
      </c>
      <c r="P42" s="136">
        <f t="shared" si="3"/>
        <v>0</v>
      </c>
      <c r="Q42" s="136">
        <f t="shared" si="4"/>
        <v>0</v>
      </c>
    </row>
    <row r="43" spans="1:17">
      <c r="A43" s="364"/>
      <c r="B43" s="120" t="s">
        <v>305</v>
      </c>
      <c r="C43" s="248"/>
      <c r="D43" s="246"/>
      <c r="E43" s="246"/>
      <c r="F43" s="246"/>
      <c r="G43" s="246"/>
      <c r="H43" s="248">
        <v>0</v>
      </c>
      <c r="I43" s="246" t="s">
        <v>87</v>
      </c>
      <c r="J43" s="246" t="s">
        <v>87</v>
      </c>
      <c r="K43" s="246" t="s">
        <v>87</v>
      </c>
      <c r="L43" s="246" t="s">
        <v>87</v>
      </c>
      <c r="M43" s="135">
        <f t="shared" si="0"/>
        <v>0</v>
      </c>
      <c r="N43" s="136" t="str">
        <f t="shared" si="1"/>
        <v/>
      </c>
      <c r="O43" s="136" t="str">
        <f t="shared" si="2"/>
        <v/>
      </c>
      <c r="P43" s="136">
        <f t="shared" si="3"/>
        <v>0</v>
      </c>
      <c r="Q43" s="136">
        <f t="shared" si="4"/>
        <v>0</v>
      </c>
    </row>
    <row r="44" spans="1:17">
      <c r="A44" s="389" t="s">
        <v>488</v>
      </c>
      <c r="B44" s="118" t="s">
        <v>479</v>
      </c>
      <c r="C44" s="136"/>
      <c r="D44" s="136"/>
      <c r="E44" s="136"/>
      <c r="F44" s="136"/>
      <c r="G44" s="136"/>
      <c r="H44" s="248">
        <v>1</v>
      </c>
      <c r="I44" s="248">
        <v>2.1</v>
      </c>
      <c r="J44" s="248" t="s">
        <v>87</v>
      </c>
      <c r="K44" s="248" t="s">
        <v>87</v>
      </c>
      <c r="L44" s="248" t="s">
        <v>87</v>
      </c>
      <c r="M44" s="135">
        <f t="shared" ref="M44:M56" si="5">IFERROR(C44+H44,"")</f>
        <v>1</v>
      </c>
      <c r="N44" s="136">
        <f t="shared" ref="N44:N56" si="6">IFERROR((C44*D44+H44*I44)/M44,"")</f>
        <v>2.1</v>
      </c>
      <c r="O44" s="136" t="str">
        <f t="shared" ref="O44:O56" si="7">IFERROR((E44+J44)/2,"")</f>
        <v/>
      </c>
      <c r="P44" s="136">
        <f t="shared" ref="P44:P56" si="8">IFERROR(MAXA(F44,K44),"")</f>
        <v>0</v>
      </c>
      <c r="Q44" s="136">
        <f t="shared" ref="Q44:Q56" si="9">IFERROR(MINA(G44,L44),"")</f>
        <v>0</v>
      </c>
    </row>
    <row r="45" spans="1:17">
      <c r="A45" s="351"/>
      <c r="B45" s="118" t="s">
        <v>480</v>
      </c>
      <c r="C45" s="136"/>
      <c r="D45" s="136"/>
      <c r="E45" s="136"/>
      <c r="F45" s="136"/>
      <c r="G45" s="136"/>
      <c r="H45" s="248">
        <v>26</v>
      </c>
      <c r="I45" s="318">
        <v>9.4791025641025648</v>
      </c>
      <c r="J45" s="318">
        <v>3.9249695888636214</v>
      </c>
      <c r="K45" s="318">
        <v>13.404072152966187</v>
      </c>
      <c r="L45" s="318">
        <v>5.554132975238943</v>
      </c>
      <c r="M45" s="135">
        <f t="shared" si="5"/>
        <v>26</v>
      </c>
      <c r="N45" s="136">
        <f t="shared" si="6"/>
        <v>9.4791025641025648</v>
      </c>
      <c r="O45" s="136">
        <f t="shared" si="7"/>
        <v>1.9624847944318107</v>
      </c>
      <c r="P45" s="136">
        <f t="shared" si="8"/>
        <v>13.404072152966187</v>
      </c>
      <c r="Q45" s="136">
        <f t="shared" si="9"/>
        <v>5.554132975238943</v>
      </c>
    </row>
    <row r="46" spans="1:17">
      <c r="A46" s="351"/>
      <c r="B46" s="118" t="s">
        <v>481</v>
      </c>
      <c r="C46" s="136"/>
      <c r="D46" s="136"/>
      <c r="E46" s="136"/>
      <c r="F46" s="136"/>
      <c r="G46" s="136"/>
      <c r="H46" s="248">
        <v>22</v>
      </c>
      <c r="I46" s="318">
        <v>21.709545454545459</v>
      </c>
      <c r="J46" s="318">
        <v>7.3842441514559543</v>
      </c>
      <c r="K46" s="318">
        <v>29.093789606001415</v>
      </c>
      <c r="L46" s="318">
        <v>14.325301303089505</v>
      </c>
      <c r="M46" s="135">
        <f t="shared" si="5"/>
        <v>22</v>
      </c>
      <c r="N46" s="136">
        <f t="shared" si="6"/>
        <v>21.709545454545459</v>
      </c>
      <c r="O46" s="136">
        <f t="shared" si="7"/>
        <v>3.6921220757279771</v>
      </c>
      <c r="P46" s="136">
        <f t="shared" si="8"/>
        <v>29.093789606001415</v>
      </c>
      <c r="Q46" s="136">
        <f t="shared" si="9"/>
        <v>14.325301303089505</v>
      </c>
    </row>
    <row r="47" spans="1:17">
      <c r="A47" s="351"/>
      <c r="B47" s="118" t="s">
        <v>482</v>
      </c>
      <c r="C47" s="136"/>
      <c r="D47" s="136"/>
      <c r="E47" s="136"/>
      <c r="F47" s="136"/>
      <c r="G47" s="136"/>
      <c r="H47" s="248">
        <v>38</v>
      </c>
      <c r="I47" s="318">
        <v>21.443157894736842</v>
      </c>
      <c r="J47" s="318">
        <v>9.3329755706003201</v>
      </c>
      <c r="K47" s="318">
        <v>30.776133465337161</v>
      </c>
      <c r="L47" s="318">
        <v>12.110182324136522</v>
      </c>
      <c r="M47" s="135">
        <f t="shared" si="5"/>
        <v>38</v>
      </c>
      <c r="N47" s="136">
        <f t="shared" si="6"/>
        <v>21.443157894736842</v>
      </c>
      <c r="O47" s="136">
        <f t="shared" si="7"/>
        <v>4.6664877853001601</v>
      </c>
      <c r="P47" s="136">
        <f t="shared" si="8"/>
        <v>30.776133465337161</v>
      </c>
      <c r="Q47" s="136">
        <f t="shared" si="9"/>
        <v>12.110182324136522</v>
      </c>
    </row>
    <row r="48" spans="1:17">
      <c r="A48" s="351"/>
      <c r="B48" s="118" t="s">
        <v>483</v>
      </c>
      <c r="C48" s="136"/>
      <c r="D48" s="136"/>
      <c r="E48" s="136"/>
      <c r="F48" s="136"/>
      <c r="G48" s="136"/>
      <c r="H48" s="248">
        <v>0</v>
      </c>
      <c r="I48" s="248" t="s">
        <v>87</v>
      </c>
      <c r="J48" s="248" t="s">
        <v>87</v>
      </c>
      <c r="K48" s="248" t="s">
        <v>87</v>
      </c>
      <c r="L48" s="248" t="s">
        <v>87</v>
      </c>
      <c r="M48" s="135">
        <f t="shared" si="5"/>
        <v>0</v>
      </c>
      <c r="N48" s="136" t="str">
        <f t="shared" si="6"/>
        <v/>
      </c>
      <c r="O48" s="136" t="str">
        <f t="shared" si="7"/>
        <v/>
      </c>
      <c r="P48" s="136">
        <f t="shared" si="8"/>
        <v>0</v>
      </c>
      <c r="Q48" s="136">
        <f t="shared" si="9"/>
        <v>0</v>
      </c>
    </row>
    <row r="49" spans="1:17">
      <c r="A49" s="389" t="s">
        <v>489</v>
      </c>
      <c r="B49" s="118" t="s">
        <v>484</v>
      </c>
      <c r="C49" s="136"/>
      <c r="D49" s="136"/>
      <c r="E49" s="136"/>
      <c r="F49" s="136"/>
      <c r="G49" s="136"/>
      <c r="H49" s="248">
        <v>1</v>
      </c>
      <c r="I49" s="318">
        <v>22.32</v>
      </c>
      <c r="J49" s="248" t="s">
        <v>87</v>
      </c>
      <c r="K49" s="248" t="s">
        <v>87</v>
      </c>
      <c r="L49" s="248" t="s">
        <v>87</v>
      </c>
      <c r="M49" s="135">
        <f t="shared" si="5"/>
        <v>1</v>
      </c>
      <c r="N49" s="136">
        <f t="shared" si="6"/>
        <v>22.32</v>
      </c>
      <c r="O49" s="136" t="str">
        <f t="shared" si="7"/>
        <v/>
      </c>
      <c r="P49" s="136">
        <f t="shared" si="8"/>
        <v>0</v>
      </c>
      <c r="Q49" s="136">
        <f t="shared" si="9"/>
        <v>0</v>
      </c>
    </row>
    <row r="50" spans="1:17">
      <c r="A50" s="351"/>
      <c r="B50" s="118" t="s">
        <v>320</v>
      </c>
      <c r="C50" s="136"/>
      <c r="D50" s="136"/>
      <c r="E50" s="136"/>
      <c r="F50" s="136"/>
      <c r="G50" s="136"/>
      <c r="H50" s="248">
        <v>25</v>
      </c>
      <c r="I50" s="319">
        <v>0.87058799999999992</v>
      </c>
      <c r="J50" s="319">
        <v>0.12766989438913726</v>
      </c>
      <c r="K50" s="319">
        <v>0.99825789438913715</v>
      </c>
      <c r="L50" s="319">
        <v>0.74291810561086269</v>
      </c>
      <c r="M50" s="135">
        <f t="shared" si="5"/>
        <v>25</v>
      </c>
      <c r="N50" s="302">
        <f t="shared" si="6"/>
        <v>0.87058799999999992</v>
      </c>
      <c r="O50" s="302">
        <f t="shared" si="7"/>
        <v>6.3834947194568628E-2</v>
      </c>
      <c r="P50" s="302">
        <f t="shared" si="8"/>
        <v>0.99825789438913715</v>
      </c>
      <c r="Q50" s="302">
        <f t="shared" si="9"/>
        <v>0.74291810561086269</v>
      </c>
    </row>
    <row r="51" spans="1:17">
      <c r="A51" s="351"/>
      <c r="B51" s="118" t="s">
        <v>313</v>
      </c>
      <c r="C51" s="136"/>
      <c r="D51" s="136"/>
      <c r="E51" s="136"/>
      <c r="F51" s="136"/>
      <c r="G51" s="136"/>
      <c r="H51" s="248">
        <v>0</v>
      </c>
      <c r="I51" s="248" t="s">
        <v>87</v>
      </c>
      <c r="J51" s="248" t="s">
        <v>87</v>
      </c>
      <c r="K51" s="248" t="s">
        <v>87</v>
      </c>
      <c r="L51" s="248" t="s">
        <v>87</v>
      </c>
      <c r="M51" s="135">
        <f t="shared" si="5"/>
        <v>0</v>
      </c>
      <c r="N51" s="302" t="str">
        <f t="shared" si="6"/>
        <v/>
      </c>
      <c r="O51" s="302" t="str">
        <f t="shared" si="7"/>
        <v/>
      </c>
      <c r="P51" s="302">
        <f t="shared" si="8"/>
        <v>0</v>
      </c>
      <c r="Q51" s="302">
        <f t="shared" si="9"/>
        <v>0</v>
      </c>
    </row>
    <row r="52" spans="1:17">
      <c r="A52" s="351"/>
      <c r="B52" s="317" t="s">
        <v>485</v>
      </c>
      <c r="C52" s="136"/>
      <c r="D52" s="136"/>
      <c r="E52" s="136"/>
      <c r="F52" s="136"/>
      <c r="G52" s="136"/>
      <c r="H52" s="248">
        <v>43</v>
      </c>
      <c r="I52" s="320">
        <v>6.9767441860465115E-2</v>
      </c>
      <c r="J52" s="320">
        <v>0.25776963111323353</v>
      </c>
      <c r="K52" s="320">
        <v>0.32753707297369866</v>
      </c>
      <c r="L52" s="320">
        <v>0</v>
      </c>
      <c r="M52" s="135">
        <f t="shared" si="5"/>
        <v>43</v>
      </c>
      <c r="N52" s="136">
        <f t="shared" si="6"/>
        <v>6.9767441860465115E-2</v>
      </c>
      <c r="O52" s="136">
        <f t="shared" si="7"/>
        <v>0.12888481555661677</v>
      </c>
      <c r="P52" s="136">
        <f t="shared" si="8"/>
        <v>0.32753707297369866</v>
      </c>
      <c r="Q52" s="136">
        <f t="shared" si="9"/>
        <v>0</v>
      </c>
    </row>
    <row r="53" spans="1:17">
      <c r="A53" s="351"/>
      <c r="B53" s="118" t="s">
        <v>315</v>
      </c>
      <c r="C53" s="136"/>
      <c r="D53" s="136"/>
      <c r="E53" s="136"/>
      <c r="F53" s="136"/>
      <c r="G53" s="136"/>
      <c r="H53" s="248">
        <v>0</v>
      </c>
      <c r="I53" s="248" t="s">
        <v>87</v>
      </c>
      <c r="J53" s="248" t="s">
        <v>87</v>
      </c>
      <c r="K53" s="248" t="s">
        <v>87</v>
      </c>
      <c r="L53" s="248" t="s">
        <v>87</v>
      </c>
      <c r="M53" s="135">
        <f t="shared" si="5"/>
        <v>0</v>
      </c>
      <c r="N53" s="302" t="str">
        <f t="shared" si="6"/>
        <v/>
      </c>
      <c r="O53" s="302" t="str">
        <f t="shared" si="7"/>
        <v/>
      </c>
      <c r="P53" s="302">
        <f t="shared" si="8"/>
        <v>0</v>
      </c>
      <c r="Q53" s="302">
        <f t="shared" si="9"/>
        <v>0</v>
      </c>
    </row>
    <row r="54" spans="1:17">
      <c r="A54" s="351"/>
      <c r="B54" s="118" t="s">
        <v>486</v>
      </c>
      <c r="C54" s="136"/>
      <c r="D54" s="136"/>
      <c r="E54" s="136"/>
      <c r="F54" s="136"/>
      <c r="G54" s="136"/>
      <c r="H54" s="248">
        <v>36</v>
      </c>
      <c r="I54" s="319">
        <v>0.98077499999999995</v>
      </c>
      <c r="J54" s="319">
        <v>2.070320023571235E-2</v>
      </c>
      <c r="K54" s="319">
        <v>1.04288460070714</v>
      </c>
      <c r="L54" s="319">
        <v>0.91866539929286295</v>
      </c>
      <c r="M54" s="135">
        <f t="shared" si="5"/>
        <v>36</v>
      </c>
      <c r="N54" s="302">
        <f t="shared" si="6"/>
        <v>0.98077499999999995</v>
      </c>
      <c r="O54" s="302">
        <f t="shared" si="7"/>
        <v>1.0351600117856175E-2</v>
      </c>
      <c r="P54" s="302">
        <v>1</v>
      </c>
      <c r="Q54" s="302">
        <f t="shared" si="9"/>
        <v>0.91866539929286295</v>
      </c>
    </row>
    <row r="55" spans="1:17">
      <c r="A55" s="351"/>
      <c r="B55" s="118" t="s">
        <v>317</v>
      </c>
      <c r="C55" s="136"/>
      <c r="D55" s="136"/>
      <c r="E55" s="136"/>
      <c r="F55" s="136"/>
      <c r="G55" s="136"/>
      <c r="H55" s="248">
        <v>5</v>
      </c>
      <c r="I55" s="248">
        <v>1.4</v>
      </c>
      <c r="J55" s="248">
        <v>0.89442719099991574</v>
      </c>
      <c r="K55" s="248">
        <v>2.2944271909999157</v>
      </c>
      <c r="L55" s="248">
        <v>0.50557280900008417</v>
      </c>
      <c r="M55" s="135">
        <f t="shared" si="5"/>
        <v>5</v>
      </c>
      <c r="N55" s="136">
        <f t="shared" si="6"/>
        <v>1.4</v>
      </c>
      <c r="O55" s="136">
        <f t="shared" si="7"/>
        <v>0.44721359549995787</v>
      </c>
      <c r="P55" s="136">
        <f t="shared" si="8"/>
        <v>2.2944271909999157</v>
      </c>
      <c r="Q55" s="136">
        <f t="shared" si="9"/>
        <v>0.50557280900008417</v>
      </c>
    </row>
    <row r="56" spans="1:17">
      <c r="A56" s="351"/>
      <c r="B56" s="118" t="s">
        <v>307</v>
      </c>
      <c r="C56" s="136"/>
      <c r="D56" s="136"/>
      <c r="E56" s="136"/>
      <c r="F56" s="136"/>
      <c r="G56" s="136"/>
      <c r="H56" s="248">
        <v>0</v>
      </c>
      <c r="I56" s="248" t="s">
        <v>87</v>
      </c>
      <c r="J56" s="248" t="s">
        <v>87</v>
      </c>
      <c r="K56" s="248" t="s">
        <v>87</v>
      </c>
      <c r="L56" s="248" t="s">
        <v>87</v>
      </c>
      <c r="M56" s="135">
        <f t="shared" si="5"/>
        <v>0</v>
      </c>
      <c r="N56" s="136" t="str">
        <f t="shared" si="6"/>
        <v/>
      </c>
      <c r="O56" s="136" t="str">
        <f t="shared" si="7"/>
        <v/>
      </c>
      <c r="P56" s="136">
        <f t="shared" si="8"/>
        <v>0</v>
      </c>
      <c r="Q56" s="136">
        <f t="shared" si="9"/>
        <v>0</v>
      </c>
    </row>
  </sheetData>
  <mergeCells count="14">
    <mergeCell ref="A14:A16"/>
    <mergeCell ref="A1:B2"/>
    <mergeCell ref="C1:G1"/>
    <mergeCell ref="H1:L1"/>
    <mergeCell ref="M1:Q1"/>
    <mergeCell ref="A3:A13"/>
    <mergeCell ref="A44:A48"/>
    <mergeCell ref="A49:A56"/>
    <mergeCell ref="A17:A20"/>
    <mergeCell ref="A21:A25"/>
    <mergeCell ref="A27:A28"/>
    <mergeCell ref="A29:A30"/>
    <mergeCell ref="A38:A43"/>
    <mergeCell ref="A31:A37"/>
  </mergeCells>
  <phoneticPr fontId="26" type="noConversion"/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>
    <oddHeader>&amp;L&amp;G&amp;C&amp;F&amp;R文档密级</oddHeader>
    <oddFooter>&amp;L&amp;D&amp;C华为保密信息,未经授权禁止扩散&amp;R第&amp;P页，共&amp;N页</oddFooter>
  </headerFooter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20</vt:i4>
      </vt:variant>
    </vt:vector>
  </HeadingPairs>
  <TitlesOfParts>
    <vt:vector size="20" baseType="lpstr">
      <vt:lpstr>charts</vt:lpstr>
      <vt:lpstr>历史PCB开发</vt:lpstr>
      <vt:lpstr>历史PCB测试</vt:lpstr>
      <vt:lpstr>历史PCB自动化</vt:lpstr>
      <vt:lpstr>历史PCB维护</vt:lpstr>
      <vt:lpstr>2019开发</vt:lpstr>
      <vt:lpstr>2019测试</vt:lpstr>
      <vt:lpstr>2019自动化</vt:lpstr>
      <vt:lpstr>2019维护</vt:lpstr>
      <vt:lpstr>2012</vt:lpstr>
      <vt:lpstr>云核</vt:lpstr>
      <vt:lpstr>公共开发部(开发测试)</vt:lpstr>
      <vt:lpstr>BSS</vt:lpstr>
      <vt:lpstr>GSD</vt:lpstr>
      <vt:lpstr>企业IT(开发测试)</vt:lpstr>
      <vt:lpstr>网络(C开发)</vt:lpstr>
      <vt:lpstr>网络(J开发)</vt:lpstr>
      <vt:lpstr>无线(开发效率)</vt:lpstr>
      <vt:lpstr>消费者云服务(开发测试)</vt:lpstr>
      <vt:lpstr>云BU(开发测试)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shiyunlei</dc:creator>
  <cp:lastModifiedBy>Shi,Yunlei</cp:lastModifiedBy>
  <dcterms:created xsi:type="dcterms:W3CDTF">2006-09-13T11:21:00Z</dcterms:created>
  <dcterms:modified xsi:type="dcterms:W3CDTF">2020-04-07T09:55:56Z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2052-10.1.0.6135</vt:lpwstr>
  </property>
  <property fmtid="{D5CDD505-2E9C-101B-9397-08002B2CF9AE}" pid="3" name="_2015_ms_pID_725343">
    <vt:lpwstr>(3)pJxkn13DkkuIY+zfsYJflDZ9jP10B5eqRGcdQqkQcQNkArSfsoYwo2ikV9DM015wlDEMhqW6
fhbDrCxTorP9T3yggi0Bs/VPiivqfeljSJ6d/qIFsWovNCPhFxI2yu6LpBTmUTzAkLiAWm/d
P61SkkivGZw3SWVcIrkB9Y8NU4idZvhaBXiqZj/M5s4gxspB6qQGn5Kii/qbs53hJ+t7jQ0D
NiD4N27ikOlpvg3d57</vt:lpwstr>
  </property>
  <property fmtid="{D5CDD505-2E9C-101B-9397-08002B2CF9AE}" pid="4" name="_2015_ms_pID_7253431">
    <vt:lpwstr>zCoZE2tmPfd1bqKSzsSxcfGACfhzIrcijD/evdVaF5iKMSOGPExrXo
XZykirdn86DgIcCqx8FJXctdEQWVpyMkthPqnRR2gNCtxiYWqkFwU6glfL//SRLwzCzG2PZt
ka09QpHiyAOZDno1bosngRYVILaNDgxUtukcB4HYOzllyASLa79eeW+epRCsv32BjMYwByok
eYE3tERmnGKAo1F17V3HxfOltsg5EnIe9/dO</vt:lpwstr>
  </property>
  <property fmtid="{D5CDD505-2E9C-101B-9397-08002B2CF9AE}" pid="5" name="_2015_ms_pID_7253432">
    <vt:lpwstr>O/MuXdTiRf5iprip2oRYslQ=</vt:lpwstr>
  </property>
  <property fmtid="{D5CDD505-2E9C-101B-9397-08002B2CF9AE}" pid="6" name="_readonly">
    <vt:lpwstr/>
  </property>
  <property fmtid="{D5CDD505-2E9C-101B-9397-08002B2CF9AE}" pid="7" name="_change">
    <vt:lpwstr/>
  </property>
  <property fmtid="{D5CDD505-2E9C-101B-9397-08002B2CF9AE}" pid="8" name="_full-control">
    <vt:lpwstr/>
  </property>
  <property fmtid="{D5CDD505-2E9C-101B-9397-08002B2CF9AE}" pid="9" name="sflag">
    <vt:lpwstr>1557023957</vt:lpwstr>
  </property>
</Properties>
</file>